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drawings/drawing2.xml" ContentType="application/vnd.openxmlformats-officedocument.drawingml.chartshapes+xml"/>
  <Override PartName="/xl/charts/chart18.xml" ContentType="application/vnd.openxmlformats-officedocument.drawingml.chart+xml"/>
  <Override PartName="/xl/charts/chart19.xml" ContentType="application/vnd.openxmlformats-officedocument.drawingml.chart+xml"/>
  <Override PartName="/xl/drawings/drawing3.xml" ContentType="application/vnd.openxmlformats-officedocument.drawingml.chartshapes+xml"/>
  <Override PartName="/xl/charts/chart20.xml" ContentType="application/vnd.openxmlformats-officedocument.drawingml.chart+xml"/>
  <Override PartName="/xl/charts/chart2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80" yWindow="636" windowWidth="11136" windowHeight="3612" tabRatio="601"/>
  </bookViews>
  <sheets>
    <sheet name="Profile" sheetId="1" r:id="rId1"/>
    <sheet name="DATA" sheetId="12" r:id="rId2"/>
    <sheet name="TeenPreg" sheetId="14" state="hidden" r:id="rId3"/>
  </sheets>
  <definedNames>
    <definedName name="_cfc1">DATA!$2:$77</definedName>
    <definedName name="_xlnm._FilterDatabase" localSheetId="1" hidden="1">DATA!$A$1:$HO$77</definedName>
    <definedName name="cfc">DATA!$2:$77</definedName>
    <definedName name="cfcl1">DATA!$A$2:$ER$77</definedName>
    <definedName name="CFCLook">#REF!</definedName>
    <definedName name="preg">TeenPreg!$A$1:$M$10</definedName>
    <definedName name="_xlnm.Print_Area" localSheetId="0">Profile!$A$1:$O$608</definedName>
    <definedName name="pt">TeenPreg!$A$1:$U$10</definedName>
    <definedName name="teen">TeenPreg!$A$1:$I$10</definedName>
  </definedNames>
  <calcPr calcId="145621"/>
</workbook>
</file>

<file path=xl/calcChain.xml><?xml version="1.0" encoding="utf-8"?>
<calcChain xmlns="http://schemas.openxmlformats.org/spreadsheetml/2006/main">
  <c r="H218" i="1" l="1"/>
  <c r="H219" i="1"/>
  <c r="H220" i="1"/>
  <c r="F218" i="1"/>
  <c r="F220" i="1"/>
  <c r="F219" i="1"/>
  <c r="H221" i="1"/>
  <c r="F221" i="1"/>
  <c r="BW4" i="12"/>
  <c r="BW5" i="12"/>
  <c r="BW6" i="12"/>
  <c r="BW7" i="12"/>
  <c r="BW8" i="12"/>
  <c r="BW9" i="12"/>
  <c r="BW10" i="12"/>
  <c r="BW11" i="12"/>
  <c r="BW12" i="12"/>
  <c r="BW13" i="12"/>
  <c r="BW14" i="12"/>
  <c r="BW15" i="12"/>
  <c r="BW16" i="12"/>
  <c r="BW17" i="12"/>
  <c r="BW18" i="12"/>
  <c r="BW19" i="12"/>
  <c r="BW20" i="12"/>
  <c r="BW21" i="12"/>
  <c r="BW22" i="12"/>
  <c r="BW23" i="12"/>
  <c r="BW24" i="12"/>
  <c r="BW25" i="12"/>
  <c r="BW26" i="12"/>
  <c r="BW27" i="12"/>
  <c r="BW28" i="12"/>
  <c r="BW29" i="12"/>
  <c r="BW30" i="12"/>
  <c r="BW31" i="12"/>
  <c r="BW32" i="12"/>
  <c r="BW33" i="12"/>
  <c r="BW34" i="12"/>
  <c r="BW35" i="12"/>
  <c r="BW36" i="12"/>
  <c r="BW37" i="12"/>
  <c r="BW38" i="12"/>
  <c r="BW39" i="12"/>
  <c r="BW40" i="12"/>
  <c r="BW41" i="12"/>
  <c r="BW42" i="12"/>
  <c r="BW43" i="12"/>
  <c r="BW44" i="12"/>
  <c r="BW45" i="12"/>
  <c r="BW46" i="12"/>
  <c r="BW47" i="12"/>
  <c r="BW3" i="12"/>
  <c r="H213" i="1"/>
  <c r="M211" i="1" s="1"/>
  <c r="H212" i="1"/>
  <c r="M210" i="1" s="1"/>
  <c r="F214" i="1"/>
  <c r="F213" i="1"/>
  <c r="L211" i="1" s="1"/>
  <c r="F212" i="1"/>
  <c r="L210" i="1" s="1"/>
  <c r="H214" i="1"/>
  <c r="H241" i="1"/>
  <c r="H240" i="1"/>
  <c r="F241" i="1"/>
  <c r="F240" i="1"/>
  <c r="N232" i="1"/>
  <c r="L232" i="1"/>
  <c r="F562" i="1" l="1"/>
  <c r="F563" i="1"/>
  <c r="F564" i="1"/>
  <c r="F565" i="1"/>
  <c r="F566" i="1"/>
  <c r="F567" i="1"/>
  <c r="F568" i="1"/>
  <c r="F569" i="1"/>
  <c r="F561" i="1"/>
  <c r="E562" i="1"/>
  <c r="G562" i="1" s="1"/>
  <c r="E563" i="1"/>
  <c r="G563" i="1" s="1"/>
  <c r="E564" i="1"/>
  <c r="G564" i="1" s="1"/>
  <c r="E565" i="1"/>
  <c r="G565" i="1" s="1"/>
  <c r="E566" i="1"/>
  <c r="G566" i="1" s="1"/>
  <c r="E567" i="1"/>
  <c r="G567" i="1" s="1"/>
  <c r="E568" i="1"/>
  <c r="G568" i="1" s="1"/>
  <c r="E569" i="1"/>
  <c r="G569" i="1" s="1"/>
  <c r="E561" i="1"/>
  <c r="G561" i="1" s="1"/>
  <c r="O185" i="1" l="1"/>
  <c r="N185" i="1"/>
  <c r="M185" i="1"/>
  <c r="L185" i="1"/>
  <c r="K185" i="1"/>
  <c r="J185" i="1"/>
  <c r="I185" i="1"/>
  <c r="H185" i="1"/>
  <c r="K192" i="1" l="1"/>
  <c r="N192" i="1"/>
  <c r="J192" i="1"/>
  <c r="M192" i="1"/>
  <c r="CE75" i="12"/>
  <c r="AM79" i="12" l="1"/>
  <c r="AN79" i="12"/>
  <c r="AO79" i="12"/>
  <c r="AP79" i="12"/>
  <c r="AQ79" i="12"/>
  <c r="AR79" i="12"/>
  <c r="AS79" i="12"/>
  <c r="AT79" i="12"/>
  <c r="AU79" i="12"/>
  <c r="AV79" i="12"/>
  <c r="AW79" i="12"/>
  <c r="AX79" i="12"/>
  <c r="AY79" i="12"/>
  <c r="AZ79" i="12"/>
  <c r="BA79" i="12"/>
  <c r="BB79" i="12"/>
  <c r="BC79" i="12"/>
  <c r="BD79" i="12"/>
  <c r="BE79" i="12"/>
  <c r="BF79" i="12"/>
  <c r="BG79" i="12"/>
  <c r="BH79" i="12"/>
  <c r="BI79" i="12"/>
  <c r="BJ79" i="12"/>
  <c r="BK79" i="12"/>
  <c r="BL79" i="12"/>
  <c r="BM79" i="12"/>
  <c r="BN79" i="12"/>
  <c r="BO79" i="12"/>
  <c r="BP79" i="12"/>
  <c r="BQ79" i="12"/>
  <c r="BR79" i="12"/>
  <c r="BS79" i="12"/>
  <c r="BT79" i="12"/>
  <c r="BY79" i="12"/>
  <c r="CA79" i="12"/>
  <c r="CF79" i="12"/>
  <c r="CG79" i="12"/>
  <c r="CH79" i="12"/>
  <c r="CI79" i="12"/>
  <c r="CJ79" i="12"/>
  <c r="CK79" i="12"/>
  <c r="CL79" i="12"/>
  <c r="CM79" i="12"/>
  <c r="CN79" i="12"/>
  <c r="CO79" i="12"/>
  <c r="CP79" i="12"/>
  <c r="CQ79" i="12"/>
  <c r="CR79" i="12"/>
  <c r="CS79" i="12"/>
  <c r="CT79" i="12"/>
  <c r="CU79" i="12"/>
  <c r="CV79" i="12"/>
  <c r="CW79" i="12"/>
  <c r="CX79" i="12"/>
  <c r="CY79" i="12"/>
  <c r="CZ79" i="12"/>
  <c r="DA79" i="12"/>
  <c r="DB79" i="12"/>
  <c r="DC79" i="12"/>
  <c r="DD79" i="12"/>
  <c r="DE79" i="12"/>
  <c r="DF79" i="12"/>
  <c r="DG79" i="12"/>
  <c r="DH79" i="12"/>
  <c r="DJ79" i="12"/>
  <c r="DK79" i="12"/>
  <c r="DL79" i="12"/>
  <c r="DM79" i="12"/>
  <c r="DN79" i="12"/>
  <c r="DP79" i="12"/>
  <c r="DQ79" i="12"/>
  <c r="DR79" i="12"/>
  <c r="DS79" i="12"/>
  <c r="DT79" i="12"/>
  <c r="DV79" i="12"/>
  <c r="DW79" i="12"/>
  <c r="DX79" i="12"/>
  <c r="DY79" i="12"/>
  <c r="DZ79" i="12"/>
  <c r="EB79" i="12"/>
  <c r="EC79" i="12"/>
  <c r="ED79" i="12"/>
  <c r="EE79" i="12"/>
  <c r="EF79" i="12"/>
  <c r="EH79" i="12"/>
  <c r="EI79" i="12"/>
  <c r="EJ79" i="12"/>
  <c r="EK79" i="12"/>
  <c r="EL79" i="12"/>
  <c r="EN79" i="12"/>
  <c r="EO79" i="12"/>
  <c r="EP79" i="12"/>
  <c r="EQ79" i="12"/>
  <c r="ER79" i="12"/>
  <c r="ET79" i="12"/>
  <c r="EU79" i="12"/>
  <c r="EV79" i="12"/>
  <c r="EW79" i="12"/>
  <c r="EX79" i="12"/>
  <c r="AM80" i="12"/>
  <c r="AN80" i="12"/>
  <c r="AO80" i="12"/>
  <c r="AP80" i="12"/>
  <c r="AZ80" i="12"/>
  <c r="BA80" i="12"/>
  <c r="BB80" i="12"/>
  <c r="BC80" i="12"/>
  <c r="BD80" i="12"/>
  <c r="BE80" i="12"/>
  <c r="BY80" i="12"/>
  <c r="CA80" i="12"/>
  <c r="CF80" i="12"/>
  <c r="CG80" i="12"/>
  <c r="CH80" i="12"/>
  <c r="CI80" i="12"/>
  <c r="CJ80" i="12"/>
  <c r="CK80" i="12"/>
  <c r="CL80" i="12"/>
  <c r="CM80" i="12"/>
  <c r="CN80" i="12"/>
  <c r="CO80" i="12"/>
  <c r="CP80" i="12"/>
  <c r="CQ80" i="12"/>
  <c r="CX80" i="12"/>
  <c r="CY80" i="12"/>
  <c r="CZ80" i="12"/>
  <c r="DA80" i="12"/>
  <c r="DB80" i="12"/>
  <c r="DC80" i="12"/>
  <c r="DF80" i="12"/>
  <c r="DG80" i="12"/>
  <c r="DH80" i="12"/>
  <c r="DL80" i="12"/>
  <c r="DM80" i="12"/>
  <c r="DN80" i="12"/>
  <c r="DR80" i="12"/>
  <c r="DS80" i="12"/>
  <c r="DT80" i="12"/>
  <c r="DX80" i="12"/>
  <c r="DY80" i="12"/>
  <c r="DZ80" i="12"/>
  <c r="ED80" i="12"/>
  <c r="EE80" i="12"/>
  <c r="EF80" i="12"/>
  <c r="EJ80" i="12"/>
  <c r="EK80" i="12"/>
  <c r="EL80" i="12"/>
  <c r="EP80" i="12"/>
  <c r="EQ80" i="12"/>
  <c r="ER80" i="12"/>
  <c r="EV80" i="12"/>
  <c r="EW80" i="12"/>
  <c r="EX80" i="12"/>
  <c r="AM81" i="12"/>
  <c r="AN81" i="12"/>
  <c r="AO81" i="12"/>
  <c r="AP81" i="12"/>
  <c r="AQ81" i="12"/>
  <c r="AR81" i="12"/>
  <c r="AS81" i="12"/>
  <c r="AT81" i="12"/>
  <c r="AU81" i="12"/>
  <c r="AV81" i="12"/>
  <c r="AW81" i="12"/>
  <c r="AX81" i="12"/>
  <c r="AY81" i="12"/>
  <c r="AZ81" i="12"/>
  <c r="BA81" i="12"/>
  <c r="BB81" i="12"/>
  <c r="BC81" i="12"/>
  <c r="BD81" i="12"/>
  <c r="BE81" i="12"/>
  <c r="BF81" i="12"/>
  <c r="BG81" i="12"/>
  <c r="BH81" i="12"/>
  <c r="BI81" i="12"/>
  <c r="BJ81" i="12"/>
  <c r="BK81" i="12"/>
  <c r="BL81" i="12"/>
  <c r="BM81" i="12"/>
  <c r="BN81" i="12"/>
  <c r="BO81" i="12"/>
  <c r="BP81" i="12"/>
  <c r="BQ81" i="12"/>
  <c r="BR81" i="12"/>
  <c r="BS81" i="12"/>
  <c r="BT81" i="12"/>
  <c r="BY81" i="12"/>
  <c r="CA81" i="12"/>
  <c r="CF81" i="12"/>
  <c r="CG81" i="12"/>
  <c r="CH81" i="12"/>
  <c r="CI81" i="12"/>
  <c r="CJ81" i="12"/>
  <c r="CK81" i="12"/>
  <c r="CL81" i="12"/>
  <c r="CM81" i="12"/>
  <c r="CN81" i="12"/>
  <c r="CO81" i="12"/>
  <c r="CP81" i="12"/>
  <c r="CQ81" i="12"/>
  <c r="CR81" i="12"/>
  <c r="CS81" i="12"/>
  <c r="CT81" i="12"/>
  <c r="CU81" i="12"/>
  <c r="CV81" i="12"/>
  <c r="CW81" i="12"/>
  <c r="CX81" i="12"/>
  <c r="CY81" i="12"/>
  <c r="CZ81" i="12"/>
  <c r="DA81" i="12"/>
  <c r="DB81" i="12"/>
  <c r="DC81" i="12"/>
  <c r="DD81" i="12"/>
  <c r="DE81" i="12"/>
  <c r="DF81" i="12"/>
  <c r="DG81" i="12"/>
  <c r="DH81" i="12"/>
  <c r="DJ81" i="12"/>
  <c r="DK81" i="12"/>
  <c r="DL81" i="12"/>
  <c r="DM81" i="12"/>
  <c r="DN81" i="12"/>
  <c r="DP81" i="12"/>
  <c r="DQ81" i="12"/>
  <c r="DR81" i="12"/>
  <c r="DS81" i="12"/>
  <c r="DT81" i="12"/>
  <c r="DV81" i="12"/>
  <c r="DW81" i="12"/>
  <c r="DX81" i="12"/>
  <c r="DY81" i="12"/>
  <c r="DZ81" i="12"/>
  <c r="EB81" i="12"/>
  <c r="EC81" i="12"/>
  <c r="ED81" i="12"/>
  <c r="EE81" i="12"/>
  <c r="EF81" i="12"/>
  <c r="EH81" i="12"/>
  <c r="EI81" i="12"/>
  <c r="EJ81" i="12"/>
  <c r="EK81" i="12"/>
  <c r="EL81" i="12"/>
  <c r="EN81" i="12"/>
  <c r="EO81" i="12"/>
  <c r="EP81" i="12"/>
  <c r="EQ81" i="12"/>
  <c r="ER81" i="12"/>
  <c r="ET81" i="12"/>
  <c r="EU81" i="12"/>
  <c r="EV81" i="12"/>
  <c r="EW81" i="12"/>
  <c r="EX81" i="12"/>
  <c r="AM82" i="12"/>
  <c r="AN82" i="12"/>
  <c r="AO82" i="12"/>
  <c r="AP82" i="12"/>
  <c r="AQ82" i="12"/>
  <c r="AR82" i="12"/>
  <c r="AS82" i="12"/>
  <c r="AT82" i="12"/>
  <c r="AU82" i="12"/>
  <c r="AV82" i="12"/>
  <c r="AW82" i="12"/>
  <c r="AX82" i="12"/>
  <c r="AY82" i="12"/>
  <c r="AZ82" i="12"/>
  <c r="BA82" i="12"/>
  <c r="BB82" i="12"/>
  <c r="BC82" i="12"/>
  <c r="BD82" i="12"/>
  <c r="BE82" i="12"/>
  <c r="BF82" i="12"/>
  <c r="BG82" i="12"/>
  <c r="BH82" i="12"/>
  <c r="BI82" i="12"/>
  <c r="BJ82" i="12"/>
  <c r="BK82" i="12"/>
  <c r="BL82" i="12"/>
  <c r="BM82" i="12"/>
  <c r="BN82" i="12"/>
  <c r="BO82" i="12"/>
  <c r="BP82" i="12"/>
  <c r="BQ82" i="12"/>
  <c r="BR82" i="12"/>
  <c r="BS82" i="12"/>
  <c r="BT82" i="12"/>
  <c r="BY82" i="12"/>
  <c r="CA82" i="12"/>
  <c r="CF82" i="12"/>
  <c r="CG82" i="12"/>
  <c r="CH82" i="12"/>
  <c r="CI82" i="12"/>
  <c r="CJ82" i="12"/>
  <c r="CK82" i="12"/>
  <c r="CL82" i="12"/>
  <c r="CM82" i="12"/>
  <c r="CN82" i="12"/>
  <c r="CO82" i="12"/>
  <c r="CP82" i="12"/>
  <c r="CQ82" i="12"/>
  <c r="CZ82" i="12"/>
  <c r="DA82" i="12"/>
  <c r="DB82" i="12"/>
  <c r="DC82" i="12"/>
  <c r="DD82" i="12"/>
  <c r="DE82" i="12"/>
  <c r="DF82" i="12"/>
  <c r="DG82" i="12"/>
  <c r="DH82" i="12"/>
  <c r="DJ82" i="12"/>
  <c r="DK82" i="12"/>
  <c r="DL82" i="12"/>
  <c r="DM82" i="12"/>
  <c r="DN82" i="12"/>
  <c r="DP82" i="12"/>
  <c r="DQ82" i="12"/>
  <c r="DR82" i="12"/>
  <c r="DS82" i="12"/>
  <c r="DT82" i="12"/>
  <c r="DV82" i="12"/>
  <c r="DW82" i="12"/>
  <c r="DX82" i="12"/>
  <c r="DY82" i="12"/>
  <c r="DZ82" i="12"/>
  <c r="EB82" i="12"/>
  <c r="EC82" i="12"/>
  <c r="ED82" i="12"/>
  <c r="EE82" i="12"/>
  <c r="EF82" i="12"/>
  <c r="EH82" i="12"/>
  <c r="EI82" i="12"/>
  <c r="EJ82" i="12"/>
  <c r="EK82" i="12"/>
  <c r="EL82" i="12"/>
  <c r="EN82" i="12"/>
  <c r="EO82" i="12"/>
  <c r="EP82" i="12"/>
  <c r="EQ82" i="12"/>
  <c r="ER82" i="12"/>
  <c r="ET82" i="12"/>
  <c r="EU82" i="12"/>
  <c r="EV82" i="12"/>
  <c r="EW82" i="12"/>
  <c r="EX82" i="12"/>
  <c r="AM78" i="12"/>
  <c r="AN78" i="12"/>
  <c r="AO78" i="12"/>
  <c r="AP78" i="12"/>
  <c r="AQ78" i="12"/>
  <c r="AR78" i="12"/>
  <c r="AS78" i="12"/>
  <c r="AT78" i="12"/>
  <c r="AU78" i="12"/>
  <c r="AV78" i="12"/>
  <c r="AW78" i="12"/>
  <c r="AX78" i="12"/>
  <c r="AY78" i="12"/>
  <c r="AZ78" i="12"/>
  <c r="BA78" i="12"/>
  <c r="BB78" i="12"/>
  <c r="BC78" i="12"/>
  <c r="BD78" i="12"/>
  <c r="BE78" i="12"/>
  <c r="BF78" i="12"/>
  <c r="BG78" i="12"/>
  <c r="BH78" i="12"/>
  <c r="BI78" i="12"/>
  <c r="BJ78" i="12"/>
  <c r="BK78" i="12"/>
  <c r="BL78" i="12"/>
  <c r="BM78" i="12"/>
  <c r="BN78" i="12"/>
  <c r="BO78" i="12"/>
  <c r="BP78" i="12"/>
  <c r="BQ78" i="12"/>
  <c r="BR78" i="12"/>
  <c r="BS78" i="12"/>
  <c r="BT78" i="12"/>
  <c r="BY78" i="12"/>
  <c r="CA78" i="12"/>
  <c r="CF78" i="12"/>
  <c r="CG78" i="12"/>
  <c r="CH78" i="12"/>
  <c r="CI78" i="12"/>
  <c r="CJ78" i="12"/>
  <c r="CK78" i="12"/>
  <c r="CL78" i="12"/>
  <c r="CM78" i="12"/>
  <c r="CN78" i="12"/>
  <c r="CO78" i="12"/>
  <c r="CP78" i="12"/>
  <c r="CQ78" i="12"/>
  <c r="CR78" i="12"/>
  <c r="CS78" i="12"/>
  <c r="CT78" i="12"/>
  <c r="CU78" i="12"/>
  <c r="CV78" i="12"/>
  <c r="CW78" i="12"/>
  <c r="CX78" i="12"/>
  <c r="CY78" i="12"/>
  <c r="CZ78" i="12"/>
  <c r="DA78" i="12"/>
  <c r="DB78" i="12"/>
  <c r="DC78" i="12"/>
  <c r="DD78" i="12"/>
  <c r="DE78" i="12"/>
  <c r="DF78" i="12"/>
  <c r="DG78" i="12"/>
  <c r="DH78" i="12"/>
  <c r="DJ78" i="12"/>
  <c r="DK78" i="12"/>
  <c r="DL78" i="12"/>
  <c r="DM78" i="12"/>
  <c r="DN78" i="12"/>
  <c r="DP78" i="12"/>
  <c r="DQ78" i="12"/>
  <c r="DR78" i="12"/>
  <c r="DS78" i="12"/>
  <c r="DT78" i="12"/>
  <c r="DV78" i="12"/>
  <c r="DW78" i="12"/>
  <c r="DX78" i="12"/>
  <c r="DY78" i="12"/>
  <c r="DZ78" i="12"/>
  <c r="EB78" i="12"/>
  <c r="EC78" i="12"/>
  <c r="ED78" i="12"/>
  <c r="EE78" i="12"/>
  <c r="EF78" i="12"/>
  <c r="EH78" i="12"/>
  <c r="EI78" i="12"/>
  <c r="EJ78" i="12"/>
  <c r="EK78" i="12"/>
  <c r="EL78" i="12"/>
  <c r="EN78" i="12"/>
  <c r="EO78" i="12"/>
  <c r="EP78" i="12"/>
  <c r="EQ78" i="12"/>
  <c r="ER78" i="12"/>
  <c r="ET78" i="12"/>
  <c r="EU78" i="12"/>
  <c r="EV78" i="12"/>
  <c r="EW78" i="12"/>
  <c r="EX78" i="12"/>
  <c r="FI47" i="12"/>
  <c r="FI46" i="12"/>
  <c r="FI45" i="12"/>
  <c r="FI44" i="12"/>
  <c r="FI43" i="12"/>
  <c r="FI42" i="12"/>
  <c r="FI41" i="12"/>
  <c r="FI40" i="12"/>
  <c r="FI39" i="12"/>
  <c r="FI38" i="12"/>
  <c r="FI37" i="12"/>
  <c r="FI36" i="12"/>
  <c r="FI35" i="12"/>
  <c r="FI34" i="12"/>
  <c r="FI33" i="12"/>
  <c r="FI32" i="12"/>
  <c r="FI31" i="12"/>
  <c r="FI30" i="12"/>
  <c r="FI29" i="12"/>
  <c r="FI28" i="12"/>
  <c r="FI27" i="12"/>
  <c r="FI26" i="12"/>
  <c r="FI25" i="12"/>
  <c r="FI24" i="12"/>
  <c r="FI23" i="12"/>
  <c r="J597" i="1" s="1"/>
  <c r="FI22" i="12"/>
  <c r="FI21" i="12"/>
  <c r="FI20" i="12"/>
  <c r="FI19" i="12"/>
  <c r="FI18" i="12"/>
  <c r="FI17" i="12"/>
  <c r="FI16" i="12"/>
  <c r="FI15" i="12"/>
  <c r="FI14" i="12"/>
  <c r="FI13" i="12"/>
  <c r="FI12" i="12"/>
  <c r="FI11" i="12"/>
  <c r="FI10" i="12"/>
  <c r="FI9" i="12"/>
  <c r="FI8" i="12"/>
  <c r="FI7" i="12"/>
  <c r="FI6" i="12"/>
  <c r="FI5" i="12"/>
  <c r="FI4" i="12"/>
  <c r="FI3" i="12"/>
  <c r="J602" i="1" l="1"/>
  <c r="J603" i="1"/>
  <c r="D606" i="1" s="1"/>
  <c r="D608" i="1"/>
  <c r="D607" i="1"/>
  <c r="C608" i="1"/>
  <c r="C607" i="1"/>
  <c r="C606" i="1"/>
  <c r="B608" i="1"/>
  <c r="B607" i="1"/>
  <c r="H602" i="1"/>
  <c r="H594" i="1"/>
  <c r="H595" i="1"/>
  <c r="H596" i="1"/>
  <c r="H597" i="1"/>
  <c r="C605" i="1" s="1"/>
  <c r="J601" i="1"/>
  <c r="H601" i="1"/>
  <c r="J600" i="1"/>
  <c r="H600" i="1"/>
  <c r="H603" i="1" s="1"/>
  <c r="D605" i="1" s="1"/>
  <c r="J599" i="1"/>
  <c r="H599" i="1"/>
  <c r="J596" i="1"/>
  <c r="J594" i="1"/>
  <c r="J593" i="1"/>
  <c r="H593" i="1"/>
  <c r="J583" i="1"/>
  <c r="G586" i="1" s="1"/>
  <c r="I586" i="1" s="1"/>
  <c r="J582" i="1"/>
  <c r="J581" i="1"/>
  <c r="H582" i="1"/>
  <c r="H583" i="1"/>
  <c r="G585" i="1" s="1"/>
  <c r="H581" i="1"/>
  <c r="G588" i="1"/>
  <c r="G587" i="1"/>
  <c r="D588" i="1"/>
  <c r="D587" i="1"/>
  <c r="H577" i="1"/>
  <c r="J579" i="1"/>
  <c r="D586" i="1" s="1"/>
  <c r="H579" i="1"/>
  <c r="D585" i="1" s="1"/>
  <c r="F585" i="1" s="1"/>
  <c r="J578" i="1"/>
  <c r="H578" i="1"/>
  <c r="J577" i="1"/>
  <c r="H586" i="1" l="1"/>
  <c r="H585" i="1"/>
  <c r="I585" i="1"/>
  <c r="E586" i="1"/>
  <c r="F586" i="1"/>
  <c r="E585" i="1"/>
  <c r="J197" i="1" l="1"/>
  <c r="J196" i="1"/>
  <c r="H197" i="1"/>
  <c r="H196" i="1"/>
  <c r="J71" i="1" l="1"/>
  <c r="D71" i="1"/>
  <c r="F321" i="1"/>
  <c r="F320" i="1"/>
  <c r="DP48" i="12"/>
  <c r="DQ48" i="12"/>
  <c r="DP49" i="12"/>
  <c r="DQ49" i="12"/>
  <c r="DP50" i="12"/>
  <c r="DQ50" i="12"/>
  <c r="DP51" i="12"/>
  <c r="DQ51" i="12"/>
  <c r="DP52" i="12"/>
  <c r="DQ52" i="12"/>
  <c r="DP53" i="12"/>
  <c r="DQ53" i="12"/>
  <c r="DP54" i="12"/>
  <c r="DQ54" i="12"/>
  <c r="DP55" i="12"/>
  <c r="DQ55" i="12"/>
  <c r="DP56" i="12"/>
  <c r="DQ56" i="12"/>
  <c r="DP57" i="12"/>
  <c r="DQ57" i="12"/>
  <c r="DP58" i="12"/>
  <c r="DQ58" i="12"/>
  <c r="DP59" i="12"/>
  <c r="DQ59" i="12"/>
  <c r="L231" i="1" l="1"/>
  <c r="F239" i="1"/>
  <c r="N231" i="1"/>
  <c r="H239" i="1"/>
  <c r="DP80" i="12"/>
  <c r="DQ80" i="12"/>
  <c r="H598" i="1"/>
  <c r="H592" i="1"/>
  <c r="B605" i="1" s="1"/>
  <c r="J592" i="1"/>
  <c r="B606" i="1" s="1"/>
  <c r="J598" i="1"/>
  <c r="J580" i="1"/>
  <c r="J576" i="1"/>
  <c r="C586" i="1" s="1"/>
  <c r="H580" i="1"/>
  <c r="H576" i="1"/>
  <c r="C585" i="1" s="1"/>
  <c r="F319" i="1"/>
  <c r="E319" i="1"/>
  <c r="F310" i="1"/>
  <c r="E310" i="1"/>
  <c r="DO4" i="12"/>
  <c r="DO5" i="12"/>
  <c r="DO6" i="12"/>
  <c r="DO7" i="12"/>
  <c r="DO8" i="12"/>
  <c r="DO9" i="12"/>
  <c r="DO10" i="12"/>
  <c r="DO11" i="12"/>
  <c r="DO12" i="12"/>
  <c r="DO13" i="12"/>
  <c r="DO14" i="12"/>
  <c r="DO15" i="12"/>
  <c r="DO16" i="12"/>
  <c r="DO17" i="12"/>
  <c r="DO18" i="12"/>
  <c r="DO19" i="12"/>
  <c r="DO20" i="12"/>
  <c r="DO21" i="12"/>
  <c r="DO22" i="12"/>
  <c r="DO23" i="12"/>
  <c r="DO24" i="12"/>
  <c r="DO25" i="12"/>
  <c r="DO26" i="12"/>
  <c r="DO27" i="12"/>
  <c r="DO28" i="12"/>
  <c r="DO29" i="12"/>
  <c r="DO30" i="12"/>
  <c r="DO31" i="12"/>
  <c r="DO32" i="12"/>
  <c r="DO33" i="12"/>
  <c r="DO34" i="12"/>
  <c r="DO35" i="12"/>
  <c r="DO36" i="12"/>
  <c r="DO37" i="12"/>
  <c r="DO38" i="12"/>
  <c r="DO39" i="12"/>
  <c r="DO40" i="12"/>
  <c r="DO41" i="12"/>
  <c r="DO42" i="12"/>
  <c r="DO43" i="12"/>
  <c r="DO44" i="12"/>
  <c r="DO45" i="12"/>
  <c r="DO46" i="12"/>
  <c r="DO47" i="12"/>
  <c r="DO48" i="12"/>
  <c r="DO49" i="12"/>
  <c r="DO50" i="12"/>
  <c r="DO51" i="12"/>
  <c r="DO52" i="12"/>
  <c r="DO53" i="12"/>
  <c r="DO54" i="12"/>
  <c r="DO55" i="12"/>
  <c r="DO56" i="12"/>
  <c r="DO57" i="12"/>
  <c r="DO58" i="12"/>
  <c r="DO59" i="12"/>
  <c r="DO60" i="12"/>
  <c r="DO61" i="12"/>
  <c r="DO62" i="12"/>
  <c r="DO63" i="12"/>
  <c r="DO64" i="12"/>
  <c r="DO65" i="12"/>
  <c r="DO66" i="12"/>
  <c r="DO67" i="12"/>
  <c r="DO68" i="12"/>
  <c r="DO69" i="12"/>
  <c r="DO70" i="12"/>
  <c r="DO71" i="12"/>
  <c r="DO72" i="12"/>
  <c r="DO73" i="12"/>
  <c r="DO74" i="12"/>
  <c r="DO75" i="12"/>
  <c r="DO76" i="12"/>
  <c r="DO3" i="12"/>
  <c r="EY4" i="12"/>
  <c r="EY5" i="12"/>
  <c r="EY6" i="12"/>
  <c r="EY7" i="12"/>
  <c r="EY8" i="12"/>
  <c r="EY9" i="12"/>
  <c r="EY10" i="12"/>
  <c r="EY11" i="12"/>
  <c r="EY12" i="12"/>
  <c r="EY13" i="12"/>
  <c r="EY14" i="12"/>
  <c r="EY15" i="12"/>
  <c r="EY16" i="12"/>
  <c r="EY17" i="12"/>
  <c r="EY18" i="12"/>
  <c r="EY19" i="12"/>
  <c r="EY20" i="12"/>
  <c r="EY21" i="12"/>
  <c r="EY22" i="12"/>
  <c r="EY23" i="12"/>
  <c r="EY24" i="12"/>
  <c r="EY25" i="12"/>
  <c r="EY26" i="12"/>
  <c r="EY27" i="12"/>
  <c r="EY28" i="12"/>
  <c r="EY29" i="12"/>
  <c r="EY30" i="12"/>
  <c r="EY31" i="12"/>
  <c r="EY32" i="12"/>
  <c r="EY33" i="12"/>
  <c r="EY34" i="12"/>
  <c r="EY35" i="12"/>
  <c r="EY36" i="12"/>
  <c r="EY37" i="12"/>
  <c r="EY38" i="12"/>
  <c r="EY39" i="12"/>
  <c r="EY40" i="12"/>
  <c r="EY41" i="12"/>
  <c r="EY42" i="12"/>
  <c r="EY43" i="12"/>
  <c r="EY44" i="12"/>
  <c r="EY45" i="12"/>
  <c r="EY46" i="12"/>
  <c r="EY47" i="12"/>
  <c r="EY48" i="12"/>
  <c r="EY49" i="12"/>
  <c r="EY50" i="12"/>
  <c r="EY51" i="12"/>
  <c r="EY52" i="12"/>
  <c r="EY53" i="12"/>
  <c r="EY54" i="12"/>
  <c r="EY55" i="12"/>
  <c r="EY56" i="12"/>
  <c r="EY57" i="12"/>
  <c r="EY58" i="12"/>
  <c r="EY59" i="12"/>
  <c r="EY60" i="12"/>
  <c r="EY61" i="12"/>
  <c r="EY62" i="12"/>
  <c r="EY63" i="12"/>
  <c r="EY64" i="12"/>
  <c r="EY65" i="12"/>
  <c r="EY66" i="12"/>
  <c r="EY67" i="12"/>
  <c r="EY68" i="12"/>
  <c r="EY69" i="12"/>
  <c r="EY70" i="12"/>
  <c r="EY71" i="12"/>
  <c r="EY72" i="12"/>
  <c r="EY73" i="12"/>
  <c r="EY74" i="12"/>
  <c r="EY75" i="12"/>
  <c r="EY76" i="12"/>
  <c r="EY3" i="12"/>
  <c r="ES4" i="12"/>
  <c r="ES5" i="12"/>
  <c r="ES6" i="12"/>
  <c r="ES7" i="12"/>
  <c r="ES8" i="12"/>
  <c r="ES9" i="12"/>
  <c r="ES10" i="12"/>
  <c r="ES11" i="12"/>
  <c r="ES12" i="12"/>
  <c r="ES13" i="12"/>
  <c r="ES14" i="12"/>
  <c r="ES15" i="12"/>
  <c r="ES16" i="12"/>
  <c r="ES17" i="12"/>
  <c r="ES18" i="12"/>
  <c r="ES19" i="12"/>
  <c r="ES20" i="12"/>
  <c r="ES21" i="12"/>
  <c r="ES22" i="12"/>
  <c r="ES23" i="12"/>
  <c r="ES24" i="12"/>
  <c r="ES25" i="12"/>
  <c r="ES26" i="12"/>
  <c r="ES27" i="12"/>
  <c r="ES28" i="12"/>
  <c r="ES29" i="12"/>
  <c r="ES30" i="12"/>
  <c r="ES31" i="12"/>
  <c r="ES32" i="12"/>
  <c r="ES33" i="12"/>
  <c r="ES34" i="12"/>
  <c r="ES35" i="12"/>
  <c r="ES36" i="12"/>
  <c r="ES37" i="12"/>
  <c r="ES38" i="12"/>
  <c r="ES39" i="12"/>
  <c r="ES40" i="12"/>
  <c r="ES41" i="12"/>
  <c r="ES42" i="12"/>
  <c r="ES43" i="12"/>
  <c r="ES44" i="12"/>
  <c r="ES45" i="12"/>
  <c r="ES46" i="12"/>
  <c r="ES47" i="12"/>
  <c r="ES48" i="12"/>
  <c r="ES49" i="12"/>
  <c r="ES50" i="12"/>
  <c r="ES51" i="12"/>
  <c r="ES52" i="12"/>
  <c r="ES53" i="12"/>
  <c r="ES54" i="12"/>
  <c r="ES55" i="12"/>
  <c r="ES56" i="12"/>
  <c r="ES57" i="12"/>
  <c r="ES58" i="12"/>
  <c r="ES59" i="12"/>
  <c r="ES60" i="12"/>
  <c r="ES61" i="12"/>
  <c r="ES62" i="12"/>
  <c r="ES63" i="12"/>
  <c r="ES64" i="12"/>
  <c r="ES65" i="12"/>
  <c r="ES66" i="12"/>
  <c r="ES67" i="12"/>
  <c r="ES79" i="12" s="1"/>
  <c r="ES68" i="12"/>
  <c r="ES69" i="12"/>
  <c r="ES70" i="12"/>
  <c r="ES71" i="12"/>
  <c r="ES72" i="12"/>
  <c r="ES73" i="12"/>
  <c r="ES74" i="12"/>
  <c r="ES75" i="12"/>
  <c r="ES76" i="12"/>
  <c r="ES3" i="12"/>
  <c r="EM4" i="12"/>
  <c r="EM5" i="12"/>
  <c r="EM6" i="12"/>
  <c r="EM7" i="12"/>
  <c r="EM8" i="12"/>
  <c r="EM9" i="12"/>
  <c r="EM10" i="12"/>
  <c r="EM11" i="12"/>
  <c r="EM12" i="12"/>
  <c r="EM13" i="12"/>
  <c r="EM14" i="12"/>
  <c r="EM15" i="12"/>
  <c r="EM16" i="12"/>
  <c r="EM17" i="12"/>
  <c r="EM18" i="12"/>
  <c r="EM19" i="12"/>
  <c r="EM20" i="12"/>
  <c r="EM21" i="12"/>
  <c r="EM22" i="12"/>
  <c r="EM23" i="12"/>
  <c r="EM24" i="12"/>
  <c r="EM25" i="12"/>
  <c r="EM26" i="12"/>
  <c r="EM27" i="12"/>
  <c r="EM28" i="12"/>
  <c r="EM29" i="12"/>
  <c r="EM30" i="12"/>
  <c r="EM31" i="12"/>
  <c r="EM32" i="12"/>
  <c r="EM33" i="12"/>
  <c r="EM34" i="12"/>
  <c r="EM35" i="12"/>
  <c r="EM36" i="12"/>
  <c r="EM37" i="12"/>
  <c r="EM38" i="12"/>
  <c r="EM39" i="12"/>
  <c r="EM40" i="12"/>
  <c r="EM41" i="12"/>
  <c r="EM42" i="12"/>
  <c r="EM43" i="12"/>
  <c r="EM44" i="12"/>
  <c r="EM45" i="12"/>
  <c r="EM46" i="12"/>
  <c r="EM47" i="12"/>
  <c r="EM48" i="12"/>
  <c r="EM49" i="12"/>
  <c r="EM50" i="12"/>
  <c r="EM51" i="12"/>
  <c r="EM52" i="12"/>
  <c r="EM53" i="12"/>
  <c r="EM54" i="12"/>
  <c r="EM55" i="12"/>
  <c r="EM56" i="12"/>
  <c r="EM57" i="12"/>
  <c r="EM58" i="12"/>
  <c r="EM59" i="12"/>
  <c r="EM60" i="12"/>
  <c r="EM61" i="12"/>
  <c r="EM62" i="12"/>
  <c r="EM63" i="12"/>
  <c r="EM64" i="12"/>
  <c r="EM65" i="12"/>
  <c r="EM66" i="12"/>
  <c r="EM67" i="12"/>
  <c r="EM68" i="12"/>
  <c r="EM69" i="12"/>
  <c r="EM70" i="12"/>
  <c r="EM71" i="12"/>
  <c r="EM72" i="12"/>
  <c r="EM73" i="12"/>
  <c r="EM74" i="12"/>
  <c r="EM75" i="12"/>
  <c r="EM76" i="12"/>
  <c r="EM3" i="12"/>
  <c r="EG4" i="12"/>
  <c r="EG5" i="12"/>
  <c r="EG6" i="12"/>
  <c r="EG7" i="12"/>
  <c r="EG8" i="12"/>
  <c r="EG9" i="12"/>
  <c r="EG10" i="12"/>
  <c r="EG11" i="12"/>
  <c r="EG12" i="12"/>
  <c r="EG13" i="12"/>
  <c r="EG14" i="12"/>
  <c r="EG15" i="12"/>
  <c r="EG16" i="12"/>
  <c r="EG17" i="12"/>
  <c r="EG18" i="12"/>
  <c r="EG19" i="12"/>
  <c r="EG20" i="12"/>
  <c r="EG21" i="12"/>
  <c r="EG22" i="12"/>
  <c r="EG23" i="12"/>
  <c r="EG24" i="12"/>
  <c r="EG25" i="12"/>
  <c r="EG26" i="12"/>
  <c r="EG27" i="12"/>
  <c r="EG28" i="12"/>
  <c r="EG29" i="12"/>
  <c r="EG30" i="12"/>
  <c r="EG31" i="12"/>
  <c r="EG32" i="12"/>
  <c r="EG33" i="12"/>
  <c r="EG34" i="12"/>
  <c r="EG35" i="12"/>
  <c r="EG36" i="12"/>
  <c r="EG37" i="12"/>
  <c r="EG38" i="12"/>
  <c r="EG39" i="12"/>
  <c r="EG40" i="12"/>
  <c r="EG41" i="12"/>
  <c r="EG42" i="12"/>
  <c r="EG43" i="12"/>
  <c r="EG44" i="12"/>
  <c r="EG45" i="12"/>
  <c r="EG46" i="12"/>
  <c r="EG47" i="12"/>
  <c r="EG48" i="12"/>
  <c r="EG49" i="12"/>
  <c r="EG50" i="12"/>
  <c r="EG51" i="12"/>
  <c r="EG52" i="12"/>
  <c r="EG53" i="12"/>
  <c r="EG54" i="12"/>
  <c r="EG55" i="12"/>
  <c r="EG56" i="12"/>
  <c r="EG57" i="12"/>
  <c r="EG58" i="12"/>
  <c r="EG59" i="12"/>
  <c r="EG60" i="12"/>
  <c r="EG61" i="12"/>
  <c r="EG62" i="12"/>
  <c r="EG63" i="12"/>
  <c r="EG64" i="12"/>
  <c r="EG65" i="12"/>
  <c r="EG66" i="12"/>
  <c r="EG67" i="12"/>
  <c r="EG68" i="12"/>
  <c r="EG69" i="12"/>
  <c r="EG70" i="12"/>
  <c r="EG71" i="12"/>
  <c r="EG72" i="12"/>
  <c r="EG73" i="12"/>
  <c r="EG74" i="12"/>
  <c r="EG75" i="12"/>
  <c r="EG76" i="12"/>
  <c r="EG3" i="12"/>
  <c r="EA4" i="12"/>
  <c r="EA5" i="12"/>
  <c r="EA6" i="12"/>
  <c r="EA7" i="12"/>
  <c r="EA8" i="12"/>
  <c r="EA9" i="12"/>
  <c r="EA10" i="12"/>
  <c r="EA11" i="12"/>
  <c r="EA12" i="12"/>
  <c r="EA13" i="12"/>
  <c r="EA14" i="12"/>
  <c r="EA15" i="12"/>
  <c r="EA16" i="12"/>
  <c r="EA17" i="12"/>
  <c r="EA18" i="12"/>
  <c r="EA19" i="12"/>
  <c r="EA20" i="12"/>
  <c r="EA21" i="12"/>
  <c r="EA22" i="12"/>
  <c r="EA23" i="12"/>
  <c r="EA24" i="12"/>
  <c r="EA25" i="12"/>
  <c r="EA26" i="12"/>
  <c r="EA27" i="12"/>
  <c r="EA28" i="12"/>
  <c r="EA29" i="12"/>
  <c r="EA30" i="12"/>
  <c r="EA31" i="12"/>
  <c r="EA32" i="12"/>
  <c r="EA33" i="12"/>
  <c r="EA34" i="12"/>
  <c r="EA35" i="12"/>
  <c r="EA36" i="12"/>
  <c r="EA37" i="12"/>
  <c r="EA38" i="12"/>
  <c r="EA39" i="12"/>
  <c r="EA40" i="12"/>
  <c r="EA41" i="12"/>
  <c r="EA42" i="12"/>
  <c r="EA43" i="12"/>
  <c r="EA44" i="12"/>
  <c r="EA45" i="12"/>
  <c r="EA46" i="12"/>
  <c r="EA47" i="12"/>
  <c r="EA48" i="12"/>
  <c r="EA49" i="12"/>
  <c r="EA50" i="12"/>
  <c r="EA51" i="12"/>
  <c r="EA52" i="12"/>
  <c r="EA53" i="12"/>
  <c r="EA54" i="12"/>
  <c r="EA55" i="12"/>
  <c r="EA56" i="12"/>
  <c r="EA57" i="12"/>
  <c r="EA58" i="12"/>
  <c r="EA59" i="12"/>
  <c r="EA60" i="12"/>
  <c r="EA61" i="12"/>
  <c r="EA62" i="12"/>
  <c r="EA63" i="12"/>
  <c r="EA64" i="12"/>
  <c r="EA65" i="12"/>
  <c r="EA66" i="12"/>
  <c r="EA67" i="12"/>
  <c r="EA68" i="12"/>
  <c r="EA69" i="12"/>
  <c r="EA70" i="12"/>
  <c r="EA71" i="12"/>
  <c r="EA72" i="12"/>
  <c r="EA73" i="12"/>
  <c r="EA74" i="12"/>
  <c r="EA75" i="12"/>
  <c r="EA76" i="12"/>
  <c r="EA3" i="12"/>
  <c r="DU4" i="12"/>
  <c r="DU5" i="12"/>
  <c r="DU6" i="12"/>
  <c r="DU7" i="12"/>
  <c r="DU8" i="12"/>
  <c r="DU9" i="12"/>
  <c r="DU10" i="12"/>
  <c r="DU11" i="12"/>
  <c r="DU12" i="12"/>
  <c r="DU13" i="12"/>
  <c r="DU14" i="12"/>
  <c r="DU15" i="12"/>
  <c r="DU16" i="12"/>
  <c r="DU17" i="12"/>
  <c r="DU18" i="12"/>
  <c r="DU19" i="12"/>
  <c r="DU20" i="12"/>
  <c r="DU21" i="12"/>
  <c r="DU22" i="12"/>
  <c r="DU23" i="12"/>
  <c r="DU24" i="12"/>
  <c r="DU25" i="12"/>
  <c r="DU26" i="12"/>
  <c r="DU27" i="12"/>
  <c r="DU28" i="12"/>
  <c r="DU29" i="12"/>
  <c r="DU30" i="12"/>
  <c r="DU31" i="12"/>
  <c r="DU32" i="12"/>
  <c r="DU33" i="12"/>
  <c r="DU34" i="12"/>
  <c r="DU35" i="12"/>
  <c r="DU36" i="12"/>
  <c r="DU37" i="12"/>
  <c r="DU38" i="12"/>
  <c r="DU39" i="12"/>
  <c r="DU40" i="12"/>
  <c r="DU41" i="12"/>
  <c r="DU42" i="12"/>
  <c r="DU43" i="12"/>
  <c r="DU44" i="12"/>
  <c r="DU45" i="12"/>
  <c r="DU46" i="12"/>
  <c r="DU47" i="12"/>
  <c r="DU48" i="12"/>
  <c r="DU49" i="12"/>
  <c r="DU50" i="12"/>
  <c r="DU51" i="12"/>
  <c r="DU52" i="12"/>
  <c r="DU53" i="12"/>
  <c r="DU54" i="12"/>
  <c r="DU55" i="12"/>
  <c r="DU56" i="12"/>
  <c r="DU57" i="12"/>
  <c r="DU58" i="12"/>
  <c r="DU59" i="12"/>
  <c r="DU60" i="12"/>
  <c r="DU61" i="12"/>
  <c r="DU62" i="12"/>
  <c r="DU63" i="12"/>
  <c r="DU64" i="12"/>
  <c r="DU65" i="12"/>
  <c r="DU66" i="12"/>
  <c r="DU67" i="12"/>
  <c r="DU68" i="12"/>
  <c r="DU69" i="12"/>
  <c r="DU70" i="12"/>
  <c r="DU71" i="12"/>
  <c r="DU72" i="12"/>
  <c r="DU73" i="12"/>
  <c r="DU74" i="12"/>
  <c r="DU75" i="12"/>
  <c r="DU76" i="12"/>
  <c r="DI4" i="12"/>
  <c r="DI5" i="12"/>
  <c r="DI6" i="12"/>
  <c r="DI7" i="12"/>
  <c r="DI8" i="12"/>
  <c r="DI9" i="12"/>
  <c r="DI10" i="12"/>
  <c r="DI11" i="12"/>
  <c r="DI12" i="12"/>
  <c r="DI13" i="12"/>
  <c r="DI14" i="12"/>
  <c r="DI15" i="12"/>
  <c r="DI16" i="12"/>
  <c r="DI17" i="12"/>
  <c r="DI18" i="12"/>
  <c r="DI19" i="12"/>
  <c r="DI20" i="12"/>
  <c r="DI21" i="12"/>
  <c r="DI22" i="12"/>
  <c r="DI23" i="12"/>
  <c r="DI24" i="12"/>
  <c r="DI25" i="12"/>
  <c r="DI26" i="12"/>
  <c r="DI27" i="12"/>
  <c r="DI28" i="12"/>
  <c r="DI29" i="12"/>
  <c r="DI30" i="12"/>
  <c r="DI31" i="12"/>
  <c r="DI32" i="12"/>
  <c r="DI33" i="12"/>
  <c r="DI34" i="12"/>
  <c r="DI35" i="12"/>
  <c r="DI36" i="12"/>
  <c r="DI37" i="12"/>
  <c r="DI38" i="12"/>
  <c r="DI39" i="12"/>
  <c r="DI40" i="12"/>
  <c r="DI41" i="12"/>
  <c r="DI42" i="12"/>
  <c r="DI43" i="12"/>
  <c r="DI44" i="12"/>
  <c r="DI45" i="12"/>
  <c r="DI46" i="12"/>
  <c r="DI47" i="12"/>
  <c r="DI48" i="12"/>
  <c r="DI49" i="12"/>
  <c r="DI50" i="12"/>
  <c r="DI51" i="12"/>
  <c r="DI52" i="12"/>
  <c r="DI53" i="12"/>
  <c r="DI54" i="12"/>
  <c r="DI55" i="12"/>
  <c r="DI56" i="12"/>
  <c r="DI57" i="12"/>
  <c r="DI58" i="12"/>
  <c r="DI59" i="12"/>
  <c r="DI60" i="12"/>
  <c r="DI61" i="12"/>
  <c r="DI62" i="12"/>
  <c r="DI63" i="12"/>
  <c r="DI64" i="12"/>
  <c r="DI65" i="12"/>
  <c r="DI66" i="12"/>
  <c r="DI67" i="12"/>
  <c r="DI68" i="12"/>
  <c r="DI69" i="12"/>
  <c r="DI70" i="12"/>
  <c r="DI71" i="12"/>
  <c r="DI72" i="12"/>
  <c r="DI73" i="12"/>
  <c r="DI74" i="12"/>
  <c r="DI75" i="12"/>
  <c r="DI76" i="12"/>
  <c r="DI3" i="12"/>
  <c r="DU3" i="12"/>
  <c r="EG81" i="12" l="1"/>
  <c r="ES81" i="12"/>
  <c r="DO81" i="12"/>
  <c r="DU79" i="12"/>
  <c r="EA81" i="12"/>
  <c r="EG79" i="12"/>
  <c r="EM81" i="12"/>
  <c r="EY81" i="12"/>
  <c r="DU81" i="12"/>
  <c r="DI78" i="12"/>
  <c r="DI82" i="12"/>
  <c r="DI80" i="12"/>
  <c r="EA79" i="12"/>
  <c r="EM79" i="12"/>
  <c r="EY79" i="12"/>
  <c r="DI79" i="12"/>
  <c r="DU82" i="12"/>
  <c r="DU80" i="12"/>
  <c r="EA78" i="12"/>
  <c r="EG82" i="12"/>
  <c r="EG80" i="12"/>
  <c r="EM78" i="12"/>
  <c r="ES82" i="12"/>
  <c r="ES80" i="12"/>
  <c r="EY78" i="12"/>
  <c r="DO82" i="12"/>
  <c r="DO80" i="12"/>
  <c r="DI81" i="12"/>
  <c r="DU78" i="12"/>
  <c r="EA82" i="12"/>
  <c r="EA80" i="12"/>
  <c r="EG78" i="12"/>
  <c r="EM82" i="12"/>
  <c r="EM80" i="12"/>
  <c r="ES78" i="12"/>
  <c r="EY82" i="12"/>
  <c r="EY80" i="12"/>
  <c r="DO79" i="12"/>
  <c r="DO78" i="12"/>
  <c r="J352" i="1"/>
  <c r="H352" i="1"/>
  <c r="I351" i="1"/>
  <c r="H351" i="1"/>
  <c r="H350" i="1"/>
  <c r="H349" i="1"/>
  <c r="H348" i="1"/>
  <c r="H250" i="1"/>
  <c r="M250" i="1" s="1"/>
  <c r="F250" i="1"/>
  <c r="L250" i="1" s="1"/>
  <c r="G250" i="1"/>
  <c r="C320" i="1" l="1"/>
  <c r="C321" i="1"/>
  <c r="C319" i="1"/>
  <c r="I161" i="1"/>
  <c r="F161" i="1"/>
  <c r="AD78" i="12"/>
  <c r="AE78" i="12"/>
  <c r="AD79" i="12"/>
  <c r="AE79" i="12"/>
  <c r="AD80" i="12"/>
  <c r="AE80" i="12"/>
  <c r="AD81" i="12"/>
  <c r="AE81" i="12"/>
  <c r="AD82" i="12"/>
  <c r="AE82" i="12"/>
  <c r="W78" i="12"/>
  <c r="X78" i="12"/>
  <c r="Y78" i="12"/>
  <c r="Z78" i="12"/>
  <c r="AA78" i="12"/>
  <c r="AB78" i="12"/>
  <c r="AC78" i="12"/>
  <c r="W79" i="12"/>
  <c r="X79" i="12"/>
  <c r="Y79" i="12"/>
  <c r="Z79" i="12"/>
  <c r="AA79" i="12"/>
  <c r="AB79" i="12"/>
  <c r="AC79" i="12"/>
  <c r="W80" i="12"/>
  <c r="X80" i="12"/>
  <c r="Y80" i="12"/>
  <c r="Z80" i="12"/>
  <c r="AA80" i="12"/>
  <c r="AB80" i="12"/>
  <c r="AC80" i="12"/>
  <c r="W81" i="12"/>
  <c r="X81" i="12"/>
  <c r="Y81" i="12"/>
  <c r="Z81" i="12"/>
  <c r="AA81" i="12"/>
  <c r="AB81" i="12"/>
  <c r="AC81" i="12"/>
  <c r="W82" i="12"/>
  <c r="X82" i="12"/>
  <c r="Y82" i="12"/>
  <c r="Z82" i="12"/>
  <c r="AA82" i="12"/>
  <c r="AB82" i="12"/>
  <c r="AC82" i="12"/>
  <c r="M78" i="12"/>
  <c r="N78" i="12"/>
  <c r="O78" i="12"/>
  <c r="P78" i="12"/>
  <c r="Q78" i="12"/>
  <c r="R78" i="12"/>
  <c r="S78" i="12"/>
  <c r="T78" i="12"/>
  <c r="U78" i="12"/>
  <c r="V78" i="12"/>
  <c r="M79" i="12"/>
  <c r="N79" i="12"/>
  <c r="O79" i="12"/>
  <c r="P79" i="12"/>
  <c r="Q79" i="12"/>
  <c r="R79" i="12"/>
  <c r="S79" i="12"/>
  <c r="T79" i="12"/>
  <c r="U79" i="12"/>
  <c r="V79" i="12"/>
  <c r="M80" i="12"/>
  <c r="N80" i="12"/>
  <c r="O80" i="12"/>
  <c r="P80" i="12"/>
  <c r="Q80" i="12"/>
  <c r="R80" i="12"/>
  <c r="S80" i="12"/>
  <c r="T80" i="12"/>
  <c r="U80" i="12"/>
  <c r="V80" i="12"/>
  <c r="M81" i="12"/>
  <c r="N81" i="12"/>
  <c r="O81" i="12"/>
  <c r="P81" i="12"/>
  <c r="Q81" i="12"/>
  <c r="R81" i="12"/>
  <c r="S81" i="12"/>
  <c r="T81" i="12"/>
  <c r="U81" i="12"/>
  <c r="V81" i="12"/>
  <c r="M82" i="12"/>
  <c r="N82" i="12"/>
  <c r="O82" i="12"/>
  <c r="P82" i="12"/>
  <c r="Q82" i="12"/>
  <c r="R82" i="12"/>
  <c r="S82" i="12"/>
  <c r="T82" i="12"/>
  <c r="U82" i="12"/>
  <c r="V82" i="12"/>
  <c r="L82" i="12"/>
  <c r="L81" i="12"/>
  <c r="L80" i="12"/>
  <c r="L79" i="12"/>
  <c r="L78" i="12"/>
  <c r="H262" i="1" l="1"/>
  <c r="I262" i="1"/>
  <c r="G262" i="1"/>
  <c r="F262" i="1"/>
  <c r="J377" i="1" l="1"/>
  <c r="H377" i="1"/>
  <c r="M376" i="1"/>
  <c r="L376" i="1"/>
  <c r="K376" i="1"/>
  <c r="J376" i="1"/>
  <c r="I376" i="1"/>
  <c r="H376" i="1"/>
  <c r="J375" i="1"/>
  <c r="H375" i="1"/>
  <c r="L374" i="1"/>
  <c r="H374" i="1"/>
  <c r="H373" i="1"/>
  <c r="M351" i="1"/>
  <c r="E320" i="1" s="1"/>
  <c r="L351" i="1"/>
  <c r="E321" i="1" s="1"/>
  <c r="K351" i="1"/>
  <c r="J351" i="1"/>
  <c r="J350" i="1"/>
  <c r="L349" i="1"/>
  <c r="D319" i="1" l="1"/>
  <c r="D321" i="1"/>
  <c r="D320" i="1"/>
  <c r="L148" i="1"/>
  <c r="J148" i="1"/>
  <c r="AY75" i="12"/>
  <c r="AZ75" i="12"/>
  <c r="N148" i="1" s="1"/>
  <c r="AW75" i="12"/>
  <c r="AX75" i="12"/>
  <c r="AV75" i="12"/>
  <c r="GR48" i="12" l="1"/>
  <c r="GS48" i="12"/>
  <c r="GT48" i="12"/>
  <c r="GU48" i="12"/>
  <c r="GV48" i="12"/>
  <c r="GW48" i="12"/>
  <c r="GX48" i="12"/>
  <c r="GY48" i="12"/>
  <c r="GZ48" i="12"/>
  <c r="HA48" i="12"/>
  <c r="HB48" i="12"/>
  <c r="HC48" i="12"/>
  <c r="HD48" i="12"/>
  <c r="HE48" i="12"/>
  <c r="HF48" i="12"/>
  <c r="HG48" i="12"/>
  <c r="HH48" i="12"/>
  <c r="HI48" i="12"/>
  <c r="HJ48" i="12"/>
  <c r="HK48" i="12"/>
  <c r="HL48" i="12"/>
  <c r="HM48" i="12"/>
  <c r="GR49" i="12"/>
  <c r="GS49" i="12"/>
  <c r="GT49" i="12"/>
  <c r="GU49" i="12"/>
  <c r="GV49" i="12"/>
  <c r="GW49" i="12"/>
  <c r="GX49" i="12"/>
  <c r="GY49" i="12"/>
  <c r="GZ49" i="12"/>
  <c r="HA49" i="12"/>
  <c r="HB49" i="12"/>
  <c r="HC49" i="12"/>
  <c r="HD49" i="12"/>
  <c r="HE49" i="12"/>
  <c r="HF49" i="12"/>
  <c r="HG49" i="12"/>
  <c r="HH49" i="12"/>
  <c r="HI49" i="12"/>
  <c r="HJ49" i="12"/>
  <c r="HK49" i="12"/>
  <c r="HL49" i="12"/>
  <c r="HM49" i="12"/>
  <c r="GR50" i="12"/>
  <c r="GS50" i="12"/>
  <c r="GT50" i="12"/>
  <c r="GU50" i="12"/>
  <c r="GV50" i="12"/>
  <c r="GW50" i="12"/>
  <c r="GX50" i="12"/>
  <c r="GY50" i="12"/>
  <c r="GZ50" i="12"/>
  <c r="HA50" i="12"/>
  <c r="HB50" i="12"/>
  <c r="HC50" i="12"/>
  <c r="HD50" i="12"/>
  <c r="HE50" i="12"/>
  <c r="HF50" i="12"/>
  <c r="HG50" i="12"/>
  <c r="HH50" i="12"/>
  <c r="HI50" i="12"/>
  <c r="HJ50" i="12"/>
  <c r="HK50" i="12"/>
  <c r="HL50" i="12"/>
  <c r="HM50" i="12"/>
  <c r="GR51" i="12"/>
  <c r="GS51" i="12"/>
  <c r="GT51" i="12"/>
  <c r="GU51" i="12"/>
  <c r="GV51" i="12"/>
  <c r="GW51" i="12"/>
  <c r="GX51" i="12"/>
  <c r="GY51" i="12"/>
  <c r="GZ51" i="12"/>
  <c r="HA51" i="12"/>
  <c r="HB51" i="12"/>
  <c r="HC51" i="12"/>
  <c r="HD51" i="12"/>
  <c r="HE51" i="12"/>
  <c r="HF51" i="12"/>
  <c r="HG51" i="12"/>
  <c r="HH51" i="12"/>
  <c r="HI51" i="12"/>
  <c r="HJ51" i="12"/>
  <c r="HK51" i="12"/>
  <c r="HL51" i="12"/>
  <c r="HM51" i="12"/>
  <c r="GR52" i="12"/>
  <c r="GS52" i="12"/>
  <c r="GT52" i="12"/>
  <c r="GU52" i="12"/>
  <c r="GV52" i="12"/>
  <c r="GW52" i="12"/>
  <c r="GX52" i="12"/>
  <c r="GY52" i="12"/>
  <c r="GZ52" i="12"/>
  <c r="HA52" i="12"/>
  <c r="HB52" i="12"/>
  <c r="HC52" i="12"/>
  <c r="HD52" i="12"/>
  <c r="HE52" i="12"/>
  <c r="HF52" i="12"/>
  <c r="HG52" i="12"/>
  <c r="HH52" i="12"/>
  <c r="HI52" i="12"/>
  <c r="HJ52" i="12"/>
  <c r="HK52" i="12"/>
  <c r="HL52" i="12"/>
  <c r="HM52" i="12"/>
  <c r="GR53" i="12"/>
  <c r="GS53" i="12"/>
  <c r="GT53" i="12"/>
  <c r="GU53" i="12"/>
  <c r="GV53" i="12"/>
  <c r="GW53" i="12"/>
  <c r="GX53" i="12"/>
  <c r="GY53" i="12"/>
  <c r="GZ53" i="12"/>
  <c r="HA53" i="12"/>
  <c r="HB53" i="12"/>
  <c r="HC53" i="12"/>
  <c r="HD53" i="12"/>
  <c r="HE53" i="12"/>
  <c r="HF53" i="12"/>
  <c r="HG53" i="12"/>
  <c r="HH53" i="12"/>
  <c r="HI53" i="12"/>
  <c r="HJ53" i="12"/>
  <c r="HK53" i="12"/>
  <c r="HL53" i="12"/>
  <c r="HM53" i="12"/>
  <c r="GR54" i="12"/>
  <c r="GS54" i="12"/>
  <c r="GT54" i="12"/>
  <c r="GU54" i="12"/>
  <c r="GV54" i="12"/>
  <c r="GW54" i="12"/>
  <c r="GX54" i="12"/>
  <c r="GY54" i="12"/>
  <c r="GZ54" i="12"/>
  <c r="HA54" i="12"/>
  <c r="HB54" i="12"/>
  <c r="HC54" i="12"/>
  <c r="HD54" i="12"/>
  <c r="HE54" i="12"/>
  <c r="HF54" i="12"/>
  <c r="HG54" i="12"/>
  <c r="HH54" i="12"/>
  <c r="HI54" i="12"/>
  <c r="HJ54" i="12"/>
  <c r="HK54" i="12"/>
  <c r="HL54" i="12"/>
  <c r="HM54" i="12"/>
  <c r="GR55" i="12"/>
  <c r="GS55" i="12"/>
  <c r="GT55" i="12"/>
  <c r="GU55" i="12"/>
  <c r="GV55" i="12"/>
  <c r="GW55" i="12"/>
  <c r="GX55" i="12"/>
  <c r="GY55" i="12"/>
  <c r="GZ55" i="12"/>
  <c r="HA55" i="12"/>
  <c r="HB55" i="12"/>
  <c r="HC55" i="12"/>
  <c r="HD55" i="12"/>
  <c r="HE55" i="12"/>
  <c r="HF55" i="12"/>
  <c r="HG55" i="12"/>
  <c r="HH55" i="12"/>
  <c r="HI55" i="12"/>
  <c r="HJ55" i="12"/>
  <c r="HK55" i="12"/>
  <c r="HL55" i="12"/>
  <c r="HM55" i="12"/>
  <c r="GR56" i="12"/>
  <c r="GS56" i="12"/>
  <c r="GT56" i="12"/>
  <c r="GU56" i="12"/>
  <c r="GV56" i="12"/>
  <c r="GW56" i="12"/>
  <c r="GX56" i="12"/>
  <c r="GY56" i="12"/>
  <c r="GZ56" i="12"/>
  <c r="HA56" i="12"/>
  <c r="HB56" i="12"/>
  <c r="HC56" i="12"/>
  <c r="HD56" i="12"/>
  <c r="HE56" i="12"/>
  <c r="HF56" i="12"/>
  <c r="HG56" i="12"/>
  <c r="HH56" i="12"/>
  <c r="HI56" i="12"/>
  <c r="HJ56" i="12"/>
  <c r="HK56" i="12"/>
  <c r="HL56" i="12"/>
  <c r="HM56" i="12"/>
  <c r="GR57" i="12"/>
  <c r="GS57" i="12"/>
  <c r="GT57" i="12"/>
  <c r="GU57" i="12"/>
  <c r="GV57" i="12"/>
  <c r="GW57" i="12"/>
  <c r="GX57" i="12"/>
  <c r="GY57" i="12"/>
  <c r="GZ57" i="12"/>
  <c r="HA57" i="12"/>
  <c r="HB57" i="12"/>
  <c r="HC57" i="12"/>
  <c r="HD57" i="12"/>
  <c r="HE57" i="12"/>
  <c r="HF57" i="12"/>
  <c r="HG57" i="12"/>
  <c r="HH57" i="12"/>
  <c r="HI57" i="12"/>
  <c r="HJ57" i="12"/>
  <c r="HK57" i="12"/>
  <c r="HL57" i="12"/>
  <c r="HM57" i="12"/>
  <c r="GR58" i="12"/>
  <c r="GS58" i="12"/>
  <c r="GT58" i="12"/>
  <c r="GU58" i="12"/>
  <c r="GV58" i="12"/>
  <c r="GW58" i="12"/>
  <c r="GX58" i="12"/>
  <c r="GY58" i="12"/>
  <c r="GZ58" i="12"/>
  <c r="HA58" i="12"/>
  <c r="HB58" i="12"/>
  <c r="HC58" i="12"/>
  <c r="HD58" i="12"/>
  <c r="HE58" i="12"/>
  <c r="HF58" i="12"/>
  <c r="HG58" i="12"/>
  <c r="HH58" i="12"/>
  <c r="HI58" i="12"/>
  <c r="HJ58" i="12"/>
  <c r="HK58" i="12"/>
  <c r="HL58" i="12"/>
  <c r="HM58" i="12"/>
  <c r="GR59" i="12"/>
  <c r="GS59" i="12"/>
  <c r="GT59" i="12"/>
  <c r="GU59" i="12"/>
  <c r="GV59" i="12"/>
  <c r="GW59" i="12"/>
  <c r="GX59" i="12"/>
  <c r="GY59" i="12"/>
  <c r="GZ59" i="12"/>
  <c r="HA59" i="12"/>
  <c r="HB59" i="12"/>
  <c r="HC59" i="12"/>
  <c r="HD59" i="12"/>
  <c r="HE59" i="12"/>
  <c r="HF59" i="12"/>
  <c r="HG59" i="12"/>
  <c r="HH59" i="12"/>
  <c r="HI59" i="12"/>
  <c r="HJ59" i="12"/>
  <c r="HK59" i="12"/>
  <c r="HL59" i="12"/>
  <c r="HM59" i="12"/>
  <c r="GQ59" i="12"/>
  <c r="GQ58" i="12"/>
  <c r="GQ57" i="12"/>
  <c r="GQ56" i="12"/>
  <c r="GQ55" i="12"/>
  <c r="GQ54" i="12"/>
  <c r="GQ53" i="12"/>
  <c r="GQ52" i="12"/>
  <c r="GQ51" i="12"/>
  <c r="GQ50" i="12"/>
  <c r="GQ49" i="12"/>
  <c r="GQ48" i="12"/>
  <c r="FX59" i="12" l="1"/>
  <c r="FX58" i="12"/>
  <c r="FX57" i="12"/>
  <c r="FX56" i="12"/>
  <c r="FX55" i="12"/>
  <c r="FX54" i="12"/>
  <c r="FX53" i="12"/>
  <c r="FX52" i="12"/>
  <c r="FX51" i="12"/>
  <c r="FX50" i="12"/>
  <c r="FX49" i="12"/>
  <c r="FX48" i="12"/>
  <c r="FW59" i="12"/>
  <c r="FW58" i="12"/>
  <c r="FW57" i="12"/>
  <c r="FW56" i="12"/>
  <c r="FW55" i="12"/>
  <c r="FW54" i="12"/>
  <c r="FW53" i="12"/>
  <c r="FW52" i="12"/>
  <c r="FW51" i="12"/>
  <c r="FW50" i="12"/>
  <c r="FW49" i="12"/>
  <c r="FW48" i="12"/>
  <c r="FV59" i="12"/>
  <c r="FV58" i="12"/>
  <c r="FV57" i="12"/>
  <c r="FV56" i="12"/>
  <c r="FV55" i="12"/>
  <c r="FV54" i="12"/>
  <c r="FV53" i="12"/>
  <c r="FV52" i="12"/>
  <c r="FV51" i="12"/>
  <c r="FV50" i="12"/>
  <c r="FV49" i="12"/>
  <c r="FV48" i="12"/>
  <c r="FU59" i="12"/>
  <c r="FU58" i="12"/>
  <c r="FU57" i="12"/>
  <c r="FU56" i="12"/>
  <c r="FU55" i="12"/>
  <c r="FU54" i="12"/>
  <c r="FU53" i="12"/>
  <c r="FU52" i="12"/>
  <c r="FU51" i="12"/>
  <c r="FU50" i="12"/>
  <c r="FU49" i="12"/>
  <c r="FU48" i="12"/>
  <c r="FT59" i="12"/>
  <c r="FT58" i="12"/>
  <c r="FT57" i="12"/>
  <c r="FT56" i="12"/>
  <c r="FT55" i="12"/>
  <c r="FT54" i="12"/>
  <c r="FT53" i="12"/>
  <c r="FT52" i="12"/>
  <c r="FT51" i="12"/>
  <c r="FT50" i="12"/>
  <c r="FT49" i="12"/>
  <c r="FT48" i="12"/>
  <c r="EU59" i="12"/>
  <c r="ET59" i="12"/>
  <c r="EU58" i="12"/>
  <c r="ET58" i="12"/>
  <c r="EU57" i="12"/>
  <c r="ET57" i="12"/>
  <c r="EU56" i="12"/>
  <c r="ET56" i="12"/>
  <c r="EU55" i="12"/>
  <c r="ET55" i="12"/>
  <c r="EU54" i="12"/>
  <c r="ET54" i="12"/>
  <c r="EU53" i="12"/>
  <c r="J374" i="1" s="1"/>
  <c r="ET53" i="12"/>
  <c r="J373" i="1" s="1"/>
  <c r="EU52" i="12"/>
  <c r="ET52" i="12"/>
  <c r="EU51" i="12"/>
  <c r="ET51" i="12"/>
  <c r="EU50" i="12"/>
  <c r="ET50" i="12"/>
  <c r="EU49" i="12"/>
  <c r="ET49" i="12"/>
  <c r="EU48" i="12"/>
  <c r="ET48" i="12"/>
  <c r="EO59" i="12"/>
  <c r="EN59" i="12"/>
  <c r="EO58" i="12"/>
  <c r="EN58" i="12"/>
  <c r="EO57" i="12"/>
  <c r="EN57" i="12"/>
  <c r="EO56" i="12"/>
  <c r="EN56" i="12"/>
  <c r="EO55" i="12"/>
  <c r="EN55" i="12"/>
  <c r="EO54" i="12"/>
  <c r="EN54" i="12"/>
  <c r="EO53" i="12"/>
  <c r="EN53" i="12"/>
  <c r="EO52" i="12"/>
  <c r="EN52" i="12"/>
  <c r="EO51" i="12"/>
  <c r="EN51" i="12"/>
  <c r="EO50" i="12"/>
  <c r="EN50" i="12"/>
  <c r="EO49" i="12"/>
  <c r="EN49" i="12"/>
  <c r="EO48" i="12"/>
  <c r="EN48" i="12"/>
  <c r="EI59" i="12"/>
  <c r="EH59" i="12"/>
  <c r="EI58" i="12"/>
  <c r="EH58" i="12"/>
  <c r="EI57" i="12"/>
  <c r="EH57" i="12"/>
  <c r="EI56" i="12"/>
  <c r="EH56" i="12"/>
  <c r="EI55" i="12"/>
  <c r="EH55" i="12"/>
  <c r="EI54" i="12"/>
  <c r="EH54" i="12"/>
  <c r="EI53" i="12"/>
  <c r="EH53" i="12"/>
  <c r="EI52" i="12"/>
  <c r="EH52" i="12"/>
  <c r="EI51" i="12"/>
  <c r="EH51" i="12"/>
  <c r="EI50" i="12"/>
  <c r="EH50" i="12"/>
  <c r="EI49" i="12"/>
  <c r="EH49" i="12"/>
  <c r="EI48" i="12"/>
  <c r="EH48" i="12"/>
  <c r="EC59" i="12"/>
  <c r="EB59" i="12"/>
  <c r="EC58" i="12"/>
  <c r="EB58" i="12"/>
  <c r="EC57" i="12"/>
  <c r="EB57" i="12"/>
  <c r="EC56" i="12"/>
  <c r="EB56" i="12"/>
  <c r="EC55" i="12"/>
  <c r="EB55" i="12"/>
  <c r="EC54" i="12"/>
  <c r="EB54" i="12"/>
  <c r="EC53" i="12"/>
  <c r="EB53" i="12"/>
  <c r="EC52" i="12"/>
  <c r="EB52" i="12"/>
  <c r="EC51" i="12"/>
  <c r="EB51" i="12"/>
  <c r="EC50" i="12"/>
  <c r="EB50" i="12"/>
  <c r="EC49" i="12"/>
  <c r="EB49" i="12"/>
  <c r="EC48" i="12"/>
  <c r="EB48" i="12"/>
  <c r="DW59" i="12"/>
  <c r="DV59" i="12"/>
  <c r="DW58" i="12"/>
  <c r="DV58" i="12"/>
  <c r="DW57" i="12"/>
  <c r="DV57" i="12"/>
  <c r="DW56" i="12"/>
  <c r="DV56" i="12"/>
  <c r="DW55" i="12"/>
  <c r="DV55" i="12"/>
  <c r="DW54" i="12"/>
  <c r="DV54" i="12"/>
  <c r="DW53" i="12"/>
  <c r="J349" i="1" s="1"/>
  <c r="DV53" i="12"/>
  <c r="J348" i="1" s="1"/>
  <c r="DW52" i="12"/>
  <c r="DV52" i="12"/>
  <c r="DW51" i="12"/>
  <c r="DV51" i="12"/>
  <c r="DW50" i="12"/>
  <c r="DV50" i="12"/>
  <c r="DW49" i="12"/>
  <c r="DV49" i="12"/>
  <c r="DW48" i="12"/>
  <c r="DV48" i="12"/>
  <c r="DK48" i="12"/>
  <c r="DK49" i="12"/>
  <c r="DK50" i="12"/>
  <c r="DK51" i="12"/>
  <c r="DK52" i="12"/>
  <c r="DK53" i="12"/>
  <c r="DK54" i="12"/>
  <c r="DK55" i="12"/>
  <c r="DK56" i="12"/>
  <c r="DK57" i="12"/>
  <c r="DK58" i="12"/>
  <c r="DK59" i="12"/>
  <c r="DJ59" i="12"/>
  <c r="DJ58" i="12"/>
  <c r="DJ57" i="12"/>
  <c r="DJ56" i="12"/>
  <c r="DJ55" i="12"/>
  <c r="DJ54" i="12"/>
  <c r="DJ53" i="12"/>
  <c r="DJ52" i="12"/>
  <c r="DJ51" i="12"/>
  <c r="DJ50" i="12"/>
  <c r="DJ49" i="12"/>
  <c r="DJ48" i="12"/>
  <c r="DE48" i="12"/>
  <c r="DE49" i="12"/>
  <c r="DE50" i="12"/>
  <c r="DE51" i="12"/>
  <c r="DE52" i="12"/>
  <c r="DE53" i="12"/>
  <c r="DE54" i="12"/>
  <c r="DE55" i="12"/>
  <c r="DE56" i="12"/>
  <c r="DE57" i="12"/>
  <c r="DE58" i="12"/>
  <c r="DE59" i="12"/>
  <c r="DD59" i="12"/>
  <c r="DD58" i="12"/>
  <c r="DD57" i="12"/>
  <c r="DD56" i="12"/>
  <c r="DD55" i="12"/>
  <c r="DD54" i="12"/>
  <c r="DD53" i="12"/>
  <c r="DD52" i="12"/>
  <c r="DD51" i="12"/>
  <c r="DD50" i="12"/>
  <c r="DD49" i="12"/>
  <c r="DD48" i="12"/>
  <c r="CW48" i="12"/>
  <c r="CW49" i="12"/>
  <c r="CW50" i="12"/>
  <c r="CW51" i="12"/>
  <c r="CW52" i="12"/>
  <c r="CW53" i="12"/>
  <c r="CW54" i="12"/>
  <c r="CW55" i="12"/>
  <c r="CW56" i="12"/>
  <c r="CW57" i="12"/>
  <c r="CW58" i="12"/>
  <c r="CW59" i="12"/>
  <c r="CV59" i="12"/>
  <c r="CV58" i="12"/>
  <c r="CV57" i="12"/>
  <c r="CV56" i="12"/>
  <c r="CV55" i="12"/>
  <c r="CV54" i="12"/>
  <c r="CV53" i="12"/>
  <c r="CV52" i="12"/>
  <c r="CV51" i="12"/>
  <c r="CV50" i="12"/>
  <c r="CV49" i="12"/>
  <c r="CV48" i="12"/>
  <c r="CS48" i="12"/>
  <c r="CT48" i="12"/>
  <c r="CS49" i="12"/>
  <c r="CT49" i="12"/>
  <c r="CS50" i="12"/>
  <c r="CT50" i="12"/>
  <c r="CS51" i="12"/>
  <c r="CT51" i="12"/>
  <c r="CS52" i="12"/>
  <c r="CT52" i="12"/>
  <c r="CS53" i="12"/>
  <c r="CT53" i="12"/>
  <c r="CS54" i="12"/>
  <c r="CT54" i="12"/>
  <c r="CS55" i="12"/>
  <c r="CT55" i="12"/>
  <c r="CS56" i="12"/>
  <c r="CT56" i="12"/>
  <c r="CS57" i="12"/>
  <c r="CT57" i="12"/>
  <c r="CS58" i="12"/>
  <c r="CT58" i="12"/>
  <c r="CS59" i="12"/>
  <c r="CT59" i="12"/>
  <c r="CR59" i="12"/>
  <c r="CR58" i="12"/>
  <c r="CR57" i="12"/>
  <c r="CR56" i="12"/>
  <c r="CR55" i="12"/>
  <c r="CR54" i="12"/>
  <c r="CR53" i="12"/>
  <c r="CR52" i="12"/>
  <c r="CR51" i="12"/>
  <c r="CR50" i="12"/>
  <c r="CR49" i="12"/>
  <c r="CR48" i="12"/>
  <c r="CB48" i="12"/>
  <c r="CC48" i="12"/>
  <c r="CE48" i="12"/>
  <c r="CB49" i="12"/>
  <c r="CC49" i="12"/>
  <c r="CE49" i="12"/>
  <c r="CB50" i="12"/>
  <c r="CC50" i="12"/>
  <c r="CE50" i="12"/>
  <c r="CB51" i="12"/>
  <c r="CC51" i="12"/>
  <c r="CE51" i="12"/>
  <c r="CB52" i="12"/>
  <c r="CC52" i="12"/>
  <c r="CE52" i="12"/>
  <c r="CB53" i="12"/>
  <c r="CC53" i="12"/>
  <c r="CE53" i="12"/>
  <c r="CB54" i="12"/>
  <c r="CC54" i="12"/>
  <c r="CE54" i="12"/>
  <c r="CB55" i="12"/>
  <c r="CC55" i="12"/>
  <c r="CE55" i="12"/>
  <c r="CB56" i="12"/>
  <c r="CC56" i="12"/>
  <c r="CE56" i="12"/>
  <c r="CB57" i="12"/>
  <c r="CC57" i="12"/>
  <c r="CE57" i="12"/>
  <c r="CB58" i="12"/>
  <c r="CC58" i="12"/>
  <c r="CE58" i="12"/>
  <c r="CB59" i="12"/>
  <c r="CC59" i="12"/>
  <c r="CE59" i="12"/>
  <c r="BS48" i="12"/>
  <c r="BT48" i="12"/>
  <c r="BS49" i="12"/>
  <c r="BT49" i="12"/>
  <c r="BS50" i="12"/>
  <c r="BT50" i="12"/>
  <c r="BS51" i="12"/>
  <c r="BT51" i="12"/>
  <c r="BS52" i="12"/>
  <c r="BT52" i="12"/>
  <c r="BS53" i="12"/>
  <c r="BT53" i="12"/>
  <c r="BS54" i="12"/>
  <c r="BT54" i="12"/>
  <c r="BS55" i="12"/>
  <c r="BT55" i="12"/>
  <c r="BS56" i="12"/>
  <c r="BT56" i="12"/>
  <c r="BS57" i="12"/>
  <c r="BT57" i="12"/>
  <c r="BS58" i="12"/>
  <c r="BT58" i="12"/>
  <c r="BS59" i="12"/>
  <c r="BT59" i="12"/>
  <c r="BR59" i="12"/>
  <c r="BR58" i="12"/>
  <c r="BR57" i="12"/>
  <c r="BR56" i="12"/>
  <c r="BR55" i="12"/>
  <c r="BR54" i="12"/>
  <c r="BR53" i="12"/>
  <c r="BR52" i="12"/>
  <c r="BR51" i="12"/>
  <c r="BR50" i="12"/>
  <c r="BR49" i="12"/>
  <c r="BR48" i="12"/>
  <c r="BL48" i="12"/>
  <c r="BM48" i="12"/>
  <c r="BN48" i="12"/>
  <c r="BO48" i="12"/>
  <c r="BP48" i="12"/>
  <c r="BQ48" i="12"/>
  <c r="BL49" i="12"/>
  <c r="BM49" i="12"/>
  <c r="BN49" i="12"/>
  <c r="BO49" i="12"/>
  <c r="BP49" i="12"/>
  <c r="BQ49" i="12"/>
  <c r="BL50" i="12"/>
  <c r="BM50" i="12"/>
  <c r="BN50" i="12"/>
  <c r="BO50" i="12"/>
  <c r="BP50" i="12"/>
  <c r="BQ50" i="12"/>
  <c r="BL51" i="12"/>
  <c r="BM51" i="12"/>
  <c r="BN51" i="12"/>
  <c r="BO51" i="12"/>
  <c r="BP51" i="12"/>
  <c r="BQ51" i="12"/>
  <c r="BL52" i="12"/>
  <c r="BM52" i="12"/>
  <c r="BN52" i="12"/>
  <c r="BO52" i="12"/>
  <c r="BP52" i="12"/>
  <c r="BQ52" i="12"/>
  <c r="BL53" i="12"/>
  <c r="BM53" i="12"/>
  <c r="BN53" i="12"/>
  <c r="BO53" i="12"/>
  <c r="BP53" i="12"/>
  <c r="BQ53" i="12"/>
  <c r="BL54" i="12"/>
  <c r="BM54" i="12"/>
  <c r="BN54" i="12"/>
  <c r="BO54" i="12"/>
  <c r="BP54" i="12"/>
  <c r="BQ54" i="12"/>
  <c r="BL55" i="12"/>
  <c r="BM55" i="12"/>
  <c r="BN55" i="12"/>
  <c r="BO55" i="12"/>
  <c r="BP55" i="12"/>
  <c r="BQ55" i="12"/>
  <c r="BL56" i="12"/>
  <c r="BM56" i="12"/>
  <c r="BN56" i="12"/>
  <c r="BO56" i="12"/>
  <c r="BP56" i="12"/>
  <c r="BQ56" i="12"/>
  <c r="BL57" i="12"/>
  <c r="BM57" i="12"/>
  <c r="BN57" i="12"/>
  <c r="BO57" i="12"/>
  <c r="BP57" i="12"/>
  <c r="BQ57" i="12"/>
  <c r="BL58" i="12"/>
  <c r="BM58" i="12"/>
  <c r="BN58" i="12"/>
  <c r="BO58" i="12"/>
  <c r="BP58" i="12"/>
  <c r="BQ58" i="12"/>
  <c r="BL59" i="12"/>
  <c r="BM59" i="12"/>
  <c r="BN59" i="12"/>
  <c r="BO59" i="12"/>
  <c r="BP59" i="12"/>
  <c r="BQ59" i="12"/>
  <c r="BK59" i="12"/>
  <c r="BK58" i="12"/>
  <c r="BK57" i="12"/>
  <c r="BK56" i="12"/>
  <c r="BK55" i="12"/>
  <c r="BK54" i="12"/>
  <c r="BK53" i="12"/>
  <c r="BK52" i="12"/>
  <c r="BK51" i="12"/>
  <c r="BK50" i="12"/>
  <c r="BK49" i="12"/>
  <c r="BK48" i="12"/>
  <c r="BJ59" i="12"/>
  <c r="BJ58" i="12"/>
  <c r="BJ57" i="12"/>
  <c r="BJ56" i="12"/>
  <c r="BJ55" i="12"/>
  <c r="BJ54" i="12"/>
  <c r="BJ53" i="12"/>
  <c r="BJ52" i="12"/>
  <c r="BJ51" i="12"/>
  <c r="BJ50" i="12"/>
  <c r="BJ49" i="12"/>
  <c r="BJ48" i="12"/>
  <c r="BG48" i="12"/>
  <c r="BH48" i="12"/>
  <c r="BG49" i="12"/>
  <c r="BH49" i="12"/>
  <c r="BG50" i="12"/>
  <c r="BH50" i="12"/>
  <c r="BI50" i="12" s="1"/>
  <c r="BG51" i="12"/>
  <c r="BH51" i="12"/>
  <c r="BG52" i="12"/>
  <c r="BH52" i="12"/>
  <c r="BG53" i="12"/>
  <c r="BH53" i="12"/>
  <c r="BG54" i="12"/>
  <c r="BH54" i="12"/>
  <c r="BI54" i="12" s="1"/>
  <c r="BG55" i="12"/>
  <c r="BH55" i="12"/>
  <c r="BG56" i="12"/>
  <c r="BH56" i="12"/>
  <c r="BG57" i="12"/>
  <c r="BH57" i="12"/>
  <c r="BG58" i="12"/>
  <c r="BH58" i="12"/>
  <c r="BI58" i="12" s="1"/>
  <c r="BG59" i="12"/>
  <c r="BH59" i="12"/>
  <c r="BF59" i="12"/>
  <c r="BF58" i="12"/>
  <c r="BF57" i="12"/>
  <c r="BF56" i="12"/>
  <c r="BF55" i="12"/>
  <c r="BF54" i="12"/>
  <c r="BF53" i="12"/>
  <c r="BF52" i="12"/>
  <c r="BF51" i="12"/>
  <c r="BF50" i="12"/>
  <c r="BF49" i="12"/>
  <c r="BF48" i="12"/>
  <c r="AV50" i="12"/>
  <c r="AW50" i="12"/>
  <c r="AX50" i="12"/>
  <c r="AY50" i="12"/>
  <c r="AV51" i="12"/>
  <c r="AW51" i="12"/>
  <c r="AX51" i="12"/>
  <c r="AY51" i="12"/>
  <c r="AV52" i="12"/>
  <c r="AW52" i="12"/>
  <c r="AX52" i="12"/>
  <c r="AY52" i="12"/>
  <c r="AV53" i="12"/>
  <c r="AW53" i="12"/>
  <c r="AX53" i="12"/>
  <c r="AY53" i="12"/>
  <c r="AV54" i="12"/>
  <c r="AW54" i="12"/>
  <c r="AX54" i="12"/>
  <c r="AY54" i="12"/>
  <c r="AV55" i="12"/>
  <c r="AW55" i="12"/>
  <c r="AX55" i="12"/>
  <c r="AY55" i="12"/>
  <c r="AV56" i="12"/>
  <c r="AW56" i="12"/>
  <c r="AX56" i="12"/>
  <c r="AY56" i="12"/>
  <c r="AV57" i="12"/>
  <c r="AW57" i="12"/>
  <c r="AX57" i="12"/>
  <c r="AY57" i="12"/>
  <c r="AV58" i="12"/>
  <c r="AW58" i="12"/>
  <c r="AX58" i="12"/>
  <c r="AY58" i="12"/>
  <c r="AV59" i="12"/>
  <c r="AW59" i="12"/>
  <c r="AX59" i="12"/>
  <c r="AY59" i="12"/>
  <c r="AQ59" i="12"/>
  <c r="AR59" i="12"/>
  <c r="AS59" i="12"/>
  <c r="AT59" i="12"/>
  <c r="AU59" i="12"/>
  <c r="AQ58" i="12"/>
  <c r="AR58" i="12"/>
  <c r="AS58" i="12"/>
  <c r="AT58" i="12"/>
  <c r="AU58" i="12"/>
  <c r="AQ57" i="12"/>
  <c r="AR57" i="12"/>
  <c r="AS57" i="12"/>
  <c r="AT57" i="12"/>
  <c r="AU57" i="12"/>
  <c r="AQ56" i="12"/>
  <c r="AR56" i="12"/>
  <c r="AS56" i="12"/>
  <c r="AT56" i="12"/>
  <c r="AU56" i="12"/>
  <c r="AQ55" i="12"/>
  <c r="AR55" i="12"/>
  <c r="AS55" i="12"/>
  <c r="AT55" i="12"/>
  <c r="AU55" i="12"/>
  <c r="AQ54" i="12"/>
  <c r="AR54" i="12"/>
  <c r="AS54" i="12"/>
  <c r="AT54" i="12"/>
  <c r="AU54" i="12"/>
  <c r="AQ53" i="12"/>
  <c r="AR53" i="12"/>
  <c r="AS53" i="12"/>
  <c r="AT53" i="12"/>
  <c r="AU53" i="12"/>
  <c r="AQ52" i="12"/>
  <c r="AR52" i="12"/>
  <c r="AS52" i="12"/>
  <c r="AT52" i="12"/>
  <c r="AU52" i="12"/>
  <c r="AQ51" i="12"/>
  <c r="AR51" i="12"/>
  <c r="AS51" i="12"/>
  <c r="AT51" i="12"/>
  <c r="AU51" i="12"/>
  <c r="AQ50" i="12"/>
  <c r="AR50" i="12"/>
  <c r="AS50" i="12"/>
  <c r="AT50" i="12"/>
  <c r="AU50" i="12"/>
  <c r="AV49" i="12"/>
  <c r="AW49" i="12"/>
  <c r="AX49" i="12"/>
  <c r="AY49" i="12"/>
  <c r="AU49" i="12"/>
  <c r="AQ49" i="12"/>
  <c r="AR49" i="12"/>
  <c r="AS49" i="12"/>
  <c r="AT49" i="12"/>
  <c r="AV48" i="12"/>
  <c r="AW48" i="12"/>
  <c r="AX48" i="12"/>
  <c r="AY48" i="12"/>
  <c r="AQ48" i="12"/>
  <c r="AR48" i="12"/>
  <c r="AS48" i="12"/>
  <c r="AT48" i="12"/>
  <c r="AY80" i="12" l="1"/>
  <c r="DW80" i="12"/>
  <c r="EC80" i="12"/>
  <c r="EO80" i="12"/>
  <c r="EU80" i="12"/>
  <c r="AT80" i="12"/>
  <c r="AU80" i="12"/>
  <c r="EI80" i="12"/>
  <c r="FZ53" i="12"/>
  <c r="FY53" i="12"/>
  <c r="FZ57" i="12"/>
  <c r="FY48" i="12"/>
  <c r="FY52" i="12"/>
  <c r="FY56" i="12"/>
  <c r="FZ48" i="12"/>
  <c r="FZ52" i="12"/>
  <c r="FZ56" i="12"/>
  <c r="FY49" i="12"/>
  <c r="FY57" i="12"/>
  <c r="FZ49" i="12"/>
  <c r="FY50" i="12"/>
  <c r="FY54" i="12"/>
  <c r="FY58" i="12"/>
  <c r="FZ50" i="12"/>
  <c r="FZ54" i="12"/>
  <c r="FZ58" i="12"/>
  <c r="FY51" i="12"/>
  <c r="FY55" i="12"/>
  <c r="FY59" i="12"/>
  <c r="FZ51" i="12"/>
  <c r="FZ55" i="12"/>
  <c r="FZ59" i="12"/>
  <c r="AW80" i="12"/>
  <c r="AR80" i="12"/>
  <c r="BG80" i="12"/>
  <c r="BP80" i="12"/>
  <c r="BL80" i="12"/>
  <c r="BS80" i="12"/>
  <c r="CS80" i="12"/>
  <c r="CW80" i="12"/>
  <c r="DK80" i="12"/>
  <c r="AQ80" i="12"/>
  <c r="AV80" i="12"/>
  <c r="BF80" i="12"/>
  <c r="BJ80" i="12"/>
  <c r="BK80" i="12"/>
  <c r="BO80" i="12"/>
  <c r="BR80" i="12"/>
  <c r="CR80" i="12"/>
  <c r="CV80" i="12"/>
  <c r="DD80" i="12"/>
  <c r="DJ80" i="12"/>
  <c r="DV80" i="12"/>
  <c r="EB80" i="12"/>
  <c r="EH80" i="12"/>
  <c r="EN80" i="12"/>
  <c r="ET80" i="12"/>
  <c r="BN80" i="12"/>
  <c r="AS80" i="12"/>
  <c r="AX80" i="12"/>
  <c r="BH80" i="12"/>
  <c r="BQ80" i="12"/>
  <c r="BM80" i="12"/>
  <c r="BT80" i="12"/>
  <c r="CT80" i="12"/>
  <c r="DE80" i="12"/>
  <c r="BI57" i="12"/>
  <c r="BI53" i="12"/>
  <c r="BI49" i="12"/>
  <c r="CU48" i="12"/>
  <c r="CU52" i="12"/>
  <c r="CU56" i="12"/>
  <c r="CU57" i="12"/>
  <c r="CU53" i="12"/>
  <c r="CU49" i="12"/>
  <c r="CU59" i="12"/>
  <c r="CU55" i="12"/>
  <c r="CU51" i="12"/>
  <c r="BI59" i="12"/>
  <c r="BI55" i="12"/>
  <c r="BI51" i="12"/>
  <c r="BI48" i="12"/>
  <c r="BI52" i="12"/>
  <c r="BI56" i="12"/>
  <c r="CU58" i="12"/>
  <c r="CU54" i="12"/>
  <c r="CU50" i="12"/>
  <c r="BI80" i="12" l="1"/>
  <c r="CU80" i="12"/>
  <c r="D309" i="1"/>
  <c r="F160" i="1" l="1"/>
  <c r="C309" i="1"/>
  <c r="I160" i="1"/>
  <c r="J143" i="1"/>
  <c r="J372" i="1"/>
  <c r="H347" i="1"/>
  <c r="H372" i="1"/>
  <c r="J341" i="1"/>
  <c r="J347" i="1"/>
  <c r="H452" i="1" l="1"/>
  <c r="H451" i="1"/>
  <c r="H449" i="1"/>
  <c r="H448" i="1"/>
  <c r="H446" i="1"/>
  <c r="H445" i="1"/>
  <c r="H443" i="1"/>
  <c r="H442" i="1"/>
  <c r="H450" i="1"/>
  <c r="M450" i="1" s="1"/>
  <c r="H447" i="1"/>
  <c r="M447" i="1" s="1"/>
  <c r="H444" i="1"/>
  <c r="M444" i="1" s="1"/>
  <c r="H441" i="1"/>
  <c r="N112" i="1"/>
  <c r="N111" i="1"/>
  <c r="N110" i="1"/>
  <c r="N109" i="1"/>
  <c r="N108" i="1"/>
  <c r="L112" i="1"/>
  <c r="L111" i="1"/>
  <c r="L110" i="1"/>
  <c r="L109" i="1"/>
  <c r="L108" i="1"/>
  <c r="FZ4" i="12"/>
  <c r="FZ5" i="12"/>
  <c r="FZ6" i="12"/>
  <c r="FZ7" i="12"/>
  <c r="FZ8" i="12"/>
  <c r="FZ9" i="12"/>
  <c r="FZ10" i="12"/>
  <c r="FZ13" i="12"/>
  <c r="FZ12" i="12"/>
  <c r="FZ11" i="12"/>
  <c r="FZ14" i="12"/>
  <c r="FZ15" i="12"/>
  <c r="FZ16" i="12"/>
  <c r="FZ42" i="12"/>
  <c r="FZ18" i="12"/>
  <c r="FZ19" i="12"/>
  <c r="FZ20" i="12"/>
  <c r="FZ21" i="12"/>
  <c r="FZ22" i="12"/>
  <c r="FZ40" i="12"/>
  <c r="FZ23" i="12"/>
  <c r="FZ25" i="12"/>
  <c r="FZ26" i="12"/>
  <c r="FZ27" i="12"/>
  <c r="FZ43" i="12"/>
  <c r="FZ28" i="12"/>
  <c r="FZ29" i="12"/>
  <c r="FZ24" i="12"/>
  <c r="FZ30" i="12"/>
  <c r="FZ31" i="12"/>
  <c r="FZ17" i="12"/>
  <c r="FZ32" i="12"/>
  <c r="FZ33" i="12"/>
  <c r="FZ36" i="12"/>
  <c r="FZ34" i="12"/>
  <c r="FZ35" i="12"/>
  <c r="FZ37" i="12"/>
  <c r="FZ38" i="12"/>
  <c r="FZ39" i="12"/>
  <c r="FZ41" i="12"/>
  <c r="FZ44" i="12"/>
  <c r="FZ45" i="12"/>
  <c r="FZ46" i="12"/>
  <c r="FZ47" i="12"/>
  <c r="FZ75" i="12"/>
  <c r="FZ76" i="12"/>
  <c r="FZ77" i="12"/>
  <c r="FY4" i="12"/>
  <c r="FY5" i="12"/>
  <c r="FY6" i="12"/>
  <c r="FY7" i="12"/>
  <c r="FY8" i="12"/>
  <c r="FY9" i="12"/>
  <c r="FY10" i="12"/>
  <c r="FY13" i="12"/>
  <c r="FY12" i="12"/>
  <c r="FY11" i="12"/>
  <c r="FY14" i="12"/>
  <c r="FY15" i="12"/>
  <c r="FY16" i="12"/>
  <c r="FY42" i="12"/>
  <c r="FY18" i="12"/>
  <c r="FY19" i="12"/>
  <c r="FY20" i="12"/>
  <c r="FY21" i="12"/>
  <c r="FY22" i="12"/>
  <c r="FY40" i="12"/>
  <c r="FY23" i="12"/>
  <c r="FY25" i="12"/>
  <c r="FY26" i="12"/>
  <c r="FY27" i="12"/>
  <c r="FY43" i="12"/>
  <c r="FY28" i="12"/>
  <c r="FY29" i="12"/>
  <c r="FY24" i="12"/>
  <c r="FY30" i="12"/>
  <c r="FY31" i="12"/>
  <c r="FY17" i="12"/>
  <c r="FY32" i="12"/>
  <c r="FY33" i="12"/>
  <c r="FY36" i="12"/>
  <c r="FY34" i="12"/>
  <c r="FY35" i="12"/>
  <c r="FY37" i="12"/>
  <c r="FY38" i="12"/>
  <c r="FY39" i="12"/>
  <c r="FY41" i="12"/>
  <c r="FY44" i="12"/>
  <c r="FY45" i="12"/>
  <c r="FY46" i="12"/>
  <c r="FY47" i="12"/>
  <c r="FY75" i="12"/>
  <c r="FY76" i="12"/>
  <c r="FY77" i="12"/>
  <c r="FZ3" i="12"/>
  <c r="FY3" i="12"/>
  <c r="F318" i="1"/>
  <c r="F317" i="1"/>
  <c r="F316" i="1"/>
  <c r="E316" i="1"/>
  <c r="K364" i="1"/>
  <c r="I345" i="1"/>
  <c r="H261" i="1"/>
  <c r="FT61" i="12"/>
  <c r="FU61" i="12"/>
  <c r="FV61" i="12"/>
  <c r="FW61" i="12"/>
  <c r="FX61" i="12"/>
  <c r="FT62" i="12"/>
  <c r="FU62" i="12"/>
  <c r="FV62" i="12"/>
  <c r="FW62" i="12"/>
  <c r="FX62" i="12"/>
  <c r="FT63" i="12"/>
  <c r="FU63" i="12"/>
  <c r="FV63" i="12"/>
  <c r="FW63" i="12"/>
  <c r="FX63" i="12"/>
  <c r="FT64" i="12"/>
  <c r="FU64" i="12"/>
  <c r="FV64" i="12"/>
  <c r="FW64" i="12"/>
  <c r="FY64" i="12" s="1"/>
  <c r="FX64" i="12"/>
  <c r="FT65" i="12"/>
  <c r="FU65" i="12"/>
  <c r="FV65" i="12"/>
  <c r="FW65" i="12"/>
  <c r="FX65" i="12"/>
  <c r="FT66" i="12"/>
  <c r="FU66" i="12"/>
  <c r="FV66" i="12"/>
  <c r="FW66" i="12"/>
  <c r="FX66" i="12"/>
  <c r="L514" i="1"/>
  <c r="L505" i="1"/>
  <c r="L493" i="1"/>
  <c r="L490" i="1"/>
  <c r="L479" i="1"/>
  <c r="L482" i="1"/>
  <c r="H472" i="1"/>
  <c r="FX60" i="12"/>
  <c r="FW60" i="12"/>
  <c r="FV60" i="12"/>
  <c r="FU60" i="12"/>
  <c r="FT60" i="12"/>
  <c r="J336" i="1"/>
  <c r="CV61" i="12"/>
  <c r="CW61" i="12"/>
  <c r="CV62" i="12"/>
  <c r="CW62" i="12"/>
  <c r="CV63" i="12"/>
  <c r="CW63" i="12"/>
  <c r="CV64" i="12"/>
  <c r="CW64" i="12"/>
  <c r="CV65" i="12"/>
  <c r="CW65" i="12"/>
  <c r="CV66" i="12"/>
  <c r="CW66" i="12"/>
  <c r="CS61" i="12"/>
  <c r="CT61" i="12"/>
  <c r="CS62" i="12"/>
  <c r="CT62" i="12"/>
  <c r="CS63" i="12"/>
  <c r="CT63" i="12"/>
  <c r="CS64" i="12"/>
  <c r="CT64" i="12"/>
  <c r="CS65" i="12"/>
  <c r="CT65" i="12"/>
  <c r="CS66" i="12"/>
  <c r="CT66" i="12"/>
  <c r="CR61" i="12"/>
  <c r="CR62" i="12"/>
  <c r="CR63" i="12"/>
  <c r="CR64" i="12"/>
  <c r="CR65" i="12"/>
  <c r="CR66" i="12"/>
  <c r="CW60" i="12"/>
  <c r="CV60" i="12"/>
  <c r="CT60" i="12"/>
  <c r="CS60" i="12"/>
  <c r="CR60" i="12"/>
  <c r="CB61" i="12"/>
  <c r="CC61" i="12"/>
  <c r="CB62" i="12"/>
  <c r="CC62" i="12"/>
  <c r="CB63" i="12"/>
  <c r="CC63" i="12"/>
  <c r="CB64" i="12"/>
  <c r="CC64" i="12"/>
  <c r="CB65" i="12"/>
  <c r="CC65" i="12"/>
  <c r="CB66" i="12"/>
  <c r="CC66" i="12"/>
  <c r="CB60" i="12"/>
  <c r="CC60" i="12"/>
  <c r="C280" i="1"/>
  <c r="L279" i="1"/>
  <c r="K279" i="1"/>
  <c r="J279" i="1"/>
  <c r="I279" i="1"/>
  <c r="H279" i="1"/>
  <c r="G279" i="1"/>
  <c r="N261" i="1"/>
  <c r="N260" i="1"/>
  <c r="N259" i="1"/>
  <c r="N258" i="1"/>
  <c r="L261" i="1"/>
  <c r="L260" i="1"/>
  <c r="L259" i="1"/>
  <c r="L258" i="1"/>
  <c r="N257" i="1"/>
  <c r="L257" i="1"/>
  <c r="J261" i="1"/>
  <c r="J260" i="1"/>
  <c r="J259" i="1"/>
  <c r="J258" i="1"/>
  <c r="J257" i="1"/>
  <c r="H227" i="1"/>
  <c r="L227" i="1" s="1"/>
  <c r="F205" i="1"/>
  <c r="F167" i="1"/>
  <c r="D166" i="1"/>
  <c r="N147" i="1"/>
  <c r="N146" i="1"/>
  <c r="N145" i="1"/>
  <c r="N144" i="1"/>
  <c r="N139" i="1"/>
  <c r="N138" i="1"/>
  <c r="N137" i="1"/>
  <c r="N136" i="1"/>
  <c r="L138" i="1"/>
  <c r="L136" i="1"/>
  <c r="F448" i="1"/>
  <c r="F446" i="1"/>
  <c r="H334" i="1"/>
  <c r="H330" i="1"/>
  <c r="G260" i="1"/>
  <c r="F260" i="1"/>
  <c r="F247" i="1"/>
  <c r="L247" i="1" s="1"/>
  <c r="F226" i="1"/>
  <c r="K226" i="1" s="1"/>
  <c r="F202" i="1"/>
  <c r="J144" i="1"/>
  <c r="J152" i="1" s="1"/>
  <c r="J139" i="1"/>
  <c r="D117" i="1"/>
  <c r="D118" i="1"/>
  <c r="D116" i="1"/>
  <c r="G116" i="1"/>
  <c r="F101" i="1"/>
  <c r="F102" i="1"/>
  <c r="D101" i="1"/>
  <c r="D99" i="1"/>
  <c r="F92" i="1"/>
  <c r="F93" i="1"/>
  <c r="D92" i="1"/>
  <c r="D93" i="1"/>
  <c r="H535" i="1"/>
  <c r="H529" i="1"/>
  <c r="H486" i="1"/>
  <c r="H510" i="1"/>
  <c r="H511" i="1"/>
  <c r="H496" i="1"/>
  <c r="H493" i="1"/>
  <c r="H479" i="1"/>
  <c r="H473" i="1"/>
  <c r="O184" i="1"/>
  <c r="N184" i="1"/>
  <c r="M184" i="1"/>
  <c r="L184" i="1"/>
  <c r="K184" i="1"/>
  <c r="J184" i="1"/>
  <c r="I184" i="1"/>
  <c r="H184" i="1"/>
  <c r="O183" i="1"/>
  <c r="N183" i="1"/>
  <c r="M183" i="1"/>
  <c r="L183" i="1"/>
  <c r="K183" i="1"/>
  <c r="J183" i="1"/>
  <c r="I183" i="1"/>
  <c r="H183" i="1"/>
  <c r="O182" i="1"/>
  <c r="N182" i="1"/>
  <c r="M182" i="1"/>
  <c r="L182" i="1"/>
  <c r="K182" i="1"/>
  <c r="J182" i="1"/>
  <c r="I182" i="1"/>
  <c r="H182" i="1"/>
  <c r="O181" i="1"/>
  <c r="N181" i="1"/>
  <c r="M181" i="1"/>
  <c r="L181" i="1"/>
  <c r="K181" i="1"/>
  <c r="J181" i="1"/>
  <c r="I181" i="1"/>
  <c r="H181" i="1"/>
  <c r="O180" i="1"/>
  <c r="N180" i="1"/>
  <c r="M180" i="1"/>
  <c r="L180" i="1"/>
  <c r="K180" i="1"/>
  <c r="J180" i="1"/>
  <c r="I180" i="1"/>
  <c r="H180" i="1"/>
  <c r="H80" i="1"/>
  <c r="F80" i="1"/>
  <c r="L368" i="1"/>
  <c r="L343" i="1"/>
  <c r="M345" i="1"/>
  <c r="E317" i="1" s="1"/>
  <c r="L345" i="1"/>
  <c r="E318" i="1" s="1"/>
  <c r="M370" i="1"/>
  <c r="L370" i="1"/>
  <c r="J121" i="1"/>
  <c r="J203" i="1"/>
  <c r="J204" i="1"/>
  <c r="J205" i="1"/>
  <c r="G248" i="1"/>
  <c r="G249" i="1"/>
  <c r="E311" i="1"/>
  <c r="F311" i="1"/>
  <c r="E312" i="1"/>
  <c r="F312" i="1"/>
  <c r="E313" i="1"/>
  <c r="F313" i="1"/>
  <c r="E314" i="1"/>
  <c r="F314" i="1"/>
  <c r="E315" i="1"/>
  <c r="F315" i="1"/>
  <c r="M440" i="1"/>
  <c r="FZ63" i="12" l="1"/>
  <c r="FZ64" i="12"/>
  <c r="FY65" i="12"/>
  <c r="FY61" i="12"/>
  <c r="K191" i="1"/>
  <c r="N191" i="1"/>
  <c r="J191" i="1"/>
  <c r="M191" i="1"/>
  <c r="FZ65" i="12"/>
  <c r="FZ61" i="12"/>
  <c r="FY66" i="12"/>
  <c r="FY62" i="12"/>
  <c r="CS82" i="12"/>
  <c r="FY60" i="12"/>
  <c r="FZ60" i="12"/>
  <c r="FZ66" i="12"/>
  <c r="FY63" i="12"/>
  <c r="FZ62" i="12"/>
  <c r="F249" i="1"/>
  <c r="L249" i="1" s="1"/>
  <c r="H248" i="1"/>
  <c r="M248" i="1" s="1"/>
  <c r="L273" i="1"/>
  <c r="CV82" i="12"/>
  <c r="CT82" i="12"/>
  <c r="CR82" i="12"/>
  <c r="CW82" i="12"/>
  <c r="L532" i="1"/>
  <c r="L529" i="1"/>
  <c r="H517" i="1"/>
  <c r="H518" i="1" s="1"/>
  <c r="H519" i="1" s="1"/>
  <c r="H482" i="1"/>
  <c r="CU60" i="12"/>
  <c r="J344" i="1"/>
  <c r="J363" i="1"/>
  <c r="CU65" i="12"/>
  <c r="CU63" i="12"/>
  <c r="CU61" i="12"/>
  <c r="CU66" i="12"/>
  <c r="CU64" i="12"/>
  <c r="CU62" i="12"/>
  <c r="J357" i="1"/>
  <c r="J356" i="1"/>
  <c r="CX60" i="12"/>
  <c r="CY65" i="12"/>
  <c r="CY61" i="12"/>
  <c r="CY66" i="12"/>
  <c r="CY62" i="12"/>
  <c r="CX66" i="12"/>
  <c r="CX64" i="12"/>
  <c r="CX62" i="12"/>
  <c r="CY63" i="12"/>
  <c r="CY60" i="12"/>
  <c r="CX65" i="12"/>
  <c r="CX63" i="12"/>
  <c r="CX61" i="12"/>
  <c r="CY64" i="12"/>
  <c r="G452" i="1"/>
  <c r="H109" i="1"/>
  <c r="J368" i="1"/>
  <c r="I364" i="1"/>
  <c r="H359" i="1"/>
  <c r="J355" i="1"/>
  <c r="I339" i="1"/>
  <c r="J343" i="1"/>
  <c r="J333" i="1"/>
  <c r="H259" i="1"/>
  <c r="J367" i="1"/>
  <c r="J358" i="1"/>
  <c r="H339" i="1"/>
  <c r="H345" i="1"/>
  <c r="K339" i="1"/>
  <c r="J331" i="1"/>
  <c r="H257" i="1"/>
  <c r="D284" i="1"/>
  <c r="C281" i="1"/>
  <c r="N272" i="1"/>
  <c r="L270" i="1"/>
  <c r="I258" i="1"/>
  <c r="H247" i="1"/>
  <c r="M247" i="1" s="1"/>
  <c r="H204" i="1"/>
  <c r="F206" i="1"/>
  <c r="D167" i="1"/>
  <c r="H167" i="1" s="1"/>
  <c r="L147" i="1"/>
  <c r="M155" i="1" s="1"/>
  <c r="L137" i="1"/>
  <c r="F451" i="1"/>
  <c r="F445" i="1"/>
  <c r="I333" i="1"/>
  <c r="F259" i="1"/>
  <c r="F248" i="1"/>
  <c r="L248" i="1" s="1"/>
  <c r="F227" i="1"/>
  <c r="K227" i="1" s="1"/>
  <c r="J146" i="1"/>
  <c r="J154" i="1" s="1"/>
  <c r="J138" i="1"/>
  <c r="G117" i="1"/>
  <c r="G119" i="1"/>
  <c r="F99" i="1"/>
  <c r="F103" i="1"/>
  <c r="D100" i="1"/>
  <c r="F91" i="1"/>
  <c r="D90" i="1"/>
  <c r="D94" i="1"/>
  <c r="H532" i="1"/>
  <c r="H533" i="1" s="1"/>
  <c r="H534" i="1" s="1"/>
  <c r="H523" i="1"/>
  <c r="H524" i="1" s="1"/>
  <c r="H525" i="1" s="1"/>
  <c r="L510" i="1"/>
  <c r="L515" i="1" s="1"/>
  <c r="L516" i="1" s="1"/>
  <c r="L526" i="1"/>
  <c r="L511" i="1"/>
  <c r="L496" i="1"/>
  <c r="L487" i="1"/>
  <c r="H505" i="1"/>
  <c r="H506" i="1" s="1"/>
  <c r="H507" i="1" s="1"/>
  <c r="H108" i="1"/>
  <c r="G446" i="1"/>
  <c r="H357" i="1"/>
  <c r="H338" i="1"/>
  <c r="G259" i="1"/>
  <c r="G258" i="1"/>
  <c r="G261" i="1"/>
  <c r="F81" i="1"/>
  <c r="L472" i="1"/>
  <c r="L483" i="1" s="1"/>
  <c r="L484" i="1" s="1"/>
  <c r="L476" i="1"/>
  <c r="H487" i="1"/>
  <c r="H488" i="1" s="1"/>
  <c r="H489" i="1" s="1"/>
  <c r="H499" i="1"/>
  <c r="H500" i="1" s="1"/>
  <c r="H501" i="1" s="1"/>
  <c r="H520" i="1"/>
  <c r="H521" i="1" s="1"/>
  <c r="H522" i="1" s="1"/>
  <c r="L499" i="1"/>
  <c r="L517" i="1"/>
  <c r="L535" i="1"/>
  <c r="L523" i="1"/>
  <c r="F89" i="1"/>
  <c r="D91" i="1"/>
  <c r="F90" i="1"/>
  <c r="D102" i="1"/>
  <c r="F100" i="1"/>
  <c r="D119" i="1"/>
  <c r="J136" i="1"/>
  <c r="K152" i="1" s="1"/>
  <c r="J145" i="1"/>
  <c r="J153" i="1" s="1"/>
  <c r="F228" i="1"/>
  <c r="K228" i="1" s="1"/>
  <c r="F257" i="1"/>
  <c r="F261" i="1"/>
  <c r="H331" i="1"/>
  <c r="F442" i="1"/>
  <c r="F449" i="1"/>
  <c r="L139" i="1"/>
  <c r="F165" i="1"/>
  <c r="F204" i="1"/>
  <c r="M204" i="1" s="1"/>
  <c r="H203" i="1"/>
  <c r="I257" i="1"/>
  <c r="N274" i="1"/>
  <c r="C284" i="1"/>
  <c r="J338" i="1"/>
  <c r="D313" i="1" s="1"/>
  <c r="H336" i="1"/>
  <c r="H358" i="1"/>
  <c r="J365" i="1"/>
  <c r="J112" i="1"/>
  <c r="H81" i="1"/>
  <c r="L473" i="1"/>
  <c r="H476" i="1"/>
  <c r="H477" i="1" s="1"/>
  <c r="H478" i="1" s="1"/>
  <c r="H490" i="1"/>
  <c r="H491" i="1" s="1"/>
  <c r="H492" i="1" s="1"/>
  <c r="H502" i="1"/>
  <c r="H503" i="1" s="1"/>
  <c r="H504" i="1" s="1"/>
  <c r="L486" i="1"/>
  <c r="L494" i="1" s="1"/>
  <c r="L495" i="1" s="1"/>
  <c r="L502" i="1"/>
  <c r="L520" i="1"/>
  <c r="H514" i="1"/>
  <c r="H515" i="1" s="1"/>
  <c r="H516" i="1" s="1"/>
  <c r="H526" i="1"/>
  <c r="H527" i="1" s="1"/>
  <c r="H528" i="1" s="1"/>
  <c r="D89" i="1"/>
  <c r="F94" i="1"/>
  <c r="D98" i="1"/>
  <c r="D103" i="1"/>
  <c r="F98" i="1"/>
  <c r="G118" i="1"/>
  <c r="J137" i="1"/>
  <c r="J147" i="1"/>
  <c r="J155" i="1" s="1"/>
  <c r="F258" i="1"/>
  <c r="H333" i="1"/>
  <c r="F443" i="1"/>
  <c r="F452" i="1"/>
  <c r="L145" i="1"/>
  <c r="M153" i="1" s="1"/>
  <c r="F166" i="1"/>
  <c r="I166" i="1" s="1"/>
  <c r="F211" i="1"/>
  <c r="H205" i="1"/>
  <c r="I260" i="1"/>
  <c r="N271" i="1"/>
  <c r="D281" i="1"/>
  <c r="J345" i="1"/>
  <c r="H361" i="1"/>
  <c r="H370" i="1"/>
  <c r="J110" i="1"/>
  <c r="L146" i="1"/>
  <c r="M154" i="1" s="1"/>
  <c r="F168" i="1"/>
  <c r="H202" i="1"/>
  <c r="H211" i="1"/>
  <c r="H228" i="1"/>
  <c r="L228" i="1" s="1"/>
  <c r="I259" i="1"/>
  <c r="N276" i="1"/>
  <c r="L271" i="1"/>
  <c r="D280" i="1"/>
  <c r="H342" i="1"/>
  <c r="H343" i="1"/>
  <c r="H362" i="1"/>
  <c r="J370" i="1"/>
  <c r="G443" i="1"/>
  <c r="J140" i="1"/>
  <c r="L140" i="1"/>
  <c r="F85" i="1"/>
  <c r="D85" i="1"/>
  <c r="F88" i="1"/>
  <c r="F86" i="1"/>
  <c r="D86" i="1"/>
  <c r="F87" i="1"/>
  <c r="D87" i="1"/>
  <c r="D88" i="1"/>
  <c r="G451" i="1"/>
  <c r="G445" i="1"/>
  <c r="J109" i="1"/>
  <c r="J108" i="1"/>
  <c r="H112" i="1"/>
  <c r="I370" i="1"/>
  <c r="H368" i="1"/>
  <c r="H365" i="1"/>
  <c r="H364" i="1"/>
  <c r="J361" i="1"/>
  <c r="K358" i="1"/>
  <c r="H355" i="1"/>
  <c r="H340" i="1"/>
  <c r="J340" i="1"/>
  <c r="K345" i="1"/>
  <c r="J342" i="1"/>
  <c r="J337" i="1"/>
  <c r="J332" i="1"/>
  <c r="H258" i="1"/>
  <c r="D283" i="1"/>
  <c r="C283" i="1"/>
  <c r="L274" i="1"/>
  <c r="N273" i="1"/>
  <c r="N270" i="1"/>
  <c r="I261" i="1"/>
  <c r="H249" i="1"/>
  <c r="M249" i="1" s="1"/>
  <c r="H226" i="1"/>
  <c r="L226" i="1" s="1"/>
  <c r="H206" i="1"/>
  <c r="F203" i="1"/>
  <c r="M203" i="1" s="1"/>
  <c r="D168" i="1"/>
  <c r="H168" i="1" s="1"/>
  <c r="D165" i="1"/>
  <c r="L144" i="1"/>
  <c r="M152" i="1" s="1"/>
  <c r="G448" i="1"/>
  <c r="G442" i="1"/>
  <c r="J111" i="1"/>
  <c r="H110" i="1"/>
  <c r="K370" i="1"/>
  <c r="H367" i="1"/>
  <c r="J364" i="1"/>
  <c r="J362" i="1"/>
  <c r="J359" i="1"/>
  <c r="I358" i="1"/>
  <c r="H356" i="1"/>
  <c r="H337" i="1"/>
  <c r="J334" i="1"/>
  <c r="H344" i="1"/>
  <c r="J339" i="1"/>
  <c r="K333" i="1"/>
  <c r="J330" i="1"/>
  <c r="H260" i="1"/>
  <c r="H111" i="1"/>
  <c r="G449" i="1"/>
  <c r="H369" i="1"/>
  <c r="H332" i="1"/>
  <c r="G257" i="1"/>
  <c r="H363" i="1"/>
  <c r="J346" i="1"/>
  <c r="N187" i="1"/>
  <c r="J75" i="1"/>
  <c r="J73" i="1"/>
  <c r="J74" i="1"/>
  <c r="N73" i="1"/>
  <c r="L73" i="1"/>
  <c r="D75" i="1"/>
  <c r="D74" i="1"/>
  <c r="H73" i="1"/>
  <c r="D178" i="1" s="1"/>
  <c r="F73" i="1"/>
  <c r="D73" i="1"/>
  <c r="J187" i="1"/>
  <c r="K187" i="1"/>
  <c r="K188" i="1"/>
  <c r="N188" i="1"/>
  <c r="K189" i="1"/>
  <c r="M187" i="1"/>
  <c r="J188" i="1"/>
  <c r="M188" i="1"/>
  <c r="J189" i="1"/>
  <c r="M189" i="1"/>
  <c r="M190" i="1"/>
  <c r="D77" i="1"/>
  <c r="D76" i="1"/>
  <c r="N189" i="1"/>
  <c r="N485" i="1"/>
  <c r="J76" i="1"/>
  <c r="J77" i="1"/>
  <c r="K190" i="1"/>
  <c r="N190" i="1"/>
  <c r="M452" i="1"/>
  <c r="F255" i="1"/>
  <c r="N269" i="1"/>
  <c r="D278" i="1" s="1"/>
  <c r="F281" i="1" s="1"/>
  <c r="J335" i="1"/>
  <c r="J329" i="1"/>
  <c r="M446" i="1"/>
  <c r="G114" i="1"/>
  <c r="G441" i="1"/>
  <c r="L441" i="1" s="1"/>
  <c r="N471" i="1"/>
  <c r="J354" i="1"/>
  <c r="L509" i="1"/>
  <c r="J107" i="1"/>
  <c r="J369" i="1"/>
  <c r="M449" i="1"/>
  <c r="M451" i="1"/>
  <c r="M445" i="1"/>
  <c r="H225" i="1"/>
  <c r="L225" i="1" s="1"/>
  <c r="J195" i="1"/>
  <c r="N509" i="1"/>
  <c r="L135" i="1"/>
  <c r="F97" i="1"/>
  <c r="H497" i="1"/>
  <c r="H498" i="1" s="1"/>
  <c r="H166" i="1"/>
  <c r="H329" i="1"/>
  <c r="H494" i="1"/>
  <c r="H495" i="1" s="1"/>
  <c r="F201" i="1"/>
  <c r="M202" i="1" s="1"/>
  <c r="F217" i="1"/>
  <c r="H335" i="1"/>
  <c r="F210" i="1"/>
  <c r="L209" i="1" s="1"/>
  <c r="H536" i="1"/>
  <c r="H537" i="1" s="1"/>
  <c r="F440" i="1"/>
  <c r="K440" i="1" s="1"/>
  <c r="D97" i="1"/>
  <c r="H485" i="1"/>
  <c r="F79" i="1"/>
  <c r="J135" i="1"/>
  <c r="H107" i="1"/>
  <c r="J190" i="1"/>
  <c r="H346" i="1"/>
  <c r="J371" i="1"/>
  <c r="H371" i="1"/>
  <c r="H360" i="1"/>
  <c r="H195" i="1"/>
  <c r="H354" i="1"/>
  <c r="D114" i="1"/>
  <c r="A121" i="1" s="1"/>
  <c r="F246" i="1"/>
  <c r="L246" i="1" s="1"/>
  <c r="H341" i="1"/>
  <c r="D176" i="1"/>
  <c r="H471" i="1"/>
  <c r="H509" i="1"/>
  <c r="D84" i="1"/>
  <c r="F225" i="1"/>
  <c r="K225" i="1" s="1"/>
  <c r="D164" i="1"/>
  <c r="H165" i="1" s="1"/>
  <c r="L269" i="1"/>
  <c r="C278" i="1" s="1"/>
  <c r="F280" i="1" s="1"/>
  <c r="D83" i="1"/>
  <c r="M205" i="1"/>
  <c r="M448" i="1"/>
  <c r="H474" i="1"/>
  <c r="H475" i="1" s="1"/>
  <c r="H480" i="1" s="1"/>
  <c r="H481" i="1" s="1"/>
  <c r="H530" i="1"/>
  <c r="H531" i="1" s="1"/>
  <c r="H366" i="1"/>
  <c r="C150" i="1"/>
  <c r="F83" i="1"/>
  <c r="J366" i="1"/>
  <c r="H512" i="1"/>
  <c r="H513" i="1" s="1"/>
  <c r="L143" i="1"/>
  <c r="J150" i="1" s="1"/>
  <c r="H201" i="1"/>
  <c r="N202" i="1" s="1"/>
  <c r="G440" i="1"/>
  <c r="L440" i="1" s="1"/>
  <c r="L471" i="1"/>
  <c r="H255" i="1"/>
  <c r="F164" i="1"/>
  <c r="I165" i="1" s="1"/>
  <c r="H210" i="1"/>
  <c r="M209" i="1" s="1"/>
  <c r="L485" i="1"/>
  <c r="M441" i="1"/>
  <c r="M442" i="1"/>
  <c r="M443" i="1"/>
  <c r="H246" i="1"/>
  <c r="M246" i="1" s="1"/>
  <c r="H217" i="1"/>
  <c r="J360" i="1"/>
  <c r="F84" i="1"/>
  <c r="H79" i="1"/>
  <c r="G180" i="1" l="1"/>
  <c r="G185" i="1"/>
  <c r="F185" i="1"/>
  <c r="E185" i="1"/>
  <c r="D185" i="1"/>
  <c r="C312" i="1"/>
  <c r="G444" i="1"/>
  <c r="L444" i="1" s="1"/>
  <c r="F441" i="1"/>
  <c r="K441" i="1" s="1"/>
  <c r="G450" i="1"/>
  <c r="L450" i="1" s="1"/>
  <c r="CY82" i="12"/>
  <c r="L272" i="1"/>
  <c r="CU82" i="12"/>
  <c r="C279" i="1"/>
  <c r="G280" i="1" s="1"/>
  <c r="H280" i="1" s="1"/>
  <c r="CX82" i="12"/>
  <c r="G447" i="1"/>
  <c r="L447" i="1" s="1"/>
  <c r="H483" i="1"/>
  <c r="H484" i="1" s="1"/>
  <c r="F450" i="1"/>
  <c r="K450" i="1" s="1"/>
  <c r="D282" i="1"/>
  <c r="J281" i="1" s="1"/>
  <c r="L281" i="1" s="1"/>
  <c r="C282" i="1"/>
  <c r="J280" i="1" s="1"/>
  <c r="K280" i="1" s="1"/>
  <c r="F444" i="1"/>
  <c r="K444" i="1" s="1"/>
  <c r="L275" i="1"/>
  <c r="L276" i="1"/>
  <c r="F447" i="1"/>
  <c r="K447" i="1" s="1"/>
  <c r="D311" i="1"/>
  <c r="D312" i="1"/>
  <c r="C316" i="1"/>
  <c r="C318" i="1"/>
  <c r="C313" i="1"/>
  <c r="C315" i="1"/>
  <c r="C314" i="1"/>
  <c r="C311" i="1"/>
  <c r="C317" i="1"/>
  <c r="D310" i="1"/>
  <c r="D314" i="1"/>
  <c r="C310" i="1"/>
  <c r="D279" i="1"/>
  <c r="G281" i="1" s="1"/>
  <c r="I281" i="1" s="1"/>
  <c r="N275" i="1"/>
  <c r="D318" i="1"/>
  <c r="L474" i="1"/>
  <c r="L475" i="1" s="1"/>
  <c r="L491" i="1"/>
  <c r="L492" i="1" s="1"/>
  <c r="N205" i="1"/>
  <c r="N154" i="1"/>
  <c r="L524" i="1"/>
  <c r="L525" i="1" s="1"/>
  <c r="K155" i="1"/>
  <c r="L503" i="1"/>
  <c r="L504" i="1" s="1"/>
  <c r="L480" i="1"/>
  <c r="L481" i="1" s="1"/>
  <c r="L443" i="1"/>
  <c r="D104" i="1"/>
  <c r="L442" i="1"/>
  <c r="I168" i="1"/>
  <c r="N155" i="1"/>
  <c r="L530" i="1"/>
  <c r="L531" i="1" s="1"/>
  <c r="L521" i="1"/>
  <c r="L522" i="1" s="1"/>
  <c r="L533" i="1"/>
  <c r="L534" i="1" s="1"/>
  <c r="D316" i="1"/>
  <c r="D317" i="1" s="1"/>
  <c r="I167" i="1"/>
  <c r="L518" i="1"/>
  <c r="L519" i="1" s="1"/>
  <c r="L512" i="1"/>
  <c r="L513" i="1" s="1"/>
  <c r="L488" i="1"/>
  <c r="L489" i="1" s="1"/>
  <c r="N203" i="1"/>
  <c r="L536" i="1"/>
  <c r="L537" i="1" s="1"/>
  <c r="L527" i="1"/>
  <c r="L528" i="1" s="1"/>
  <c r="K154" i="1"/>
  <c r="N204" i="1"/>
  <c r="F104" i="1"/>
  <c r="N153" i="1"/>
  <c r="L500" i="1"/>
  <c r="L501" i="1" s="1"/>
  <c r="L497" i="1"/>
  <c r="L498" i="1" s="1"/>
  <c r="L506" i="1"/>
  <c r="L507" i="1" s="1"/>
  <c r="L477" i="1"/>
  <c r="L478" i="1" s="1"/>
  <c r="N152" i="1"/>
  <c r="D315" i="1"/>
  <c r="K153" i="1"/>
  <c r="D180" i="1"/>
  <c r="D181" i="1"/>
  <c r="D184" i="1"/>
  <c r="G184" i="1"/>
  <c r="E182" i="1"/>
  <c r="D183" i="1"/>
  <c r="F180" i="1"/>
  <c r="G183" i="1"/>
  <c r="E181" i="1"/>
  <c r="E184" i="1"/>
  <c r="F181" i="1"/>
  <c r="E180" i="1"/>
  <c r="F187" i="1" s="1"/>
  <c r="F183" i="1"/>
  <c r="D182" i="1"/>
  <c r="F184" i="1"/>
  <c r="E183" i="1"/>
  <c r="G182" i="1"/>
  <c r="F182" i="1"/>
  <c r="G181" i="1"/>
  <c r="G192" i="1" l="1"/>
  <c r="F192" i="1"/>
  <c r="F191" i="1"/>
  <c r="G191" i="1"/>
  <c r="L452" i="1"/>
  <c r="L451" i="1"/>
  <c r="L445" i="1"/>
  <c r="L449" i="1"/>
  <c r="L448" i="1"/>
  <c r="K443" i="1"/>
  <c r="I280" i="1"/>
  <c r="L446" i="1"/>
  <c r="K442" i="1"/>
  <c r="K452" i="1"/>
  <c r="L280" i="1"/>
  <c r="K281" i="1"/>
  <c r="K451" i="1"/>
  <c r="K446" i="1"/>
  <c r="K445" i="1"/>
  <c r="K449" i="1"/>
  <c r="K448" i="1"/>
  <c r="H281" i="1"/>
  <c r="F189" i="1"/>
  <c r="G188" i="1"/>
  <c r="G187" i="1"/>
  <c r="G189" i="1"/>
  <c r="G190" i="1"/>
  <c r="F190" i="1"/>
  <c r="F188" i="1"/>
</calcChain>
</file>

<file path=xl/sharedStrings.xml><?xml version="1.0" encoding="utf-8"?>
<sst xmlns="http://schemas.openxmlformats.org/spreadsheetml/2006/main" count="2531" uniqueCount="905">
  <si>
    <t>• Any evidence on the percentage of parents of children aged 0–5 in the children’s centre area who are satisfied with the services</t>
  </si>
  <si>
    <t xml:space="preserve">All Births </t>
  </si>
  <si>
    <t>If you need further information please email jsna@westsussex.gov.uk</t>
  </si>
  <si>
    <t>Where possible data are provided at individual centre level, but where the information is not available, or where numbers are very small, information is shown for a group of centres or larger geographical area. Regional and national figures are included where available.</t>
  </si>
  <si>
    <t>• Percentage of children aged 0–4 living in households dependent on workless benefits</t>
  </si>
  <si>
    <t xml:space="preserve">The data are collected through the National Childhood Measurement Programme.  </t>
  </si>
  <si>
    <t>95% confidence intervals are shown, where confidence intervals overlap, it is not possible to say that a difference is statistically significant. A statement is provided in the tables to state whether centres/areas have rates significantly different to England. Results at centre and cluster level have wide confidence intervals because of small numbers.</t>
  </si>
  <si>
    <t>Tables, which detail the number of children measured are provided for both Reception and Year 6 pupils, are provided on the following pages.</t>
  </si>
  <si>
    <t>Why this is important</t>
  </si>
  <si>
    <t>Smoking status among new mothers is collected at the 12-16 week check by health visitors.</t>
  </si>
  <si>
    <t xml:space="preserve">Information on births at a local level can be volatile, they are included in this profile to provide scale (approximate number of children per year) and general direction (are numbers going up / down) over a number of years. </t>
  </si>
  <si>
    <t>Why supporting parents into employment is important</t>
  </si>
  <si>
    <t>This is an Ofsted KPI.</t>
  </si>
  <si>
    <t>BIRTHS</t>
  </si>
  <si>
    <t>Percentages are based on the total number of infants not just those with recorded status</t>
  </si>
  <si>
    <t>WEST SUSSEX HEALTHY CHILDREN AND FAMILY CENTRE PROGRAMME</t>
  </si>
  <si>
    <t>KEY PERFORMANCE INDICATORS (OFSTED)</t>
  </si>
  <si>
    <t>Mean D3MFT (% D3MFT &gt; 0)</t>
  </si>
  <si>
    <t>For those children with decay experience, the average number of obviously Decayed, Missing (due to decay) and Filled Teeth per child.</t>
  </si>
  <si>
    <t>UCL / LCL</t>
  </si>
  <si>
    <t>UCL = Upper Confidence Limit</t>
  </si>
  <si>
    <t>UCL = Lower Confidence Limit</t>
  </si>
  <si>
    <t>95% confidence intervals are shown and should used making comparisons; where confidence intervals overlap, it is not possible to say that a difference is statistically significant. Siginificance relates to whether an area has a significantly higher or lower percentage of children with dental decay than England average.</t>
  </si>
  <si>
    <t>% of children examined with dental decay</t>
  </si>
  <si>
    <t>Of those with decay average number of teeth per child</t>
  </si>
  <si>
    <t>2007-2009</t>
  </si>
  <si>
    <t>Children growing up in poverty are more likely to experience a poorer quality of life, both as a child and later as an adult. The impact of poverty includes poor health throughout life, including dying younger than expected; low educational achievement; lower levels of employment and income; living in poorer housing and community environments; long term financial and social exclusion; and can lead to behavioural problems including a high risk lifestyle.</t>
  </si>
  <si>
    <t xml:space="preserve"> *  </t>
  </si>
  <si>
    <t>% of families with 3 or more children</t>
  </si>
  <si>
    <t>This information is taken directly from the Child Health Bureau and usual residence postcode of birth has been allocated to individual CFC catchment areas.</t>
  </si>
  <si>
    <t>Owner Occupied</t>
  </si>
  <si>
    <t>Angmering</t>
  </si>
  <si>
    <t>Bewbush</t>
  </si>
  <si>
    <t>Crawley</t>
  </si>
  <si>
    <t>Adur</t>
  </si>
  <si>
    <t>Chichester</t>
  </si>
  <si>
    <t>Durrington</t>
  </si>
  <si>
    <t>Worthing</t>
  </si>
  <si>
    <t>Education Partnership Area</t>
  </si>
  <si>
    <t>PartialLCL</t>
  </si>
  <si>
    <t>PartialUCL</t>
  </si>
  <si>
    <t>ExclusiveLCL</t>
  </si>
  <si>
    <t>ExclusiveUCL</t>
  </si>
  <si>
    <t>% Book</t>
  </si>
  <si>
    <t>% Deliver</t>
  </si>
  <si>
    <t>% Current</t>
  </si>
  <si>
    <t>% House</t>
  </si>
  <si>
    <t>CCG - Crawley</t>
  </si>
  <si>
    <t>Findon</t>
  </si>
  <si>
    <t>Kingston Buci</t>
  </si>
  <si>
    <t>Lancing</t>
  </si>
  <si>
    <t>Langley Green</t>
  </si>
  <si>
    <t>Littlehampton</t>
  </si>
  <si>
    <t xml:space="preserve">This data profile provides information on progress on health and other performance indicators.  It has been developed to support the performance management of the West Sussex Healthy Children and Family Centre programme, and Ofsted inspection requirements.   </t>
  </si>
  <si>
    <t>% Social Rented</t>
  </si>
  <si>
    <t xml:space="preserve">YEAR 6 PUPILS 2011/12 </t>
  </si>
  <si>
    <t>2011/12 - Measured (Year 6)</t>
  </si>
  <si>
    <t>% Obese (Year 6) - 2011/2012</t>
  </si>
  <si>
    <t>2011/12 (Year 6) - LCL</t>
  </si>
  <si>
    <t>2011/12 (Year 6) - UCL</t>
  </si>
  <si>
    <t>2011/12 Significance (Year 6)</t>
  </si>
  <si>
    <t>2011/12 (Reception) - LCL</t>
  </si>
  <si>
    <t>2011/12 (Reception) - UCL</t>
  </si>
  <si>
    <t>2011</t>
  </si>
  <si>
    <t>2012</t>
  </si>
  <si>
    <t>The information collated forms part of the West Sussex Joint Strategic Needs Assessment.</t>
  </si>
  <si>
    <t>INFORMATION IN THIS PROFILE</t>
  </si>
  <si>
    <t xml:space="preserve">Note </t>
  </si>
  <si>
    <t>The following indicators rely on information collected / available at each centre.</t>
  </si>
  <si>
    <t>Ofsted KPI</t>
  </si>
  <si>
    <t>Indicators</t>
  </si>
  <si>
    <t>• Year on year improvements in numbers of child patients seen by NHS dentists (DH)</t>
  </si>
  <si>
    <t>Not included in this profile</t>
  </si>
  <si>
    <t>Decayed, Missing or Filled Teeth</t>
  </si>
  <si>
    <t>Why oral health is important</t>
  </si>
  <si>
    <t>Maybridge</t>
  </si>
  <si>
    <t>Midhurst</t>
  </si>
  <si>
    <t>Northgate</t>
  </si>
  <si>
    <t>Petworth</t>
  </si>
  <si>
    <t>Southbourne</t>
  </si>
  <si>
    <t>Southgate</t>
  </si>
  <si>
    <t>Southwater</t>
  </si>
  <si>
    <t>CFC</t>
  </si>
  <si>
    <t>CCG</t>
  </si>
  <si>
    <t>Statistical issue : Coverage</t>
  </si>
  <si>
    <t xml:space="preserve">  -  Between 2008/9 Q1 to 2009/10 Q3 the threshold required was 85%.</t>
  </si>
  <si>
    <t>Early childhood development has lifelong impact; intellectually, emotionally and physically. The Marmot Review into Health Inequalities identified early childhood development ('Give every child the best start in life') as its priority policy objective.</t>
  </si>
  <si>
    <t>There are some brief notes included on statistical issues; a more detailed technical appendix is available.</t>
  </si>
  <si>
    <t>The West Sussex Healthy Children and Family Centre Programme has nine priorities, these are:</t>
  </si>
  <si>
    <t>The Government recommends exclusive breastfeeding for around 6 months, and then continuing to breastfeed for at least a year or more alongside giving solid foods.  The indicator shows the prevalence of babies being exclusively or partially breastfed at between six and eight weeks old.</t>
  </si>
  <si>
    <t xml:space="preserve">All NHS organisations in West Sussex are working towards UNICEF Baby Friendly accreditation.  This is a national kite-mark scheme, with a set of standards for organisations to meet that ensure they provide good support for breastfeeding and appropriate introduction of solids, through training all staff and ensuring a breastfeeding friendly environment.  This will help to make sure families are provided with consistent information about breastfeeding and healthy eating.  </t>
  </si>
  <si>
    <t>Areas are required to attain a "threshold quality" on coverage; this means that performance data are not published for areas where there are a high number of infants whose breastfeeding status is unknown. The threshold quality has increased since 2008/9:-</t>
  </si>
  <si>
    <t>• Numbers of decayed, missing or filled teeth (DoH)</t>
  </si>
  <si>
    <t>Children and family centres can support families to develop good oral hygiene from birth by promoting regular tooth-brushing, encouraging visits to the dentist, and advising parents to reduce sweets, sugary snacks and fizzy drinks.  Centres should proactively support families living in deprived areas because children living in those areas are more likely to have poor oral health.</t>
  </si>
  <si>
    <t>Numbers of teenage conceptions in each ward are very small and it is not possible to calculate rates at centre level.</t>
  </si>
  <si>
    <t>Immunisation coverage comparison data (against West Sussex and England published rates) rely on treatment centre level data and this includes "in and out" of area children (i.e. children resident in other counties). Data here only relate to West Sussex resident children; with a West Sussex GP or not registered with a GP.</t>
  </si>
  <si>
    <t xml:space="preserve">This page provides information on the location of the children and family centre and the population it serves. </t>
  </si>
  <si>
    <t>Geographies - CHILDREN AND FAMILY CENTRES ONLY</t>
  </si>
  <si>
    <t xml:space="preserve">  -  Between 2009/10 Q4 to 2010/11 Q3 the threshold required was 90%.</t>
  </si>
  <si>
    <t xml:space="preserve">  -  From 2010/11 Q4 onwards the threshold required is 95%.</t>
  </si>
  <si>
    <t>Arun</t>
  </si>
  <si>
    <t>Horsham</t>
  </si>
  <si>
    <t>Mid Sussex</t>
  </si>
  <si>
    <t>West Sussex</t>
  </si>
  <si>
    <t>South East</t>
  </si>
  <si>
    <t>England</t>
  </si>
  <si>
    <t>District</t>
  </si>
  <si>
    <t>Number</t>
  </si>
  <si>
    <t xml:space="preserve">Centre location and grouping. </t>
  </si>
  <si>
    <t>Social Rented</t>
  </si>
  <si>
    <t>%</t>
  </si>
  <si>
    <t>% of Households</t>
  </si>
  <si>
    <t>2005-2007</t>
  </si>
  <si>
    <t>2006-2008</t>
  </si>
  <si>
    <t>% White British</t>
  </si>
  <si>
    <t>% Asian</t>
  </si>
  <si>
    <t>% Black</t>
  </si>
  <si>
    <t>AGE 1 COHORT (Children had their 1st  birthday within the quarter).</t>
  </si>
  <si>
    <t>AGE 2 COHORT (Children had their 2nd  birthday within the quarter).</t>
  </si>
  <si>
    <t>EDUCATION Partnership Area</t>
  </si>
  <si>
    <t>Lone Parent Families (on Income Support or Income Based Job Seekers Allowance)</t>
  </si>
  <si>
    <t>% Underweight</t>
  </si>
  <si>
    <t>% Healthy Weight</t>
  </si>
  <si>
    <t>Emergency Admissions</t>
  </si>
  <si>
    <t>2009/10</t>
  </si>
  <si>
    <t>EDUCATION Locality Name</t>
  </si>
  <si>
    <t>Arundel and South Downs</t>
  </si>
  <si>
    <t>B</t>
  </si>
  <si>
    <t>Bognor Regis and Littlehampton</t>
  </si>
  <si>
    <t>Bognor Regis/Felpham</t>
  </si>
  <si>
    <t>A</t>
  </si>
  <si>
    <t>Crawley NW</t>
  </si>
  <si>
    <t>C1</t>
  </si>
  <si>
    <t>East Worthing and Shoreham</t>
  </si>
  <si>
    <t>Date</t>
  </si>
  <si>
    <t>Next update due</t>
  </si>
  <si>
    <t>Crawley SW</t>
  </si>
  <si>
    <t>Worthing West</t>
  </si>
  <si>
    <t>CCC</t>
  </si>
  <si>
    <t>East Grinstead</t>
  </si>
  <si>
    <t>C2</t>
  </si>
  <si>
    <t>Burgess Hill</t>
  </si>
  <si>
    <t>Haywards Heath/Cuckfield</t>
  </si>
  <si>
    <t>Horsham E</t>
  </si>
  <si>
    <t>C3</t>
  </si>
  <si>
    <t>2009/10 (Year 6) - 95% Confidence Limits</t>
  </si>
  <si>
    <t>In the national survey only a small number of children were sampled in Adur, Chichester and Mid Sussex so results are not robust in those areas.</t>
  </si>
  <si>
    <t>Why emotional wellbeing is important</t>
  </si>
  <si>
    <t>Vaccine Abbreviations</t>
  </si>
  <si>
    <t>Men C</t>
  </si>
  <si>
    <t>Imms - Eligible Children</t>
  </si>
  <si>
    <t>This information is based on the home postcode of children, children have been mapped to their CFC catchment area.</t>
  </si>
  <si>
    <t>Why teenage pregnancy is important</t>
  </si>
  <si>
    <t>Teenage mothers are more likely than other mothers to experience a range of negative outcomes including low educational attainment, poverty, poor health including poor mental health, and poor housing.  Their children have three times the risk of infant mortality, and are more likely to grow up in poverty and become teenage parents themselves, perpetuating a cycle of disadvantage.  Preventing teenage pregnancy allows teenagers to fulfil their potential and contribute to society.</t>
  </si>
  <si>
    <t>Teenage pregnancy is associated with deprivation and poverty and the overall rate in West Sussex, an affluent county, is low.  However there is variation around the county and children and family centres need to be aware of the needs of their local populations.  This indicator shows the number of teenage parents within the catchment area of the centre so that centres can ensure they have capacity to proactively provide appropriate support.</t>
  </si>
  <si>
    <t>Why maternal smoking is important</t>
  </si>
  <si>
    <t>Exposure to second hand smoke among children and young people is associated with Sudden Infant Death Syndrome (SIDS), respiratory and ear problems.  Unborn children exposed to maternal smoking are at risk of low birth weight and preterm delivery.  Babies born to mothers who smoke have a higher risk of infant mortality.</t>
  </si>
  <si>
    <t>Children and family centres target the most disadvantaged communities, who are also more likely to smoke.  They offer an ideal setting for parents to access NHS smoking cessation advice and support.</t>
  </si>
  <si>
    <t>Why childhood immunisations are important</t>
  </si>
  <si>
    <t>IMPROVING COVERAGE FOR ALL CHILDHOOD IMMUNISATIONS</t>
  </si>
  <si>
    <t>Sig better than Eng.</t>
  </si>
  <si>
    <t>All Births</t>
  </si>
  <si>
    <t>Under 20</t>
  </si>
  <si>
    <t xml:space="preserve">  Total Number of Births and Births to Women Aged Under 20</t>
  </si>
  <si>
    <t>n/a</t>
  </si>
  <si>
    <t>Immunisations are an extremely effective way of protecting children against infectious diseases including diphtheria, tetanus, whooping cough, polio, meningitis, pneumonia, measles, rubella and mumps.  Good coverage makes outbreaks of infectious disease less likely to happen.  There will always be some children who cannot be immunised for medical or other reasons and high coverage in the rest of the population helps to protect them.</t>
  </si>
  <si>
    <t>The indicator helps children and family centres to identify groups of children who may have lower coverage and provide them with appropriate advice and information.</t>
  </si>
  <si>
    <t>Children and family centres should work with their local Immunisation co-ordinator to ensure all staff are up to date with training and are confident in providing appropriate advice. They can provide information to parents and provide a setting for some of the immunisation programme to be delivered thereby improving access.</t>
  </si>
  <si>
    <t>Shoreham</t>
  </si>
  <si>
    <t>Crawley SE</t>
  </si>
  <si>
    <t>Midhurst/Petworth</t>
  </si>
  <si>
    <t>Crawley NE</t>
  </si>
  <si>
    <t>Billingshurst</t>
  </si>
  <si>
    <t>Steyning/Storrington</t>
  </si>
  <si>
    <t>Manhood</t>
  </si>
  <si>
    <t>Horsham W</t>
  </si>
  <si>
    <t>Barnham/Westergate</t>
  </si>
  <si>
    <t>Infants totally or partially breastfed as % of all infants due a check</t>
  </si>
  <si>
    <t>2009/10 - Measured (Reception)</t>
  </si>
  <si>
    <t>2009/10 - Measured as Obese (Reception)</t>
  </si>
  <si>
    <t>2009/10 (Reception) - UCL</t>
  </si>
  <si>
    <t>RECEPTION CLASS PUPILS 2009/10</t>
  </si>
  <si>
    <t>YEAR 6 PUPILS 2009/10</t>
  </si>
  <si>
    <t>% Obese (Reception) - 2009/10</t>
  </si>
  <si>
    <t>2009/10 - Measured (Year 6)</t>
  </si>
  <si>
    <t>2009/10 Significance (Reception)</t>
  </si>
  <si>
    <t>2009/10 - Measured as Obese (Year 6)</t>
  </si>
  <si>
    <t>% Obese (Year 6) - 2009/10</t>
  </si>
  <si>
    <t>2009/10 Significance (Year 6)</t>
  </si>
  <si>
    <t>Reception</t>
  </si>
  <si>
    <t>2009/10 (Reception) - LCL</t>
  </si>
  <si>
    <t>2009/10 (Year 6) - LCL</t>
  </si>
  <si>
    <t>2009/10 (Year 6) - UCL</t>
  </si>
  <si>
    <t xml:space="preserve">West Sussex </t>
  </si>
  <si>
    <t>Rate per 1,000</t>
  </si>
  <si>
    <t>UCL</t>
  </si>
  <si>
    <t>LCL</t>
  </si>
  <si>
    <t>% Owned</t>
  </si>
  <si>
    <t>% of Children in Poverty 2007</t>
  </si>
  <si>
    <t>% of Children in Poverty 2008</t>
  </si>
  <si>
    <t>The data were collected as part of the 12-16 week check. Information provided relating to smoking at the time of booking and smoking at the time of delivery was therefore collected retrospectively.</t>
  </si>
  <si>
    <t>Teenage Conception - Ward</t>
  </si>
  <si>
    <t>% Smoking at the Time of BOOKING</t>
  </si>
  <si>
    <t>% Smoking at the Time of DELIVERY</t>
  </si>
  <si>
    <t>% Smoking at the Time of the 12-16 WEEK CHECK</t>
  </si>
  <si>
    <t>% stating SMOKER IN THE HOUSEHOLD</t>
  </si>
  <si>
    <t>% of Children in Poverty 2009</t>
  </si>
  <si>
    <t>Births to Mothers Under 20 (2009)</t>
  </si>
  <si>
    <t>Births to Mothers Under 20 (2010)</t>
  </si>
  <si>
    <t>Parliamentary Constituency</t>
  </si>
  <si>
    <t>Households</t>
  </si>
  <si>
    <t>Under 5 (2007)</t>
  </si>
  <si>
    <t>Under 5 (2009)</t>
  </si>
  <si>
    <t>Births to Mothers Aged Under 20</t>
  </si>
  <si>
    <t>Select by choosing from the drop down list</t>
  </si>
  <si>
    <t>IMPROVING THE ORAL HEALTH OF CHILDREN</t>
  </si>
  <si>
    <t>REDUCING TEENAGE PREGNANCY AND SUPPORTING TEENAGE PARENTS</t>
  </si>
  <si>
    <t>IMPROVING CHILDREN'S EMOTIONAL HEALTH AND WELL BEING AND ADULT MENTAL HEALTH</t>
  </si>
  <si>
    <t>BACKGROUND INFORMATION</t>
  </si>
  <si>
    <t>• Healthy weight, healthy lives (breastfeeding, healthy eating and physical activity)</t>
  </si>
  <si>
    <t>• Improving the oral health of children</t>
  </si>
  <si>
    <t>• Improving children’s emotional health and well-being and adult mental health</t>
  </si>
  <si>
    <t>• Improving children’s speech, language and communication</t>
  </si>
  <si>
    <t>Ward(s) Located</t>
  </si>
  <si>
    <t>• Reducing teenage pregnancy rates and supporting teenage parents</t>
  </si>
  <si>
    <t>• Reducing alcohol and substance misuse</t>
  </si>
  <si>
    <t>• Increasing smoking cessation</t>
  </si>
  <si>
    <t>• Improving cover rate for all childhood immunisations</t>
  </si>
  <si>
    <t>• Reducing unintentional injuries to children and risk of sudden infant death.</t>
  </si>
  <si>
    <t>What helps?</t>
  </si>
  <si>
    <t>Why breastfeeding is important</t>
  </si>
  <si>
    <t>Select Centre / Group</t>
  </si>
  <si>
    <t>Select Comparator Centre / Group</t>
  </si>
  <si>
    <t>Under 5 (2011)</t>
  </si>
  <si>
    <t>% of Children in Poverty 2010</t>
  </si>
  <si>
    <t>All Births (2011)</t>
  </si>
  <si>
    <t>Births to Mothers Under 20 (2011)</t>
  </si>
  <si>
    <t>2010</t>
  </si>
  <si>
    <t>RECEPTION CLASS PUPILS 2010/11</t>
  </si>
  <si>
    <t>2011/12 - Measured (Reception)</t>
  </si>
  <si>
    <t>2011/12 - Measured as Obese (Reception)</t>
  </si>
  <si>
    <t>% Obese (Reception) - 2011/12</t>
  </si>
  <si>
    <t>2011/12 (Reception) - 95% Confidence Limits</t>
  </si>
  <si>
    <t>2011/12 Significance (Reception)</t>
  </si>
  <si>
    <t>2011/12 - Measured as Obese (Year 6)</t>
  </si>
  <si>
    <t>2011/12 (Year 6) - 95% Confidence Limits</t>
  </si>
  <si>
    <t>YEAR 6 PUPILS 2010/11</t>
  </si>
  <si>
    <t>2008-2010</t>
  </si>
  <si>
    <t>tbc</t>
  </si>
  <si>
    <t>MMR</t>
  </si>
  <si>
    <t>Pre-School Booster</t>
  </si>
  <si>
    <t xml:space="preserve">5-in-1 (DTaP/IPV/Hib) </t>
  </si>
  <si>
    <t>Hib/Men C booster</t>
  </si>
  <si>
    <t xml:space="preserve">Pneumo jab </t>
  </si>
  <si>
    <t>Diphtheria / Tetanus / Acellular Pertussis / Polio / Haemophilus Influenza type B also known as the 5 in 1. Vaccine offered at 2,3 and 4 months</t>
  </si>
  <si>
    <t xml:space="preserve">First vaccinations is given to babies at between three and four months old and a third dose is given at 12 months. The third dose is combined with the Hib vaccine (Hib/MenC booster). </t>
  </si>
  <si>
    <t xml:space="preserve">Vaccination provided to protect against streptococcus pneumoniae,and provided at 2 and 4 months. </t>
  </si>
  <si>
    <t>MMR is the combined vaccine (measles, mumps and rubella). Children vaccinated usually within a month of the first birthday and a booster befoire starting school (between 3 and 5).</t>
  </si>
  <si>
    <t>Booster for diphtheria, tetanus, pertussis (whooping cough) and polio.
3 years and 4 months of age or shortly thereafter.</t>
  </si>
  <si>
    <t xml:space="preserve">Vaccine against Haemophilus influenzae type b (Hib) / meningitis C (MenC). Given at between 12-13 months </t>
  </si>
  <si>
    <t xml:space="preserve">The data overleaf is separated into age cohorts. Immunisation for children aged 1, 2 and 5. For each cohort their immunisation for all immunisations is shown, this means that for the Age 5 Cohort the vaccine coverage of these children at 1 and 2 is also shown </t>
  </si>
  <si>
    <t xml:space="preserve">Vaccinated   </t>
  </si>
  <si>
    <t>% Vaccinated</t>
  </si>
  <si>
    <t>Coverage vs. 95%</t>
  </si>
  <si>
    <t>Imms - Eligible Children (1 year olds)</t>
  </si>
  <si>
    <t>Imms - Eligible Children (2 year olds)</t>
  </si>
  <si>
    <t>2011/12</t>
  </si>
  <si>
    <t>Question 1 : Smoking at the TIME OF BOOKING</t>
  </si>
  <si>
    <t>Question 2 : Smoking at the TIME OF DELIVERY</t>
  </si>
  <si>
    <t>Question 3 : Smoking at the the HEALTH VISITOR 12 WEEK CHECK</t>
  </si>
  <si>
    <t>Question 4 : SMOKING IN THE HOME</t>
  </si>
  <si>
    <t>Breastfeeding has benefits for the baby throughout life including protection against obesity, eczma,  diarrhoea and vomiting and other common infections.  It helps mothers lose any excess weight they may have gained during pregnancy, and it reduces the risk of developing breast and ovarian cancer later in life.</t>
  </si>
  <si>
    <t>Rationale for the indicator</t>
  </si>
  <si>
    <t>Statistical issues</t>
  </si>
  <si>
    <t>Why childhood obesity is important</t>
  </si>
  <si>
    <t>• Numbers of people within a resource pool area accessing Solihull training (WSCC)</t>
  </si>
  <si>
    <t>• 85% of mothers to be screened post-natally for post-natal depression (DH)</t>
  </si>
  <si>
    <t>ASSESSED AS HAVING A "GOOD LEVEL" OF DEVELOPMENT AT AGE 5</t>
  </si>
  <si>
    <t>Poor oral health in children is caused by poor diet, poor oral hygiene and lack of exposure to fluoride.  Children from socially disadvantaged groups experience disproportionately high levels of oral health problems.</t>
  </si>
  <si>
    <t>Strong bonding and attachment between parent or carer and infant supports the development of empathy, trust and wellbeing in the child, and builds resilience to adverse life events or circumstances. The mental health of adults can have a direct impact on the emotional health and wellbeing of children and young people in their care.</t>
  </si>
  <si>
    <t>Rationale for the indicators</t>
  </si>
  <si>
    <t>Children and family centres can play an important role in supporting parents and carers with mental health problems with their family and parenting responsibilities.  Newly developed perinatal mental health pathways will support appropriate referral to services.  CFCs can also provide a non-stigmatising venue for counselling and other services.</t>
  </si>
  <si>
    <t>Personal, social and emotional development, along with speech, language and communication are strong measures of developing empathy and resilience in children.  Low scores for either would indicate those children more likely to require intensive support.  All new mothers should be assessed by doctors, midwives and health visitors for PND.  Mothers who agree to a 12-16 visit from their health visitor are systematically assessed so that services can respond appropriately to local levels of need. West Sussex is using the Solihull approach to promote positive parenting skills, supporting both parent or carer and child.</t>
  </si>
  <si>
    <t>Services for teenage parents are provided by a number of agencies including health, social services, education, youth services and the voluntary sector.  It is important that they are as integrated as possible, and are welcoming to young people. Children and family centres have an invaluable role in supporting young parents to improve health, social and economic outcomes for them and their children and in preventing subsequent pregnancies.</t>
  </si>
  <si>
    <t>2009/10 (Reception) - 95% Confidence Limits</t>
  </si>
  <si>
    <t>2010/11 - Measured (Year 6)</t>
  </si>
  <si>
    <t>2010/11 - Measured as Obese (Year 6)</t>
  </si>
  <si>
    <t>2010/11 (Year 6) - 95% Confidence Limits</t>
  </si>
  <si>
    <t>2010/11 Significance (Year 6)</t>
  </si>
  <si>
    <t>% Obese (Year 6) - 2010/11</t>
  </si>
  <si>
    <t>2010/11 - Measured (Reception)</t>
  </si>
  <si>
    <t>2010/11 - Measured as Obese (Reception)</t>
  </si>
  <si>
    <t>% Obese (Reception) - 2010/11</t>
  </si>
  <si>
    <t>2010/11 (Reception) - 95% Confidence Limits</t>
  </si>
  <si>
    <t>2010/11 Significance (Reception)</t>
  </si>
  <si>
    <t>2010/11 (Reception) - LCL</t>
  </si>
  <si>
    <t>2010/11 (Reception) - UCL</t>
  </si>
  <si>
    <t>2010/11 (Year 6) - LCL</t>
  </si>
  <si>
    <t>2010/11 (Year 6) - UCL</t>
  </si>
  <si>
    <t>The data has been collated by the West Sussex Research Unit working with colleagues in the NHS and West Sussex County Council. It will be updated on a six monthly basis. The inclusion of further indicators, some outlined in this profile, will be considered at the next refresh.</t>
  </si>
  <si>
    <t>Levels of obesity among reception year and year 6 pupils are rising nationally. This indicator helps Children and Family Centres to monitor local trends and provide appropriate support for families.</t>
  </si>
  <si>
    <t>All Births (2009)</t>
  </si>
  <si>
    <t>All Births (2010)</t>
  </si>
  <si>
    <t>Why Child Poverty is Important</t>
  </si>
  <si>
    <t>Statistical Issues</t>
  </si>
  <si>
    <t>• Sales of toothbrushes and toothpaste in the community shops remain constant or improve</t>
  </si>
  <si>
    <t>• All relevant staff are trained in the West Sussex Oral Health Toolkit</t>
  </si>
  <si>
    <t>• Effectiveness of child and adolescent mental health (CAMHS)</t>
  </si>
  <si>
    <t xml:space="preserve">• Percentage of children who achieve a total of at least 78 points across the Early Years Foundation Stage (EYFSP) with at least 6 points scored in each of the personal, social and emotional development (PSED) and communication, language and literacy (CLL) scales. </t>
  </si>
  <si>
    <t>Overweight and obese children are more likely to become obese adults and have a higher risk of mortality, disability and morbidity in adulthood. Metabolic changes such as raised blood pressure and cholesterol may be seen in obese children and teenagers.  Childhood obesity is linked to psychological problems such as low self-esteem, anxiety and depression which are often seen by children themselves as the most serious effects.</t>
  </si>
  <si>
    <t>Children and family centres can help to reduce obesity by promoting healthy lifestyles, supporting families to modify dietary intake where appropriate, encouraging active play and promoting non-sedentary family activities.</t>
  </si>
  <si>
    <t xml:space="preserve">• Percentage of children being breastfed at six to eight weeks </t>
  </si>
  <si>
    <t>This is NOT a count of all lone parent families - only those on low incomes - with an income of 60% or below median income. National reasearch (DWP) estimates that approximately half of all lone parent families are living on low incomes.</t>
  </si>
  <si>
    <t xml:space="preserve">• Percentage of children in reception year who are obese </t>
  </si>
  <si>
    <t xml:space="preserve">• Rate of emergency hospital admissions caused by unintentional and deliberate injuries to children and young people </t>
  </si>
  <si>
    <t xml:space="preserve">• Percentage of eligible families benefiting from the childcare element of Working Tax Credit </t>
  </si>
  <si>
    <t>Proficiency in English</t>
  </si>
  <si>
    <t>Deprivation</t>
  </si>
  <si>
    <t>POST NATAL DEPRESSION</t>
  </si>
  <si>
    <t>Why this  is important</t>
  </si>
  <si>
    <t>Post Natal Depression is a distressing condition that can affect a mother's ability to care for her baby and herself.  It is common, affecting about 1 in 10 mothers.  A small number develop psychotic symptoms and need to seek help urgently. Most women will get better within 3-6 months without treatment but 1 in 4 will still be affected when the baby is a year old.  PND can spoil a mother's enjoyment of the new baby, put a strain on the relationship with her partner, and can affect the child's long term development and behaviour even after the depression has ended.</t>
  </si>
  <si>
    <t xml:space="preserve">Children and family centres can encourage mothers to access social support from their families or other mothers, and by helping them to balance caring for a new baby with other aspects of their lives.  They can help mothers who seek advice to access appropriate support through their health visitor or GP. </t>
  </si>
  <si>
    <t>In compiling the information relating to Post Natal Depression a number of issues were identified:-</t>
  </si>
  <si>
    <t xml:space="preserve"> - The data relate only to those women who have agreed to a 12-16 week visit and therefore not all mothers are included in the figures</t>
  </si>
  <si>
    <t xml:space="preserve"> - The number of babies eligible for a 12-16 week check and data from checks conducted are stored on different systems, linked by baby’s date of birth. </t>
  </si>
  <si>
    <t xml:space="preserve"> - Mother’s may answer ‘yes’ to the ‘Woolley’ questionnaire by may refuse to take the EPDS questionnaire</t>
  </si>
  <si>
    <t>POST NATAL DEPRESSION (PND)</t>
  </si>
  <si>
    <t>The diagram below shows how women are currently being screened and identified for support via the 3 month check. The figures in blue represent the number of women at each stage of the process. Of the 5,104 women with recorded information, 5,048 had been screened using the Woolley questionnaire. The data showed that various paths had been followed with the screening tools, some women had no initial screening data but then had been assessed using the Edinburgh scale, some had identified using the Woolley but then not assessed using the Edinburgh tool.</t>
  </si>
  <si>
    <t>The data reflect the fact that the process by which women are identified as having, or being at risk of having, post natal depression is inconsistent across West Sussex. The information below relates to 5,100 women, this is compared to approximately 9,000 births.</t>
  </si>
  <si>
    <t>The diagram below shows that,of the women where the Woolley tool was used, 273 women requested more help.</t>
  </si>
  <si>
    <t>Number of Admissions</t>
  </si>
  <si>
    <t>Resident Population</t>
  </si>
  <si>
    <t>Lower 95% CI</t>
  </si>
  <si>
    <t>Upper 95% CI</t>
  </si>
  <si>
    <t>England Average Rate</t>
  </si>
  <si>
    <t>Significance  Compared to England</t>
  </si>
  <si>
    <t>What is being measured?</t>
  </si>
  <si>
    <t>Why is it being measured?</t>
  </si>
  <si>
    <t>How is the indicator defined?</t>
  </si>
  <si>
    <t>HES inpatient data and ONS population statistics are generally considered to be complete and robust. However, there may be a question regarding the quality of external cause coding.</t>
  </si>
  <si>
    <t xml:space="preserve">How accurate and complete is the data? </t>
  </si>
  <si>
    <t>Are there any other caveats/ problems/ weaknesses?</t>
  </si>
  <si>
    <t>There may be differences in admission thresholds.</t>
  </si>
  <si>
    <t>There may be variation between Trusts in the way hospital admissions are coded. There may be variation in data recording completeness. Injury information could potentially be missing in the admission episode record but added instead to a subsequent episode record.</t>
  </si>
  <si>
    <t>The Injury Profiles indicator is based on finished admissions, whereas the Child Profiles indicator is based on episodes. The Injury Profiles indicator is based on emergency admissions only, whereas the Child Profiles indicator includes all admission methods.</t>
  </si>
  <si>
    <t>Rate per 10,000</t>
  </si>
  <si>
    <t>Under 5 (2008)</t>
  </si>
  <si>
    <t>Under 5 (2010)</t>
  </si>
  <si>
    <t>Under 5 (2012)</t>
  </si>
  <si>
    <t>% Other</t>
  </si>
  <si>
    <t>All Births (2012)</t>
  </si>
  <si>
    <t>Births to Mothers Under 20 (2012)</t>
  </si>
  <si>
    <t>Lone parent families on low income - 2011</t>
  </si>
  <si>
    <t>Lone parent families on low income - 2012</t>
  </si>
  <si>
    <t>Lone parent families on low income - 2013</t>
  </si>
  <si>
    <t>2013</t>
  </si>
  <si>
    <t>Working age lone parents claiming benefits. Data from the ONS.</t>
  </si>
  <si>
    <t>Household Composition</t>
  </si>
  <si>
    <t>All Households with dependent children</t>
  </si>
  <si>
    <t>Married Couple with dependent children</t>
  </si>
  <si>
    <t>Same-Sex Civil Partnership Couple with dependent children</t>
  </si>
  <si>
    <t>Cohabiting Couple with dependent children</t>
  </si>
  <si>
    <t>Lone Parent with dependent children</t>
  </si>
  <si>
    <t>Other Household type with dependent children</t>
  </si>
  <si>
    <t>% of Children in Poverty 2011</t>
  </si>
  <si>
    <t>The most recent dental survey - with national comparators - for children aged 12 was undertaken in 2011/12.  A sample of children in each LA in England examined and number of decayed, missing or filled teeth (DMFT) assessed.  The survey provides an indication of oral health in West Sussex.</t>
  </si>
  <si>
    <t>In Worthing the number of children examined was too small (&lt;30) for a robust sample</t>
  </si>
  <si>
    <t>RECEPTION CLASS PUPILS 2011/12</t>
  </si>
  <si>
    <t>It should be noted that the National Child Measurement Programme remains voluntary. In 2011/12 80% of all reception class pupils in West Sussex were measured and 90.5% of Year 6 pupils. Across England 92.4% of reception class pupils and 92.4% of Year 6 pupils were measured.</t>
  </si>
  <si>
    <t>Low Birth Weight</t>
  </si>
  <si>
    <t>Population MYE</t>
  </si>
  <si>
    <t>Population 0-4</t>
  </si>
  <si>
    <t>Births</t>
  </si>
  <si>
    <t>Lone parent families</t>
  </si>
  <si>
    <t>Child Poverty</t>
  </si>
  <si>
    <t>Breastfeeding</t>
  </si>
  <si>
    <t>New EYFS</t>
  </si>
  <si>
    <t>Immunisations</t>
  </si>
  <si>
    <t>LTLI</t>
  </si>
  <si>
    <t>One dependent child families 2011 aged 0-4</t>
  </si>
  <si>
    <t>Two dependent children families 2011 youngest aged 0-4</t>
  </si>
  <si>
    <t>Three dependent children families 2011 youngest aged 0-4</t>
  </si>
  <si>
    <t>Total number of dependent children 2011</t>
  </si>
  <si>
    <t>Number of babies eligible 2012/13</t>
  </si>
  <si>
    <t>Number of babies not checked 2012/13</t>
  </si>
  <si>
    <t>Number of babies receiving check 2012/13</t>
  </si>
  <si>
    <t>% of babies checked 2012/13</t>
  </si>
  <si>
    <t>Exclusively breastfed 2012/13</t>
  </si>
  <si>
    <t>Total including partially breastfed 2012/13</t>
  </si>
  <si>
    <t>% exclusively breastfed 2012/13</t>
  </si>
  <si>
    <t>% breastfeeding (including partially) 2012/13</t>
  </si>
  <si>
    <t>Proficiency in English 2011</t>
  </si>
  <si>
    <t>3-15 Main language is English 2011</t>
  </si>
  <si>
    <t>3-15 Main language is not English 2011</t>
  </si>
  <si>
    <t>3-15 Main language is not English : Can speak English very well or well 2011</t>
  </si>
  <si>
    <t>3-15 Main language is not English : Cannot speak English or cannot speak English well 2011</t>
  </si>
  <si>
    <t>Immunisations Total age1 eligible Q1 2013-14</t>
  </si>
  <si>
    <t>age1 2nd MenC</t>
  </si>
  <si>
    <t>age1 2nd MenC%</t>
  </si>
  <si>
    <t>age1 2nd Pneu</t>
  </si>
  <si>
    <t>age1 2nd Pneu%</t>
  </si>
  <si>
    <t>age1 1st Pneu</t>
  </si>
  <si>
    <t>age1 1st Pneu%</t>
  </si>
  <si>
    <t>age1 3rd5in1</t>
  </si>
  <si>
    <t>age1 3rd5in1%</t>
  </si>
  <si>
    <t>total age2 eligible</t>
  </si>
  <si>
    <t>age2 HibMenCBoost</t>
  </si>
  <si>
    <t>age2 2ndMenC</t>
  </si>
  <si>
    <t>age2 2ndMenC%</t>
  </si>
  <si>
    <t>age2 PneuBoost</t>
  </si>
  <si>
    <t>age2 2ndPneu</t>
  </si>
  <si>
    <t>age2 2ndPneu%</t>
  </si>
  <si>
    <t>age2 1stPneu</t>
  </si>
  <si>
    <t>age2 1stPneu%</t>
  </si>
  <si>
    <t>age2 MMR1</t>
  </si>
  <si>
    <t>age2 3rd5in1</t>
  </si>
  <si>
    <t>age2 3rd5in1%</t>
  </si>
  <si>
    <t>Total age5 eligible</t>
  </si>
  <si>
    <t>age5 HibMenCBoost</t>
  </si>
  <si>
    <t>age5 2ndMenC</t>
  </si>
  <si>
    <t>age5 PneuBoost</t>
  </si>
  <si>
    <t>age5 2ndPneu</t>
  </si>
  <si>
    <t>age5 1stPneu</t>
  </si>
  <si>
    <t>age5 MMR2</t>
  </si>
  <si>
    <t>age5 MMR1</t>
  </si>
  <si>
    <t>age5 PSB</t>
  </si>
  <si>
    <t>age5 3rd5in1</t>
  </si>
  <si>
    <t>Arun East</t>
  </si>
  <si>
    <t>Billingshurst and Pulborough</t>
  </si>
  <si>
    <t>Arun West</t>
  </si>
  <si>
    <t>Broadfield</t>
  </si>
  <si>
    <t>East Preston</t>
  </si>
  <si>
    <t>Felpham</t>
  </si>
  <si>
    <t>Roffey</t>
  </si>
  <si>
    <t>Rural Chichester</t>
  </si>
  <si>
    <t>Rural Horsham</t>
  </si>
  <si>
    <t>Selsey</t>
  </si>
  <si>
    <t>Sidney West</t>
  </si>
  <si>
    <t>Stepping Stones</t>
  </si>
  <si>
    <t>Sussex Downs</t>
  </si>
  <si>
    <t>The Villages</t>
  </si>
  <si>
    <t>The Wave</t>
  </si>
  <si>
    <t>Treehouse</t>
  </si>
  <si>
    <t>GP Cluster</t>
  </si>
  <si>
    <t>Wards</t>
  </si>
  <si>
    <t>Churchill, Cokeham, Manor, Peverel</t>
  </si>
  <si>
    <t>Buckingham, St Mary's, St Nicolas, Southlands</t>
  </si>
  <si>
    <t>Marine, Mash Barn, Widewater</t>
  </si>
  <si>
    <t>Eastbrook, Hillside, Southwich Green</t>
  </si>
  <si>
    <t>Angmering, Brookfield, Rustington East, Rustington West</t>
  </si>
  <si>
    <t>Beach, Brookfield, East Preston with Kingston, Rustington East, Rustington West</t>
  </si>
  <si>
    <t>Beach, Brookfield, Ham, River, Wick with Toddington</t>
  </si>
  <si>
    <t>Arundel, Barnham, Walberton, Yapton</t>
  </si>
  <si>
    <t>Aldwick East, Aldwick West, Bersted, Hotham, Marine, Pagham and Rose Green, Pevensey</t>
  </si>
  <si>
    <t>Felpham East, Felpham West, Hotham, Middleton-on-sea</t>
  </si>
  <si>
    <t>Bersted, Orchard</t>
  </si>
  <si>
    <t>Chichester East, Chichester North, Chichester South, Chichester West</t>
  </si>
  <si>
    <t>Easebourne, Fernhurst, Harting, Midhurst, Rogate, Stedham</t>
  </si>
  <si>
    <t>Bury, Fernhurst, Petworth, Plaistow</t>
  </si>
  <si>
    <t>Boxgrove, Chichester North, Chichester West, Donnington, Funtington, Lavant, North Mundham, Sidlesham, Tangmere, Westbourne</t>
  </si>
  <si>
    <t>Bosham, Fishbourne, Southbourne</t>
  </si>
  <si>
    <t>East Wittering, Selsey North, Selsey South, Sidlesham, West Wittering</t>
  </si>
  <si>
    <t>Bewbush, Gossops Green</t>
  </si>
  <si>
    <t>Broadfield North, Broadfield South</t>
  </si>
  <si>
    <t>Ifield, Langley Green</t>
  </si>
  <si>
    <t>Maidenbower, Pound Hill North, Pound Hill South and Worth</t>
  </si>
  <si>
    <t>Northgate, Three Bridges, West Green</t>
  </si>
  <si>
    <t>Furnace Green, Southgate, Tilgate</t>
  </si>
  <si>
    <t>Forest, Holbrook East, Horsham Park, Roffey North, Roffey South</t>
  </si>
  <si>
    <t>Denne, Holbrook West, Trafalgar</t>
  </si>
  <si>
    <t>Holbrook East, Holbrook West, Roffey North, Roffey South</t>
  </si>
  <si>
    <t>Billingshurst and Shipley, Broadbridge Heath, Itchingfield, Slinfold and Warnham, Rudgwick, Rusper and Colgate</t>
  </si>
  <si>
    <t>Chanctonbury, Chantry</t>
  </si>
  <si>
    <t>Wishborough Green, Chanctonbury, Pulborough and Coldwatham, Plaistow, Billingshurst and Shipley, Itchingfield, Slinford and Warnham</t>
  </si>
  <si>
    <t>Bramber, Upper Beeding and Woodmancote, Cowfold, Shermanbury and West Grinstead, Henfield, Nuthurst, Buckingham, Manor, Steyning</t>
  </si>
  <si>
    <t>Ardingly and Balcombe, Bolney, Crawley Down and Turners Hill, East Grinstead Herontye</t>
  </si>
  <si>
    <t>Cuckfield, Haywards Heath Heath, Haywards Heath Lucastes, High Weald, Linfield</t>
  </si>
  <si>
    <t>Bolney, Cuckfield, Hassocks, Hurstpierpoint and Downs</t>
  </si>
  <si>
    <t>East Grinstead Ashplats, East Grinstead Baldwins, East Grinstead Town</t>
  </si>
  <si>
    <t>Ashurst Wood, East Grinstead Herontye, East Grinstead Imberhorne, East Grinstead Town</t>
  </si>
  <si>
    <t>Burgess Hill Dunstall, Burgess Hill Victoria</t>
  </si>
  <si>
    <t>Haywards Heath Ashenground, Haywards Heath Brentswood, Haywards Heath Franklands, Haywards Heath Heath</t>
  </si>
  <si>
    <t>Burgess Hill Franklands, Burgess Hill Leylands, Burgess Hill Meeds, Burgess Hill St Andrews</t>
  </si>
  <si>
    <t>Durrington, Northbrook, Salvington</t>
  </si>
  <si>
    <t>Findon, Broadwater, Offington, Salvington</t>
  </si>
  <si>
    <t>Ferring, Castle, Goring</t>
  </si>
  <si>
    <t>Central, Heene, Selden</t>
  </si>
  <si>
    <t>Broadwater, Gaisford</t>
  </si>
  <si>
    <t>Marine, Tarring</t>
  </si>
  <si>
    <t>Arch</t>
  </si>
  <si>
    <t>Chanctonbury</t>
  </si>
  <si>
    <t>LA - Adur</t>
  </si>
  <si>
    <t>LA - Arun</t>
  </si>
  <si>
    <t>LA - Chichester</t>
  </si>
  <si>
    <t>LA - Crawley</t>
  </si>
  <si>
    <t>LA - Horsham</t>
  </si>
  <si>
    <t>LA - Mid Sussex</t>
  </si>
  <si>
    <t>LA - Worthing</t>
  </si>
  <si>
    <t>Education Locality Name</t>
  </si>
  <si>
    <t>Area</t>
  </si>
  <si>
    <t>2009-2011</t>
  </si>
  <si>
    <t>Rate 2005-2007</t>
  </si>
  <si>
    <t>LCL 2005-2007</t>
  </si>
  <si>
    <t>UCL 2005-2007</t>
  </si>
  <si>
    <t>Number 2006-2008</t>
  </si>
  <si>
    <t>Number 2005-2007</t>
  </si>
  <si>
    <t>Rate 2006-2008</t>
  </si>
  <si>
    <t>LCL 2006-2008</t>
  </si>
  <si>
    <t>UCL 2006-2008</t>
  </si>
  <si>
    <t>LCL 2009-11</t>
  </si>
  <si>
    <t>UCL 2009-2011</t>
  </si>
  <si>
    <t>LCL 2008-2010</t>
  </si>
  <si>
    <t>UCL 2008-2010</t>
  </si>
  <si>
    <t>LCL 2007-2009</t>
  </si>
  <si>
    <t>UCL 2007-2009</t>
  </si>
  <si>
    <t>Number 2009-2011</t>
  </si>
  <si>
    <t>Rate 2009-2011</t>
  </si>
  <si>
    <t>Number 2008-2010</t>
  </si>
  <si>
    <t>Rate 2008-2010</t>
  </si>
  <si>
    <t>Number 2007-2009</t>
  </si>
  <si>
    <t>Rate 2007-2009</t>
  </si>
  <si>
    <t>To achieve a 95% coverage rates across all childhood immunisations (DH)</t>
  </si>
  <si>
    <t>AGE 5 COHORT (Children had their 5th birthday within the quarter).</t>
  </si>
  <si>
    <t>% White Irish and White Other</t>
  </si>
  <si>
    <t>% Mixed/Multiple</t>
  </si>
  <si>
    <t>Number of babies born of low weight</t>
  </si>
  <si>
    <t>All Families</t>
  </si>
  <si>
    <t>All families</t>
  </si>
  <si>
    <t>Families 0-4 2011</t>
  </si>
  <si>
    <t>families with 3 or more children %</t>
  </si>
  <si>
    <t>This information is taken from the 2011 Census and provides the total number of households with dependent children and the marital status of the Household Reference person.</t>
  </si>
  <si>
    <t>Number 2007</t>
  </si>
  <si>
    <t>Number 2008</t>
  </si>
  <si>
    <t>Number 2009</t>
  </si>
  <si>
    <t>Number 2010</t>
  </si>
  <si>
    <t>Number 2011</t>
  </si>
  <si>
    <t>% Exclusively breast fed (2012/2013)</t>
  </si>
  <si>
    <t>% Breastfeeding (including partially) (2012/2013)</t>
  </si>
  <si>
    <t>exclusiveUCL</t>
  </si>
  <si>
    <t>partialLCL</t>
  </si>
  <si>
    <t>partialUCL</t>
  </si>
  <si>
    <t>exclusiveLCL</t>
  </si>
  <si>
    <t>2010/11</t>
  </si>
  <si>
    <t>% Main Language not english but can speak it well or very well</t>
  </si>
  <si>
    <t>Main language is English</t>
  </si>
  <si>
    <t>Main language is not English</t>
  </si>
  <si>
    <t>Main language is not English but can speak English well or very well</t>
  </si>
  <si>
    <t>Main language is not English and cannot speak it or speak it well</t>
  </si>
  <si>
    <t xml:space="preserve">Hospital Admissions </t>
  </si>
  <si>
    <t xml:space="preserve">Child Poverty  </t>
  </si>
  <si>
    <t>Source: HMRC</t>
  </si>
  <si>
    <t xml:space="preserve">Children Aged 0-4 in Households on Workless Benefits </t>
  </si>
  <si>
    <t>% activities limited a ot</t>
  </si>
  <si>
    <t>Long Term Limiting Illness</t>
  </si>
  <si>
    <t>No. activities limited a little or a lot</t>
  </si>
  <si>
    <t>Geographies</t>
  </si>
  <si>
    <t>% Main language is not english and cannot speak it or cannot speak it well</t>
  </si>
  <si>
    <t>2009</t>
  </si>
  <si>
    <t>Local Decile</t>
  </si>
  <si>
    <t>%not smoking at time of booking</t>
  </si>
  <si>
    <t>% smoking at time of booking</t>
  </si>
  <si>
    <t>%not smoking at delivery</t>
  </si>
  <si>
    <t>%smoking at delivery</t>
  </si>
  <si>
    <t>%not current smoker</t>
  </si>
  <si>
    <t>%current smoker</t>
  </si>
  <si>
    <t>%No smoker in household</t>
  </si>
  <si>
    <t>%Smoker in household</t>
  </si>
  <si>
    <t>At the time of their 12-16 week check  532 women (10.8%) of the 4,941 who provided information said that they smoked.</t>
  </si>
  <si>
    <t>LCLbook</t>
  </si>
  <si>
    <t>UCLbook</t>
  </si>
  <si>
    <t>LCLdel</t>
  </si>
  <si>
    <t>LCLsmoke</t>
  </si>
  <si>
    <t>UCLsmoke</t>
  </si>
  <si>
    <t>UCLdel</t>
  </si>
  <si>
    <t>LCLhouse</t>
  </si>
  <si>
    <t>UCLhouse</t>
  </si>
  <si>
    <t>We have only included "yes" / "no" responses; non responses or "don't knows" have been excluded from the calculations, this means that the total number of responses to each of the questions is different; i.e. 4,950 responses to Question 1 compared to  4,949 responses to Question 2.</t>
  </si>
  <si>
    <t>•  The achievement of children who have accessed services provided or commissioned by the centre, shown by the percentage of children gaining at least 78 points across the Early Years Foundation Stage Profile scales with at least six points in each of the</t>
  </si>
  <si>
    <t xml:space="preserve">Population of Children 0-4 </t>
  </si>
  <si>
    <t xml:space="preserve">Population </t>
  </si>
  <si>
    <t>Ethnic Composition</t>
  </si>
  <si>
    <t>Source: 2011 Census</t>
  </si>
  <si>
    <t>Source: Child Health Bureau</t>
  </si>
  <si>
    <t>Source: ONS</t>
  </si>
  <si>
    <t xml:space="preserve"> Source: DWP</t>
  </si>
  <si>
    <t xml:space="preserve">Source: HES and ONS                                      </t>
  </si>
  <si>
    <t>based on 2 sites</t>
  </si>
  <si>
    <t>Hassocks</t>
  </si>
  <si>
    <t>C3/B</t>
  </si>
  <si>
    <t>Billingshurst, Steyning/Storrington</t>
  </si>
  <si>
    <t>CONTENTS</t>
  </si>
  <si>
    <t>FAMILIES</t>
  </si>
  <si>
    <t>Family Composition</t>
  </si>
  <si>
    <t>Oral Health</t>
  </si>
  <si>
    <t>CIRCUMSTANCE</t>
  </si>
  <si>
    <t>Childhood Obesity</t>
  </si>
  <si>
    <t>HEALTH</t>
  </si>
  <si>
    <t>DEVELOPMENT</t>
  </si>
  <si>
    <t>PREGNANCY</t>
  </si>
  <si>
    <t>MEDICAL</t>
  </si>
  <si>
    <t>back to top</t>
  </si>
  <si>
    <t>95% confidence intervals are shown and should be used when making comparisons. Where confidence intervals overlap, it is not possible to say that a difference is statistically significant. In the main, siginificance relates to whether an area is significantly different in comparison to England averages.</t>
  </si>
  <si>
    <t xml:space="preserve">• Percentage of each of the following target groups in the children’s centre reach area and with whom the children’s centre establishes contact: teenage parents and pregnant teenagers, lone parents, children in workless households, children in minority ethnic groups, disabled children and children of disabled parents, fathers, other groups that are priority vulnerable groups in the children’s centre area </t>
  </si>
  <si>
    <t xml:space="preserve"> - with one child (aged 0-4)</t>
  </si>
  <si>
    <t>-  with two children (youngest aged 0-4)</t>
  </si>
  <si>
    <t>-  with three or more children (youngest aged 0-4)</t>
  </si>
  <si>
    <t>CFCs are ranked 1-10 in relation to the rest of the county, the higher the number the lower the deprivation. Areas with deprivation decile less that 3 and under are in the 30% most deprived in West Sussex.</t>
  </si>
  <si>
    <t>October 2015</t>
  </si>
  <si>
    <t>November 2014</t>
  </si>
  <si>
    <t>Source: ONS Mid Year Estimates 2013</t>
  </si>
  <si>
    <t>CFC Group</t>
  </si>
  <si>
    <t>Under 5 (2013)</t>
  </si>
  <si>
    <t>Footprints (Crescent and Lyndhurst)</t>
  </si>
  <si>
    <t>HH Rural</t>
  </si>
  <si>
    <t>HH Urban</t>
  </si>
  <si>
    <t>EG Library</t>
  </si>
  <si>
    <t>EG Urban (Blackwells)</t>
  </si>
  <si>
    <t>Bognor Nursery School</t>
  </si>
  <si>
    <t>Boundstone Nursery School</t>
  </si>
  <si>
    <t>Chichester Nursery School</t>
  </si>
  <si>
    <t>Horsham Nursery School</t>
  </si>
  <si>
    <t>Maidenbower and Pound Hill</t>
  </si>
  <si>
    <t>Rural Henfield, Steyning and Upper Beeding</t>
  </si>
  <si>
    <t>Storrington (Little Footsteps)</t>
  </si>
  <si>
    <t>The Gattons</t>
  </si>
  <si>
    <t>The Needles</t>
  </si>
  <si>
    <t>Worthing Central</t>
  </si>
  <si>
    <t>Mid Sussex Rural (North)</t>
  </si>
  <si>
    <t>CFC Locality</t>
  </si>
  <si>
    <t>Source: ONS Small Area Population Statistics (Experimental Stats)</t>
  </si>
  <si>
    <t>Under 5 (2004)</t>
  </si>
  <si>
    <t>Under 5 (2005)</t>
  </si>
  <si>
    <t>Under 5 (2006)</t>
  </si>
  <si>
    <t>% BAME (Under 5)</t>
  </si>
  <si>
    <t>Data is for children aged 0-4 years and is taken from the 2011 Census.</t>
  </si>
  <si>
    <t>* BAME (Black Asian and Ethnic Minority) includes White Irish and White Other and Other. This data relates to children aged under 5 only.</t>
  </si>
  <si>
    <t>% of Children in Poverty 2012</t>
  </si>
  <si>
    <t>CCG - Coastal West Sussex</t>
  </si>
  <si>
    <t>CCG - Horsham and Mid Sussex</t>
  </si>
  <si>
    <t>Education Partnership Area - A</t>
  </si>
  <si>
    <t>Education Partnership Area - B</t>
  </si>
  <si>
    <t>Education Partnership Area - C1</t>
  </si>
  <si>
    <t>Education Partnership Area - C2</t>
  </si>
  <si>
    <t>Education Partnership Area - C3</t>
  </si>
  <si>
    <t>CFC Group - Adur East</t>
  </si>
  <si>
    <t>CFC Group - Adur West</t>
  </si>
  <si>
    <t>CFC Group - Arun East</t>
  </si>
  <si>
    <t>CFC Group - Arun West North</t>
  </si>
  <si>
    <t>CFC Group - Arun West South</t>
  </si>
  <si>
    <t>CFC Group - Chichester Rural</t>
  </si>
  <si>
    <t>CFC Group - Chichester Central</t>
  </si>
  <si>
    <t>CFC Group - Crawley</t>
  </si>
  <si>
    <t>CFC Group - Horsham Rural</t>
  </si>
  <si>
    <t>CFC Group - Horsham Town</t>
  </si>
  <si>
    <t>CFC Group - Mid Sussex</t>
  </si>
  <si>
    <t>CFC Group - Worthing</t>
  </si>
  <si>
    <t>All Births (2013)</t>
  </si>
  <si>
    <t>Births to Mothers Under 20 (2013)</t>
  </si>
  <si>
    <t>Number 2012</t>
  </si>
  <si>
    <t>% Obese (Reception) - 2012/13</t>
  </si>
  <si>
    <t>2012/13 (Reception) - LCL</t>
  </si>
  <si>
    <t>2012/13 (Reception) - UCL</t>
  </si>
  <si>
    <t>2012/13 Significance (Reception)</t>
  </si>
  <si>
    <t>2012/13 - Measured as Obese (Reception)</t>
  </si>
  <si>
    <t>2012/13 - Measured (Year 6)</t>
  </si>
  <si>
    <t>2012/13 - Measured as Obese (Year 6)</t>
  </si>
  <si>
    <t>% Obese (Year 6) - 2012/2013</t>
  </si>
  <si>
    <t>2012/13 (Year 6) - LCL</t>
  </si>
  <si>
    <t>2012/13 (Year 6) - UCL</t>
  </si>
  <si>
    <t>2012/13 Significance (Year 6)</t>
  </si>
  <si>
    <t>2012/13 - Measured (Reception)</t>
  </si>
  <si>
    <t>Number of children (2013)</t>
  </si>
  <si>
    <t>DevLCL (2013)</t>
  </si>
  <si>
    <t>DevUCL (2013)</t>
  </si>
  <si>
    <t>Adur West</t>
  </si>
  <si>
    <t>Adur East</t>
  </si>
  <si>
    <t>Arun West South</t>
  </si>
  <si>
    <t>Arun West North</t>
  </si>
  <si>
    <t>Chichester Central</t>
  </si>
  <si>
    <t>Chichester Rural</t>
  </si>
  <si>
    <t>Horsham Town</t>
  </si>
  <si>
    <t>Horsham Rural</t>
  </si>
  <si>
    <t>Check</t>
  </si>
  <si>
    <t>Population (2004)</t>
  </si>
  <si>
    <t>Population (2005)</t>
  </si>
  <si>
    <t>Population (2006)</t>
  </si>
  <si>
    <t>Population (2007)</t>
  </si>
  <si>
    <t>Population (2008)</t>
  </si>
  <si>
    <t>Population (2009)</t>
  </si>
  <si>
    <t>Population (2010)</t>
  </si>
  <si>
    <t>Population (2011)</t>
  </si>
  <si>
    <t>Population (2012)</t>
  </si>
  <si>
    <t>Population (2013)</t>
  </si>
  <si>
    <t>Ethnic Composition 0-4 (2011)</t>
  </si>
  <si>
    <t>% BAME</t>
  </si>
  <si>
    <t>Households with a child aged 0-9 years</t>
  </si>
  <si>
    <t>% Social rented</t>
  </si>
  <si>
    <t>% Private rent/living rent free</t>
  </si>
  <si>
    <t>% Private Rent/Living Rent Free</t>
  </si>
  <si>
    <t>Private Rent / Rent Free</t>
  </si>
  <si>
    <t xml:space="preserve">Other geographies (CFC Groups, LAs etc) cover numerous geographies fields are left blank. </t>
  </si>
  <si>
    <t>Number of 0-4 year olds with their day-to-day activities limited</t>
  </si>
  <si>
    <t>% of all 0-4 year olds</t>
  </si>
  <si>
    <t>Horsham and Mid Sussex</t>
  </si>
  <si>
    <t>Coastal West Sussex</t>
  </si>
  <si>
    <t>Coastal/Horsham and Mid Sussex</t>
  </si>
  <si>
    <t>Worthing W/Bognor and Littlehampton</t>
  </si>
  <si>
    <t>Arundel and South Downs/Horsham</t>
  </si>
  <si>
    <t>East Worthing and Shoreham/Worthing</t>
  </si>
  <si>
    <t>Households - Tenure of Households with a Child aged 0-9 Years</t>
  </si>
  <si>
    <t xml:space="preserve">In West Sussex the pattern of social housing, closely aligns with deprivation. At a small area level the level of social housing is a useful indicator of additional need. </t>
  </si>
  <si>
    <t>To allocate to catchment areas full postcodes are required. There were a number of records where the postcode was incomplete or missing, this means that the total number of births is lower than reported by ONS.</t>
  </si>
  <si>
    <t>Better than England</t>
  </si>
  <si>
    <t>No difference</t>
  </si>
  <si>
    <t>Worse than England</t>
  </si>
  <si>
    <t>Hospital admissions caused by unintentional and deliberate injuries in children (aged 0-4 years) Crude rate per 1,000 0-4 year olds</t>
  </si>
  <si>
    <t>Hospital admissions due to injury of children aged 5 and under 2010/11 to 2012/13.</t>
  </si>
  <si>
    <t xml:space="preserve">   Hospital admissions due to injury of children aged 5 and under 2010/11 to 2012/13.</t>
  </si>
  <si>
    <t>Good Level of Development (GLD)</t>
  </si>
  <si>
    <t>2010-2012</t>
  </si>
  <si>
    <t>RECEPTION CLASS PUPILS 2012/13</t>
  </si>
  <si>
    <t>2012/13 (Reception) - 95% Confidence Limits</t>
  </si>
  <si>
    <t xml:space="preserve">YEAR 6 PUPILS 2012/13 </t>
  </si>
  <si>
    <t>2012/13 (Year 6) - 95% Confidence Limits</t>
  </si>
  <si>
    <t xml:space="preserve">Injuries are a leading cause of hospitalisation and represent a major cause of premature mortality for children and young people. They are also a source of long-term health issues, including mental health related to experience(s). </t>
  </si>
  <si>
    <r>
      <rPr>
        <b/>
        <sz val="14"/>
        <color theme="8"/>
        <rFont val="Calibri"/>
        <family val="2"/>
        <scheme val="minor"/>
      </rPr>
      <t xml:space="preserve">STARTING WELL : </t>
    </r>
    <r>
      <rPr>
        <b/>
        <sz val="14"/>
        <color indexed="9"/>
        <rFont val="Calibri"/>
        <family val="2"/>
        <scheme val="minor"/>
      </rPr>
      <t>WEST SUSSEX HEALTHY CHILDREN &amp; FAMILY CENTRE PROFILE November 2014</t>
    </r>
  </si>
  <si>
    <r>
      <t xml:space="preserve">The profile enables you to look at individual children and family centres, or groups of centres, and to compare the performance of two different centres/groups at a time. </t>
    </r>
    <r>
      <rPr>
        <b/>
        <u/>
        <sz val="10"/>
        <rFont val="Calibri"/>
        <family val="2"/>
        <scheme val="minor"/>
      </rPr>
      <t>Note: not all data are available at all geographies</t>
    </r>
  </si>
  <si>
    <r>
      <t xml:space="preserve">  - </t>
    </r>
    <r>
      <rPr>
        <b/>
        <sz val="10"/>
        <color theme="1"/>
        <rFont val="Calibri"/>
        <family val="2"/>
        <scheme val="minor"/>
      </rPr>
      <t xml:space="preserve">CFC Group </t>
    </r>
    <r>
      <rPr>
        <sz val="10"/>
        <color theme="1"/>
        <rFont val="Calibri"/>
        <family val="2"/>
        <scheme val="minor"/>
      </rPr>
      <t>- Children and Family Centres (CFCs) in West Sussex are aggregated into 12 CFC groups.</t>
    </r>
  </si>
  <si>
    <r>
      <t xml:space="preserve">  - </t>
    </r>
    <r>
      <rPr>
        <b/>
        <sz val="10"/>
        <color indexed="8"/>
        <rFont val="Calibri"/>
        <family val="2"/>
        <scheme val="minor"/>
      </rPr>
      <t>Education LOCALITY</t>
    </r>
    <r>
      <rPr>
        <sz val="10"/>
        <color indexed="8"/>
        <rFont val="Calibri"/>
        <family val="2"/>
        <scheme val="minor"/>
      </rPr>
      <t xml:space="preserve"> area refers to groupings established for schools in West Sussex. There are 24 locality groups in West Sussex</t>
    </r>
  </si>
  <si>
    <r>
      <t xml:space="preserve">  - </t>
    </r>
    <r>
      <rPr>
        <b/>
        <sz val="10"/>
        <color indexed="8"/>
        <rFont val="Calibri"/>
        <family val="2"/>
        <scheme val="minor"/>
      </rPr>
      <t>Education PARTNERSHIP AREAS</t>
    </r>
    <r>
      <rPr>
        <sz val="10"/>
        <color indexed="8"/>
        <rFont val="Calibri"/>
        <family val="2"/>
        <scheme val="minor"/>
      </rPr>
      <t xml:space="preserve"> - there are 5 Partnership areas in West Sussex</t>
    </r>
  </si>
  <si>
    <r>
      <t>Young mothers, first time mothers under the age of 20, are a target group for the work of Family Nurse Partnerships. Not all maternity records used a "flag" for first time mothers, therefore the information provided below relates to</t>
    </r>
    <r>
      <rPr>
        <u/>
        <sz val="10"/>
        <color indexed="8"/>
        <rFont val="Calibri"/>
        <family val="2"/>
        <scheme val="minor"/>
      </rPr>
      <t xml:space="preserve"> all</t>
    </r>
    <r>
      <rPr>
        <b/>
        <sz val="10"/>
        <color indexed="8"/>
        <rFont val="Calibri"/>
        <family val="2"/>
        <scheme val="minor"/>
      </rPr>
      <t xml:space="preserve"> </t>
    </r>
    <r>
      <rPr>
        <sz val="10"/>
        <color indexed="8"/>
        <rFont val="Calibri"/>
        <family val="2"/>
        <scheme val="minor"/>
      </rPr>
      <t>mothers under the age of 20, the majority of these mothers will be first time mothers</t>
    </r>
  </si>
  <si>
    <r>
      <t xml:space="preserve">These data are based on information provided by Health Visitors for the period of April 2012 to March 2013. </t>
    </r>
    <r>
      <rPr>
        <u/>
        <sz val="10"/>
        <color indexed="8"/>
        <rFont val="Calibri"/>
        <family val="2"/>
        <scheme val="minor"/>
      </rPr>
      <t xml:space="preserve">This is not the same as the national breastfeeding target data which are </t>
    </r>
    <r>
      <rPr>
        <b/>
        <u/>
        <sz val="10"/>
        <color indexed="8"/>
        <rFont val="Calibri"/>
        <family val="2"/>
        <scheme val="minor"/>
      </rPr>
      <t>quarterly</t>
    </r>
    <r>
      <rPr>
        <u/>
        <sz val="10"/>
        <color indexed="8"/>
        <rFont val="Calibri"/>
        <family val="2"/>
        <scheme val="minor"/>
      </rPr>
      <t>.</t>
    </r>
    <r>
      <rPr>
        <sz val="10"/>
        <color indexed="8"/>
        <rFont val="Calibri"/>
        <family val="2"/>
        <scheme val="minor"/>
      </rPr>
      <t xml:space="preserve"> </t>
    </r>
  </si>
  <si>
    <r>
      <t xml:space="preserve">Number of babies eligible for 6 week check </t>
    </r>
    <r>
      <rPr>
        <sz val="10"/>
        <color indexed="9"/>
        <rFont val="Calibri"/>
        <family val="2"/>
        <scheme val="minor"/>
      </rPr>
      <t>(2012/13)</t>
    </r>
  </si>
  <si>
    <r>
      <t xml:space="preserve">Number of babies receiving 6 week check </t>
    </r>
    <r>
      <rPr>
        <sz val="10"/>
        <color indexed="9"/>
        <rFont val="Calibri"/>
        <family val="2"/>
        <scheme val="minor"/>
      </rPr>
      <t>(2012/13)</t>
    </r>
  </si>
  <si>
    <r>
      <t xml:space="preserve">% of Eligible Babies Checked </t>
    </r>
    <r>
      <rPr>
        <sz val="10"/>
        <color indexed="9"/>
        <rFont val="Calibri"/>
        <family val="2"/>
        <scheme val="minor"/>
      </rPr>
      <t>(2012/2013)</t>
    </r>
  </si>
  <si>
    <r>
      <t xml:space="preserve">Exclusively breastfed </t>
    </r>
    <r>
      <rPr>
        <sz val="10"/>
        <color indexed="9"/>
        <rFont val="Calibri"/>
        <family val="2"/>
        <scheme val="minor"/>
      </rPr>
      <t>(2012/2013)</t>
    </r>
  </si>
  <si>
    <r>
      <t xml:space="preserve">Total including Partially breastfed </t>
    </r>
    <r>
      <rPr>
        <sz val="10"/>
        <color indexed="9"/>
        <rFont val="Calibri"/>
        <family val="2"/>
        <scheme val="minor"/>
      </rPr>
      <t>(2012/2013)</t>
    </r>
  </si>
  <si>
    <r>
      <t xml:space="preserve">% Exclusively breast fed </t>
    </r>
    <r>
      <rPr>
        <sz val="10"/>
        <color indexed="9"/>
        <rFont val="Calibri"/>
        <family val="2"/>
        <scheme val="minor"/>
      </rPr>
      <t>(2012/2013)</t>
    </r>
  </si>
  <si>
    <r>
      <t xml:space="preserve">% Breastfeeding (including partially) </t>
    </r>
    <r>
      <rPr>
        <sz val="10"/>
        <color indexed="9"/>
        <rFont val="Calibri"/>
        <family val="2"/>
        <scheme val="minor"/>
      </rPr>
      <t>(2012/2013)</t>
    </r>
  </si>
  <si>
    <r>
      <t>England</t>
    </r>
    <r>
      <rPr>
        <sz val="10"/>
        <rFont val="Calibri"/>
        <family val="2"/>
        <scheme val="minor"/>
      </rPr>
      <t xml:space="preserve"> figures for the same period - Apr 2012-Mar 2013: </t>
    </r>
    <r>
      <rPr>
        <b/>
        <sz val="10"/>
        <color indexed="9"/>
        <rFont val="Calibri"/>
        <family val="2"/>
        <scheme val="minor"/>
      </rPr>
      <t>32.2%</t>
    </r>
    <r>
      <rPr>
        <sz val="10"/>
        <rFont val="Calibri"/>
        <family val="2"/>
        <scheme val="minor"/>
      </rPr>
      <t xml:space="preserve"> breastfed (exclusively), </t>
    </r>
    <r>
      <rPr>
        <sz val="10"/>
        <color indexed="13"/>
        <rFont val="Calibri"/>
        <family val="2"/>
        <scheme val="minor"/>
      </rPr>
      <t xml:space="preserve"> </t>
    </r>
    <r>
      <rPr>
        <b/>
        <sz val="10"/>
        <color indexed="9"/>
        <rFont val="Calibri"/>
        <family val="2"/>
        <scheme val="minor"/>
      </rPr>
      <t>47.1%</t>
    </r>
    <r>
      <rPr>
        <sz val="10"/>
        <rFont val="Calibri"/>
        <family val="2"/>
        <scheme val="minor"/>
      </rPr>
      <t xml:space="preserve"> breastfed (including partially)</t>
    </r>
  </si>
  <si>
    <r>
      <t xml:space="preserve"> -  the figures shown </t>
    </r>
    <r>
      <rPr>
        <b/>
        <i/>
        <sz val="10"/>
        <rFont val="Calibri"/>
        <family val="2"/>
        <scheme val="minor"/>
      </rPr>
      <t xml:space="preserve">overleaf </t>
    </r>
    <r>
      <rPr>
        <i/>
        <sz val="10"/>
        <rFont val="Calibri"/>
        <family val="2"/>
        <scheme val="minor"/>
      </rPr>
      <t xml:space="preserve">relate to the calendar year 2011. </t>
    </r>
    <r>
      <rPr>
        <sz val="10"/>
        <rFont val="Calibri"/>
        <family val="2"/>
        <scheme val="minor"/>
      </rPr>
      <t>No firther data have been provided to update this indicator.</t>
    </r>
  </si>
  <si>
    <r>
      <t xml:space="preserve">Data is only shown for wards which have rates significantly above the England rate. </t>
    </r>
    <r>
      <rPr>
        <i/>
        <sz val="11"/>
        <rFont val="Calibri"/>
        <family val="2"/>
        <scheme val="minor"/>
      </rPr>
      <t>The ward shown is the ward the centre is located in.</t>
    </r>
  </si>
  <si>
    <r>
      <t xml:space="preserve">Graph showing </t>
    </r>
    <r>
      <rPr>
        <b/>
        <sz val="10"/>
        <color indexed="53"/>
        <rFont val="Calibri"/>
        <family val="2"/>
        <scheme val="minor"/>
      </rPr>
      <t>District</t>
    </r>
    <r>
      <rPr>
        <b/>
        <sz val="10"/>
        <rFont val="Calibri"/>
        <family val="2"/>
        <scheme val="minor"/>
      </rPr>
      <t xml:space="preserve">, </t>
    </r>
    <r>
      <rPr>
        <b/>
        <sz val="10"/>
        <color indexed="21"/>
        <rFont val="Calibri"/>
        <family val="2"/>
        <scheme val="minor"/>
      </rPr>
      <t>County</t>
    </r>
    <r>
      <rPr>
        <b/>
        <sz val="10"/>
        <rFont val="Calibri"/>
        <family val="2"/>
        <scheme val="minor"/>
      </rPr>
      <t xml:space="preserve"> and </t>
    </r>
    <r>
      <rPr>
        <b/>
        <sz val="10"/>
        <color indexed="19"/>
        <rFont val="Calibri"/>
        <family val="2"/>
        <scheme val="minor"/>
      </rPr>
      <t>England</t>
    </r>
    <r>
      <rPr>
        <b/>
        <sz val="10"/>
        <color indexed="50"/>
        <rFont val="Calibri"/>
        <family val="2"/>
        <scheme val="minor"/>
      </rPr>
      <t xml:space="preserve"> </t>
    </r>
    <r>
      <rPr>
        <b/>
        <sz val="10"/>
        <rFont val="Calibri"/>
        <family val="2"/>
        <scheme val="minor"/>
      </rPr>
      <t>Teenage Conception Rates (Births per 1,000 women aged 15-17 years) 2005-7 to 2009-11</t>
    </r>
  </si>
  <si>
    <r>
      <t xml:space="preserve">This data relates to the calendar year 2012. </t>
    </r>
    <r>
      <rPr>
        <i/>
        <sz val="10"/>
        <rFont val="Calibri"/>
        <family val="2"/>
        <scheme val="minor"/>
      </rPr>
      <t>No data have been provided to update this indicator.</t>
    </r>
  </si>
  <si>
    <r>
      <t>At the time of booking 550 women (</t>
    </r>
    <r>
      <rPr>
        <b/>
        <sz val="10"/>
        <rFont val="Calibri"/>
        <family val="2"/>
        <scheme val="minor"/>
      </rPr>
      <t>11.1%</t>
    </r>
    <r>
      <rPr>
        <sz val="10"/>
        <rFont val="Calibri"/>
        <family val="2"/>
        <scheme val="minor"/>
      </rPr>
      <t xml:space="preserve">) of the 4,950 who provided information said that they smoked. </t>
    </r>
  </si>
  <si>
    <r>
      <t>At the time of delivery 431 women (8.7</t>
    </r>
    <r>
      <rPr>
        <b/>
        <sz val="10"/>
        <rFont val="Calibri"/>
        <family val="2"/>
        <scheme val="minor"/>
      </rPr>
      <t>%</t>
    </r>
    <r>
      <rPr>
        <sz val="10"/>
        <rFont val="Calibri"/>
        <family val="2"/>
        <scheme val="minor"/>
      </rPr>
      <t xml:space="preserve">) of the 4,949 who provided information said that they smoked. </t>
    </r>
  </si>
  <si>
    <r>
      <t xml:space="preserve">Mothers were asked whether anyone (including themselves) smoked at home, </t>
    </r>
    <r>
      <rPr>
        <b/>
        <sz val="10"/>
        <rFont val="Calibri"/>
        <family val="2"/>
        <scheme val="minor"/>
      </rPr>
      <t>22.4%</t>
    </r>
    <r>
      <rPr>
        <sz val="10"/>
        <rFont val="Calibri"/>
        <family val="2"/>
        <scheme val="minor"/>
      </rPr>
      <t xml:space="preserve"> (1,103 of 4,922 who answered the question) said there was someone at home who smoked.</t>
    </r>
  </si>
  <si>
    <r>
      <t xml:space="preserve">3rd </t>
    </r>
    <r>
      <rPr>
        <b/>
        <sz val="11"/>
        <color indexed="12"/>
        <rFont val="Calibri"/>
        <family val="2"/>
        <scheme val="minor"/>
      </rPr>
      <t>5 in 1 vaccination</t>
    </r>
    <r>
      <rPr>
        <sz val="11"/>
        <color indexed="8"/>
        <rFont val="Calibri"/>
        <family val="2"/>
        <scheme val="minor"/>
      </rPr>
      <t xml:space="preserve"> (at 4 months)</t>
    </r>
  </si>
  <si>
    <r>
      <t xml:space="preserve">2nd </t>
    </r>
    <r>
      <rPr>
        <b/>
        <sz val="11"/>
        <color indexed="12"/>
        <rFont val="Calibri"/>
        <family val="2"/>
        <scheme val="minor"/>
      </rPr>
      <t>Men C</t>
    </r>
    <r>
      <rPr>
        <b/>
        <sz val="11"/>
        <color indexed="8"/>
        <rFont val="Calibri"/>
        <family val="2"/>
        <scheme val="minor"/>
      </rPr>
      <t xml:space="preserve"> </t>
    </r>
    <r>
      <rPr>
        <sz val="11"/>
        <color indexed="8"/>
        <rFont val="Calibri"/>
        <family val="2"/>
        <scheme val="minor"/>
      </rPr>
      <t>(at 4 months)</t>
    </r>
  </si>
  <si>
    <r>
      <t xml:space="preserve">1st </t>
    </r>
    <r>
      <rPr>
        <b/>
        <sz val="11"/>
        <color indexed="12"/>
        <rFont val="Calibri"/>
        <family val="2"/>
        <scheme val="minor"/>
      </rPr>
      <t xml:space="preserve">Pneumococcal </t>
    </r>
    <r>
      <rPr>
        <sz val="11"/>
        <color indexed="8"/>
        <rFont val="Calibri"/>
        <family val="2"/>
        <scheme val="minor"/>
      </rPr>
      <t>(2 months)</t>
    </r>
  </si>
  <si>
    <r>
      <t xml:space="preserve">2nd </t>
    </r>
    <r>
      <rPr>
        <b/>
        <sz val="11"/>
        <color indexed="12"/>
        <rFont val="Calibri"/>
        <family val="2"/>
        <scheme val="minor"/>
      </rPr>
      <t>Pneumococcal</t>
    </r>
    <r>
      <rPr>
        <b/>
        <sz val="11"/>
        <color indexed="8"/>
        <rFont val="Calibri"/>
        <family val="2"/>
        <scheme val="minor"/>
      </rPr>
      <t xml:space="preserve"> </t>
    </r>
    <r>
      <rPr>
        <sz val="11"/>
        <color indexed="8"/>
        <rFont val="Calibri"/>
        <family val="2"/>
        <scheme val="minor"/>
      </rPr>
      <t>(4 months)</t>
    </r>
  </si>
  <si>
    <r>
      <t xml:space="preserve">3rd </t>
    </r>
    <r>
      <rPr>
        <b/>
        <sz val="10"/>
        <color indexed="12"/>
        <rFont val="Calibri"/>
        <family val="2"/>
        <scheme val="minor"/>
      </rPr>
      <t>5 in 1 vaccination</t>
    </r>
    <r>
      <rPr>
        <b/>
        <sz val="10"/>
        <color indexed="8"/>
        <rFont val="Calibri"/>
        <family val="2"/>
        <scheme val="minor"/>
      </rPr>
      <t xml:space="preserve"> </t>
    </r>
    <r>
      <rPr>
        <sz val="10"/>
        <color indexed="8"/>
        <rFont val="Calibri"/>
        <family val="2"/>
        <scheme val="minor"/>
      </rPr>
      <t>(at 4 months)</t>
    </r>
  </si>
  <si>
    <r>
      <t xml:space="preserve">2nd </t>
    </r>
    <r>
      <rPr>
        <b/>
        <sz val="10"/>
        <color indexed="12"/>
        <rFont val="Calibri"/>
        <family val="2"/>
        <scheme val="minor"/>
      </rPr>
      <t>Men C</t>
    </r>
    <r>
      <rPr>
        <sz val="10"/>
        <color indexed="12"/>
        <rFont val="Calibri"/>
        <family val="2"/>
        <scheme val="minor"/>
      </rPr>
      <t xml:space="preserve"> </t>
    </r>
    <r>
      <rPr>
        <sz val="10"/>
        <color indexed="8"/>
        <rFont val="Calibri"/>
        <family val="2"/>
        <scheme val="minor"/>
      </rPr>
      <t>(at 4 months)</t>
    </r>
  </si>
  <si>
    <r>
      <t xml:space="preserve">1st </t>
    </r>
    <r>
      <rPr>
        <b/>
        <sz val="10"/>
        <color indexed="12"/>
        <rFont val="Calibri"/>
        <family val="2"/>
        <scheme val="minor"/>
      </rPr>
      <t>Pneumococcal</t>
    </r>
    <r>
      <rPr>
        <sz val="10"/>
        <color indexed="12"/>
        <rFont val="Calibri"/>
        <family val="2"/>
        <scheme val="minor"/>
      </rPr>
      <t xml:space="preserve"> </t>
    </r>
    <r>
      <rPr>
        <sz val="10"/>
        <color indexed="8"/>
        <rFont val="Calibri"/>
        <family val="2"/>
        <scheme val="minor"/>
      </rPr>
      <t>(2 months)</t>
    </r>
  </si>
  <si>
    <r>
      <t xml:space="preserve">2nd </t>
    </r>
    <r>
      <rPr>
        <b/>
        <sz val="10"/>
        <color indexed="12"/>
        <rFont val="Calibri"/>
        <family val="2"/>
        <scheme val="minor"/>
      </rPr>
      <t>Pneumococcal</t>
    </r>
    <r>
      <rPr>
        <sz val="10"/>
        <color indexed="8"/>
        <rFont val="Calibri"/>
        <family val="2"/>
        <scheme val="minor"/>
      </rPr>
      <t xml:space="preserve"> (4 months)</t>
    </r>
  </si>
  <si>
    <r>
      <t xml:space="preserve">3rd </t>
    </r>
    <r>
      <rPr>
        <b/>
        <sz val="10"/>
        <color indexed="12"/>
        <rFont val="Calibri"/>
        <family val="2"/>
        <scheme val="minor"/>
      </rPr>
      <t xml:space="preserve">Pneumococcal </t>
    </r>
    <r>
      <rPr>
        <sz val="10"/>
        <color indexed="8"/>
        <rFont val="Calibri"/>
        <family val="2"/>
        <scheme val="minor"/>
      </rPr>
      <t xml:space="preserve">(12 - 13 months - within 1 month of 1st birthday) </t>
    </r>
  </si>
  <si>
    <r>
      <t xml:space="preserve">Hib/Men C booster </t>
    </r>
    <r>
      <rPr>
        <sz val="10"/>
        <color indexed="8"/>
        <rFont val="Calibri"/>
        <family val="2"/>
        <scheme val="minor"/>
      </rPr>
      <t>(12-13 months- within 1 month of 1st birthday)</t>
    </r>
  </si>
  <si>
    <r>
      <t xml:space="preserve">1st </t>
    </r>
    <r>
      <rPr>
        <b/>
        <sz val="10"/>
        <color indexed="12"/>
        <rFont val="Calibri"/>
        <family val="2"/>
        <scheme val="minor"/>
      </rPr>
      <t xml:space="preserve">MMR </t>
    </r>
    <r>
      <rPr>
        <sz val="10"/>
        <color indexed="8"/>
        <rFont val="Calibri"/>
        <family val="2"/>
        <scheme val="minor"/>
      </rPr>
      <t>(12-13 months- within 1 month of 1st birthday)</t>
    </r>
  </si>
  <si>
    <r>
      <t xml:space="preserve">3rd </t>
    </r>
    <r>
      <rPr>
        <b/>
        <sz val="10"/>
        <color indexed="12"/>
        <rFont val="Calibri"/>
        <family val="2"/>
        <scheme val="minor"/>
      </rPr>
      <t xml:space="preserve">5 in 1 vaccination </t>
    </r>
    <r>
      <rPr>
        <sz val="10"/>
        <color indexed="8"/>
        <rFont val="Calibri"/>
        <family val="2"/>
        <scheme val="minor"/>
      </rPr>
      <t>(at 4 months)</t>
    </r>
  </si>
  <si>
    <r>
      <t xml:space="preserve">2nd </t>
    </r>
    <r>
      <rPr>
        <b/>
        <sz val="10"/>
        <color indexed="12"/>
        <rFont val="Calibri"/>
        <family val="2"/>
        <scheme val="minor"/>
      </rPr>
      <t xml:space="preserve">Men C </t>
    </r>
    <r>
      <rPr>
        <sz val="10"/>
        <color indexed="8"/>
        <rFont val="Calibri"/>
        <family val="2"/>
        <scheme val="minor"/>
      </rPr>
      <t>(at 4 months)</t>
    </r>
  </si>
  <si>
    <r>
      <t xml:space="preserve">1st </t>
    </r>
    <r>
      <rPr>
        <b/>
        <sz val="10"/>
        <color indexed="12"/>
        <rFont val="Calibri"/>
        <family val="2"/>
        <scheme val="minor"/>
      </rPr>
      <t xml:space="preserve">Pneumococcal </t>
    </r>
    <r>
      <rPr>
        <sz val="10"/>
        <color indexed="8"/>
        <rFont val="Calibri"/>
        <family val="2"/>
        <scheme val="minor"/>
      </rPr>
      <t>(2 months)</t>
    </r>
  </si>
  <si>
    <r>
      <t xml:space="preserve">2nd </t>
    </r>
    <r>
      <rPr>
        <b/>
        <sz val="10"/>
        <color indexed="12"/>
        <rFont val="Calibri"/>
        <family val="2"/>
        <scheme val="minor"/>
      </rPr>
      <t>Pneumococcal</t>
    </r>
    <r>
      <rPr>
        <sz val="10"/>
        <color indexed="12"/>
        <rFont val="Calibri"/>
        <family val="2"/>
        <scheme val="minor"/>
      </rPr>
      <t xml:space="preserve"> </t>
    </r>
    <r>
      <rPr>
        <sz val="10"/>
        <color indexed="8"/>
        <rFont val="Calibri"/>
        <family val="2"/>
        <scheme val="minor"/>
      </rPr>
      <t>(4 months)</t>
    </r>
  </si>
  <si>
    <r>
      <t>3rd</t>
    </r>
    <r>
      <rPr>
        <b/>
        <sz val="10"/>
        <color indexed="12"/>
        <rFont val="Calibri"/>
        <family val="2"/>
        <scheme val="minor"/>
      </rPr>
      <t xml:space="preserve"> Pneumococcal </t>
    </r>
    <r>
      <rPr>
        <sz val="10"/>
        <color indexed="8"/>
        <rFont val="Calibri"/>
        <family val="2"/>
        <scheme val="minor"/>
      </rPr>
      <t xml:space="preserve">(12 - 13 months - within 1 month of 1st birthday) </t>
    </r>
  </si>
  <si>
    <r>
      <t>1st</t>
    </r>
    <r>
      <rPr>
        <b/>
        <sz val="10"/>
        <color indexed="12"/>
        <rFont val="Calibri"/>
        <family val="2"/>
        <scheme val="minor"/>
      </rPr>
      <t xml:space="preserve"> MMR </t>
    </r>
    <r>
      <rPr>
        <sz val="10"/>
        <color indexed="8"/>
        <rFont val="Calibri"/>
        <family val="2"/>
        <scheme val="minor"/>
      </rPr>
      <t>(12-13 months- within 1 month of 1st birthday)</t>
    </r>
  </si>
  <si>
    <r>
      <t>Pre-School Booster</t>
    </r>
    <r>
      <rPr>
        <sz val="10"/>
        <color indexed="8"/>
        <rFont val="Calibri"/>
        <family val="2"/>
        <scheme val="minor"/>
      </rPr>
      <t xml:space="preserve"> (3yrs 4mths – 5 yrs)</t>
    </r>
  </si>
  <si>
    <r>
      <t xml:space="preserve">2nd </t>
    </r>
    <r>
      <rPr>
        <b/>
        <sz val="10"/>
        <color indexed="12"/>
        <rFont val="Calibri"/>
        <family val="2"/>
        <scheme val="minor"/>
      </rPr>
      <t>MMR</t>
    </r>
    <r>
      <rPr>
        <sz val="10"/>
        <color indexed="12"/>
        <rFont val="Calibri"/>
        <family val="2"/>
        <scheme val="minor"/>
      </rPr>
      <t xml:space="preserve"> </t>
    </r>
    <r>
      <rPr>
        <sz val="10"/>
        <color indexed="8"/>
        <rFont val="Calibri"/>
        <family val="2"/>
        <scheme val="minor"/>
      </rPr>
      <t>(3yrs 4mths – 5 yrs)</t>
    </r>
  </si>
  <si>
    <r>
      <t xml:space="preserve">Vaccination coverage data are already provided to GP practices and CCGs on the basis of </t>
    </r>
    <r>
      <rPr>
        <i/>
        <sz val="11"/>
        <rFont val="Calibri"/>
        <family val="2"/>
        <scheme val="minor"/>
      </rPr>
      <t xml:space="preserve">GP registered </t>
    </r>
    <r>
      <rPr>
        <sz val="11"/>
        <rFont val="Calibri"/>
        <family val="2"/>
        <scheme val="minor"/>
      </rPr>
      <t>populations.</t>
    </r>
  </si>
  <si>
    <r>
      <t>Information relates to</t>
    </r>
    <r>
      <rPr>
        <b/>
        <sz val="10"/>
        <color indexed="8"/>
        <rFont val="Calibri"/>
        <family val="2"/>
        <scheme val="minor"/>
      </rPr>
      <t xml:space="preserve"> April 2012 to March 2013</t>
    </r>
  </si>
  <si>
    <r>
      <t xml:space="preserve">The data included in these profiles relate to where pupils live, </t>
    </r>
    <r>
      <rPr>
        <u/>
        <sz val="10"/>
        <rFont val="Calibri"/>
        <family val="2"/>
        <scheme val="minor"/>
      </rPr>
      <t xml:space="preserve">not school location. </t>
    </r>
  </si>
  <si>
    <r>
      <t>% D</t>
    </r>
    <r>
      <rPr>
        <b/>
        <vertAlign val="subscript"/>
        <sz val="10"/>
        <color indexed="8"/>
        <rFont val="Calibri"/>
        <family val="2"/>
        <scheme val="minor"/>
      </rPr>
      <t>3</t>
    </r>
    <r>
      <rPr>
        <b/>
        <sz val="10"/>
        <color indexed="8"/>
        <rFont val="Calibri"/>
        <family val="2"/>
        <scheme val="minor"/>
      </rPr>
      <t>MFT &gt; 0</t>
    </r>
  </si>
  <si>
    <r>
      <t xml:space="preserve"> Mean D</t>
    </r>
    <r>
      <rPr>
        <b/>
        <vertAlign val="subscript"/>
        <sz val="10"/>
        <color indexed="8"/>
        <rFont val="Calibri"/>
        <family val="2"/>
        <scheme val="minor"/>
      </rPr>
      <t>3</t>
    </r>
    <r>
      <rPr>
        <b/>
        <sz val="10"/>
        <color indexed="8"/>
        <rFont val="Calibri"/>
        <family val="2"/>
        <scheme val="minor"/>
      </rPr>
      <t>MFT (% D</t>
    </r>
    <r>
      <rPr>
        <b/>
        <vertAlign val="subscript"/>
        <sz val="10"/>
        <color indexed="8"/>
        <rFont val="Calibri"/>
        <family val="2"/>
        <scheme val="minor"/>
      </rPr>
      <t>3</t>
    </r>
    <r>
      <rPr>
        <b/>
        <sz val="10"/>
        <color indexed="8"/>
        <rFont val="Calibri"/>
        <family val="2"/>
        <scheme val="minor"/>
      </rPr>
      <t>MFT &gt; 0)</t>
    </r>
  </si>
  <si>
    <t>2013 DATA</t>
  </si>
  <si>
    <t>2014 DATA</t>
  </si>
  <si>
    <t>Number of children (2014)</t>
  </si>
  <si>
    <r>
      <t xml:space="preserve">The information below refers to children aged </t>
    </r>
    <r>
      <rPr>
        <b/>
        <sz val="10"/>
        <color indexed="8"/>
        <rFont val="Calibri"/>
        <family val="2"/>
        <scheme val="minor"/>
      </rPr>
      <t>under 16</t>
    </r>
    <r>
      <rPr>
        <sz val="10"/>
        <color indexed="8"/>
        <rFont val="Calibri"/>
        <family val="2"/>
        <scheme val="minor"/>
      </rPr>
      <t xml:space="preserve"> and living in households living on income 60% or below median income levels. Note they have been some changes in the sub national child povery measure and so comparions over time should be treated with some caution. CFC, CFC Group and Eduction Partnership data calculated from aggregated LSOA data and so may not sum to West Sussex overall child poverty.</t>
    </r>
  </si>
  <si>
    <r>
      <t xml:space="preserve">For further information on  child poverty in West Sussex refer to the </t>
    </r>
    <r>
      <rPr>
        <i/>
        <sz val="10"/>
        <color indexed="8"/>
        <rFont val="Calibri"/>
        <family val="2"/>
        <scheme val="minor"/>
      </rPr>
      <t>West Sussex Annual Public Health Report 2013: Tackling Child Poverty</t>
    </r>
  </si>
  <si>
    <t>Check on Education Area</t>
  </si>
  <si>
    <t>Check on CCG</t>
  </si>
  <si>
    <t>Check on Groups</t>
  </si>
  <si>
    <t>Check on CFC</t>
  </si>
  <si>
    <t>Check  on LA</t>
  </si>
  <si>
    <t xml:space="preserve">Births to Mothers Under 20 </t>
  </si>
  <si>
    <t>Tenure 2011 (0-9s)</t>
  </si>
  <si>
    <t>Estimate of Teenage Mothers</t>
  </si>
  <si>
    <t>Estimation of the number of teenage mothers/parents in the CFC catchment area.</t>
  </si>
  <si>
    <t>The figures have been calculated by combining births in 2013 to mothers under 20 years, births in 2012 to mothers under 19 years, births in 2011 to mothers under 18 years, births in 2010 to mothers under 17 years, births in 2009 to mothers under 16 years and births in 2008 to mothers aged 15 years.</t>
  </si>
  <si>
    <t>Estimation of teenage mothers in area</t>
  </si>
  <si>
    <r>
      <t xml:space="preserve">There is no reliable data source providing an estimate of the total number of teenage mothers/parents in a centre catchment area. The figure below relates to the total number of births mapped in the area where the mothers age was known, and the home postcodes at the time of birth was within the CFC ctachment area. </t>
    </r>
    <r>
      <rPr>
        <b/>
        <u/>
        <sz val="10"/>
        <rFont val="Calibri"/>
        <family val="2"/>
        <scheme val="minor"/>
      </rPr>
      <t>This data should be used with caution</t>
    </r>
    <r>
      <rPr>
        <sz val="10"/>
        <rFont val="Calibri"/>
        <family val="2"/>
        <scheme val="minor"/>
      </rPr>
      <t>, there may be some double counting of mothers (where women have a number of births in their teenage years) and this is likely to be a fairly mobile population.</t>
    </r>
  </si>
  <si>
    <t>% low weight</t>
  </si>
  <si>
    <r>
      <t>The data shows the number and percentage of babies born of weight less than 2.5kg.</t>
    </r>
    <r>
      <rPr>
        <i/>
        <sz val="10"/>
        <color theme="1"/>
        <rFont val="Calibri"/>
        <family val="2"/>
        <scheme val="minor"/>
      </rPr>
      <t xml:space="preserve"> The data relates to 2013 and single year data should be treated with caution.</t>
    </r>
  </si>
  <si>
    <t xml:space="preserve">From the Index of Multiple Deprivation 2010. </t>
  </si>
  <si>
    <t>HEALTHY WEIGHT - DATA FOR CHILDREN IN RECEPTION CLASS 2009/10 to 2012/13 - West Sussex data in this profile based on home postcode of pupils.</t>
  </si>
  <si>
    <t>HEALTHY WEIGHT - DATA FOR CHILDREN IN YEAR 6 2009/10 to 2012/13 - West Sussex data in this profile based on home postcode of pupils.</t>
  </si>
  <si>
    <t>2012/13</t>
  </si>
  <si>
    <t>DevLCL (2014)</t>
  </si>
  <si>
    <t>DevUCL (2014)</t>
  </si>
  <si>
    <t>Children Assessed as Having a "Good Level of Development" (2013)</t>
  </si>
  <si>
    <t>Percentage of children with a Good Level of Development (2013)</t>
  </si>
  <si>
    <t>Children Assessed as Having a "Good Level of Development" (2014)</t>
  </si>
  <si>
    <t>Percentage of children with a Good Level of Development (2014)</t>
  </si>
  <si>
    <t>Mean Score of Lowest 20% (2014)</t>
  </si>
  <si>
    <t>% Gap (2014)</t>
  </si>
  <si>
    <t>The Achievement Gap compares the median score of all pupils with the mean score of the lowest 20% of all scores.</t>
  </si>
  <si>
    <t>Two measures are shown, the percentage of children assessed as having a "Good Level of Development" (GLD) and the percentage gap between all children and the lowest 20% of achievers.</t>
  </si>
  <si>
    <t>At centre level the number of pupils is small, the percentage may vary considerable from year to year and between centres, therefore confidence intervals are shown in relation to the % pupils attaining a Good Level of Development.</t>
  </si>
  <si>
    <t>GLD - Achievement Gap</t>
  </si>
  <si>
    <t>Number of Children (2014)</t>
  </si>
  <si>
    <t>Lowest Scores - 20% of All Children (2014)</t>
  </si>
  <si>
    <t>Median Score all Children (2014)</t>
  </si>
  <si>
    <t>Lowest Scores - 20% of All Children (2013)</t>
  </si>
  <si>
    <t>Mean Score of Lowest 20% (2013)</t>
  </si>
  <si>
    <t>% Gap (2013)</t>
  </si>
  <si>
    <t>Median Score all Children (2013)</t>
  </si>
  <si>
    <t>2013 DATA (Data relates to academic year 2012/13) Data for West Sussex and England provided is the published DfE data.</t>
  </si>
  <si>
    <t>2014 DATA (Data relates to academic year 2013/14) Data for West Sussex and England provided is the published DfE data.</t>
  </si>
  <si>
    <t>Number of Children (2013)</t>
  </si>
  <si>
    <t>Smoking Status</t>
  </si>
  <si>
    <t xml:space="preserve">Data on 0-4 year olds with long term limiting illness (LTLI) or health conditions which act to affect activities of daily living has been taken from the 2011 census and relates to children aged 0-4 years only. A long-term health problem or disability that limits a person's day-to-day activities, and has lasted, or is expected to last, at least 12 months. </t>
  </si>
  <si>
    <t>IMPROVING COVERAGE FOR ALL CHILDHOOD IMMUNISATIONS (Data only provided at CFC and CFC Group Level)</t>
  </si>
  <si>
    <t>0 to 4 year olds in Out-of-work Benefit Claimant Hholds (2010)</t>
  </si>
  <si>
    <t>0 to 4 year olds in Out-of-work Benefit Claimant Hholds (2011)</t>
  </si>
  <si>
    <t>0 to 4 year olds in Out-of-work Benefit Claimant Hholds (2012)</t>
  </si>
  <si>
    <t>0 to 4 year olds in Out-of-work Benefit Claimant Hholds (2013)</t>
  </si>
  <si>
    <t>Since 2008/09, each Primary Care Trust was required to submit quarterly data on the prevalence of breastfeeding at 6-8 weeks.Since 2013/14 this data have been provided at CCG level. This collection reports on the number and proportion of women seen and assessed by a healthcare professional within 12 weeks and 6 days of their maternity, the number and proportion of mothers’ who have initiated or not initiated breastfeeding and the number and proportion of infants who have been fully, partially or not at all breastfed at 6-8 weeks.</t>
  </si>
  <si>
    <r>
      <t xml:space="preserve">CCG Level and England rates - </t>
    </r>
    <r>
      <rPr>
        <b/>
        <u/>
        <sz val="11"/>
        <color indexed="8"/>
        <rFont val="Calibri"/>
        <family val="2"/>
        <scheme val="minor"/>
      </rPr>
      <t>QUARTERLY DATA  (Financial Year Quarters)</t>
    </r>
  </si>
  <si>
    <t>2013/14 Q2</t>
  </si>
  <si>
    <t>2013/14 Q3</t>
  </si>
  <si>
    <t>2013/14 Q4</t>
  </si>
  <si>
    <t>2013/14  Q1</t>
  </si>
  <si>
    <t>2014/15   Q1</t>
  </si>
  <si>
    <t>NHS Coastal West Sussex CCG</t>
  </si>
  <si>
    <t>NHS Crawley CCG</t>
  </si>
  <si>
    <t>NHS Horsham and Mid Sussex CCG</t>
  </si>
  <si>
    <t>Surrey And Sussex Area Team</t>
  </si>
  <si>
    <t>Cells shaded red did not meet the coverage threshold % in the quarter. Data for Q1 2014/15 had not been submitted on deadline for West Sussex CCGs.</t>
  </si>
  <si>
    <r>
      <t xml:space="preserve">BREASTFEEDING </t>
    </r>
    <r>
      <rPr>
        <b/>
        <i/>
        <sz val="11"/>
        <color rgb="FFFF0000"/>
        <rFont val="Calibri"/>
        <family val="2"/>
        <scheme val="minor"/>
      </rPr>
      <t xml:space="preserve">- </t>
    </r>
    <r>
      <rPr>
        <b/>
        <i/>
        <u/>
        <sz val="11"/>
        <color rgb="FFFF0000"/>
        <rFont val="Calibri"/>
        <family val="2"/>
        <scheme val="minor"/>
      </rPr>
      <t>Note this data has not  been updated we are waiting for data from SCT.</t>
    </r>
  </si>
  <si>
    <t>Number 2010-2012</t>
  </si>
  <si>
    <t>Rate 2010-2012</t>
  </si>
  <si>
    <t>LCL 2010-12</t>
  </si>
  <si>
    <t>UCL 2010-20121</t>
  </si>
  <si>
    <t>Proficiency in English (Children 3 to 15 Years) Source Census 2011</t>
  </si>
  <si>
    <r>
      <t xml:space="preserve">INCREASING  UPTAKE OF SMOKING CESSATION SERVICES: MATERNAL SMOKING </t>
    </r>
    <r>
      <rPr>
        <b/>
        <sz val="11"/>
        <color rgb="FFFF0000"/>
        <rFont val="Calibri"/>
        <family val="2"/>
        <scheme val="minor"/>
      </rPr>
      <t>NOTE: Awaiting data from SCT</t>
    </r>
  </si>
  <si>
    <t>Overall population</t>
  </si>
  <si>
    <t>Population of 0-4 year olds</t>
  </si>
  <si>
    <t>Ethnicity - 0-4 year olds</t>
  </si>
  <si>
    <t>Proficiency in English (relates to 3-15yr olds)</t>
  </si>
  <si>
    <t>Tenure (relates to 0-9 yr olds)</t>
  </si>
  <si>
    <t>Births to women aged under 20 years</t>
  </si>
  <si>
    <t>Low birth weight</t>
  </si>
  <si>
    <t>Family Structure and Composition</t>
  </si>
  <si>
    <t>Family size (families with a 0-4 yr old)</t>
  </si>
  <si>
    <t>Census 2011 % of households 3/4 measures</t>
  </si>
  <si>
    <t>Health indicators</t>
  </si>
  <si>
    <t>Breastfeeding (at CFC level)</t>
  </si>
  <si>
    <t>Breastfeeding (CCG DoH published data)</t>
  </si>
  <si>
    <t>Childhood obesity (reception)</t>
  </si>
  <si>
    <t>Childhood obesity (Year 6)</t>
  </si>
  <si>
    <t xml:space="preserve">Mental health </t>
  </si>
  <si>
    <t>Identification of Post Natal Depression</t>
  </si>
  <si>
    <t>Smoking in pregnancy/in new born households</t>
  </si>
  <si>
    <t>Teenage pregnancy</t>
  </si>
  <si>
    <t>Background Data</t>
  </si>
  <si>
    <t>Early Years Foundation Stage Measures</t>
  </si>
  <si>
    <t>Births and Early Health Status</t>
  </si>
  <si>
    <t>Gap between lowest scores and median score</t>
  </si>
  <si>
    <t>0-4 yrs with daily activities limited</t>
  </si>
  <si>
    <t>0-4yr olds in workless households</t>
  </si>
  <si>
    <r>
      <t xml:space="preserve">CLICK ON SUBJECT TO GO TO THE DATA. </t>
    </r>
    <r>
      <rPr>
        <i/>
        <sz val="11"/>
        <rFont val="Calibri"/>
        <family val="2"/>
        <scheme val="minor"/>
      </rPr>
      <t>Not all data available at all geographies.</t>
    </r>
  </si>
  <si>
    <t>Lone parent families on low income</t>
  </si>
  <si>
    <r>
      <rPr>
        <b/>
        <sz val="11"/>
        <rFont val="Calibri"/>
        <family val="2"/>
        <scheme val="minor"/>
      </rPr>
      <t>A note on Dental Decay in 3yr olds</t>
    </r>
    <r>
      <rPr>
        <sz val="10"/>
        <rFont val="Calibri"/>
        <family val="2"/>
        <scheme val="minor"/>
      </rPr>
      <t xml:space="preserve">
The Oral Health survey of three-year-old children, carried out during the 2012-13 school year measured the dental decay by visually examining for missing teeth, filled teeth and teeth with obvious decay. The sampling method was primarily through local authorities, creating a sample of children from a range of different childcare institutions. However the dental examination required parental consent, and the samples collected finally represented 8% of the population of that age group. At a national level 12% of the children surveyed had obvious decay; however this figure varied across regions. In West Sussex the number of children surveyed was less than 1% and the data collected was from Arun, Chichester and Worthing only. The eventual figure for West Sussex of 3.5% of children with early childhood caries is relatively low. However the very small size of the data collected for West Sussex was not comprehensive enough to give a truly accurate figure of the prevalence of dental decay in children under 3.</t>
    </r>
  </si>
  <si>
    <t>Local decile</t>
  </si>
  <si>
    <r>
      <t xml:space="preserve">1. </t>
    </r>
    <r>
      <rPr>
        <b/>
        <sz val="10"/>
        <rFont val="Calibri"/>
        <family val="2"/>
        <scheme val="minor"/>
      </rPr>
      <t>Employment</t>
    </r>
    <r>
      <rPr>
        <sz val="10"/>
        <rFont val="Calibri"/>
        <family val="2"/>
        <scheme val="minor"/>
      </rPr>
      <t xml:space="preserve"> (deprivation identified where any member of a household not a full-time student is either unemployed or long-term sick).
2. </t>
    </r>
    <r>
      <rPr>
        <b/>
        <sz val="10"/>
        <rFont val="Calibri"/>
        <family val="2"/>
        <scheme val="minor"/>
      </rPr>
      <t>Education</t>
    </r>
    <r>
      <rPr>
        <sz val="10"/>
        <rFont val="Calibri"/>
        <family val="2"/>
        <scheme val="minor"/>
      </rPr>
      <t xml:space="preserve"> (deprivation identified where no person in the household has at least level 2 education, and no person aged 16-18 is a full-time student)
3. </t>
    </r>
    <r>
      <rPr>
        <b/>
        <sz val="10"/>
        <rFont val="Calibri"/>
        <family val="2"/>
        <scheme val="minor"/>
      </rPr>
      <t>Health and disability</t>
    </r>
    <r>
      <rPr>
        <sz val="10"/>
        <rFont val="Calibri"/>
        <family val="2"/>
        <scheme val="minor"/>
      </rPr>
      <t xml:space="preserve"> (deprivation identified where any person in the household has general health ‘bad or very bad’ or has a long term health problem).
4. </t>
    </r>
    <r>
      <rPr>
        <b/>
        <sz val="10"/>
        <rFont val="Calibri"/>
        <family val="2"/>
        <scheme val="minor"/>
      </rPr>
      <t>Household overcrowding</t>
    </r>
    <r>
      <rPr>
        <sz val="10"/>
        <rFont val="Calibri"/>
        <family val="2"/>
        <scheme val="minor"/>
      </rPr>
      <t xml:space="preserve"> (deprivation identified when the household accommodation is either overcrowded, with an occupancy rating -1 or less, or is in a shared dwelling, or has no central heating.)</t>
    </r>
  </si>
  <si>
    <t>Deprivation - Data Collated from the 2011 Census</t>
  </si>
  <si>
    <t xml:space="preserve">Information is then provided as to the number of households experiencing deprivation on any of all or the issues identified. </t>
  </si>
  <si>
    <t>An update of the DCLG Index of Deprivation is due for publication in mid 2015. This means that the ID2010 s becoming increasingly out of date. More recent data from the 2011 Census has been used to estimate local level deprivation, data are grouped into 4 main issues:-</t>
  </si>
  <si>
    <t>This is a measure of general deprivation and relates to all households not just households with dependent children</t>
  </si>
  <si>
    <t>Households with 3 or 4 measures of deprivation</t>
  </si>
  <si>
    <t>Deprived households as % of all households in area</t>
  </si>
  <si>
    <t>Unemployment, and notably long term unemployment has long term effects on the individuals and their families. Children in workless households are more likely to live in poverty and have poorer long term outcomes.</t>
  </si>
  <si>
    <r>
      <t xml:space="preserve">This information is taken from the 2011 Census and provides information on the total number of </t>
    </r>
    <r>
      <rPr>
        <b/>
        <sz val="10"/>
        <color indexed="8"/>
        <rFont val="Calibri"/>
        <family val="2"/>
        <scheme val="minor"/>
      </rPr>
      <t xml:space="preserve">families </t>
    </r>
    <r>
      <rPr>
        <sz val="10"/>
        <color indexed="8"/>
        <rFont val="Calibri"/>
        <family val="2"/>
        <scheme val="minor"/>
      </rPr>
      <t>within an area with a child aged 0-4, and also the proportion of larger families (of 3 children or more the youngest aged 0-4 in the area).</t>
    </r>
  </si>
  <si>
    <t>one child</t>
  </si>
  <si>
    <t>two children</t>
  </si>
  <si>
    <t>3 or more</t>
  </si>
  <si>
    <t>Households with a 0-4 year old</t>
  </si>
  <si>
    <t>Living in a couple household</t>
  </si>
  <si>
    <t>Not living in a couple household</t>
  </si>
  <si>
    <t>% in non-couple household</t>
  </si>
  <si>
    <t>Lone or Couple Households of Households with 0-4 year olds</t>
  </si>
  <si>
    <t>Couple households</t>
  </si>
  <si>
    <t>Non-couple households</t>
  </si>
  <si>
    <t>Male Lone Parents (2011)</t>
  </si>
  <si>
    <t>% not in employment (2011)</t>
  </si>
  <si>
    <t>Lone parents (with dependent children) (2011)</t>
  </si>
  <si>
    <t>Lone parents data from census</t>
  </si>
  <si>
    <t>Lone parents with dependent children - not in employment (2011)</t>
  </si>
  <si>
    <t>Census Data on Lone Parent Households</t>
  </si>
  <si>
    <t>This relates to all lone parent families not just those with children aged 0-4 years</t>
  </si>
  <si>
    <t>Data relate to Q1 2013/14 and each cohort relates to children who had their 1st, 2nd, 5th birthday within the quarter.</t>
  </si>
  <si>
    <r>
      <t xml:space="preserve">LA - </t>
    </r>
    <r>
      <rPr>
        <sz val="9"/>
        <rFont val="Calibri"/>
        <family val="2"/>
        <scheme val="minor"/>
      </rPr>
      <t>Number</t>
    </r>
  </si>
  <si>
    <r>
      <t xml:space="preserve">LA </t>
    </r>
    <r>
      <rPr>
        <sz val="9"/>
        <rFont val="Calibri"/>
        <family val="2"/>
        <scheme val="minor"/>
      </rPr>
      <t>Rate per 1,000</t>
    </r>
  </si>
  <si>
    <r>
      <t xml:space="preserve">LA - </t>
    </r>
    <r>
      <rPr>
        <sz val="9"/>
        <rFont val="Calibri"/>
        <family val="2"/>
        <scheme val="minor"/>
      </rPr>
      <t>UCL</t>
    </r>
  </si>
  <si>
    <t>Couple/non-couple households (with 0-4yrs)</t>
  </si>
  <si>
    <t>ID2010 Deprivation decile (location of CFC)</t>
  </si>
  <si>
    <t xml:space="preserve">% of Children "Good Level of Development" </t>
  </si>
  <si>
    <t>Census 2011 data - lone parents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</si>
</sst>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 #,##0.00_-;_-* &quot;-&quot;??_-;_-@_-"/>
    <numFmt numFmtId="164" formatCode="0.0"/>
    <numFmt numFmtId="165" formatCode="0.0%"/>
    <numFmt numFmtId="166" formatCode="###0"/>
    <numFmt numFmtId="167" formatCode="###0.0"/>
  </numFmts>
  <fonts count="118" x14ac:knownFonts="1">
    <font>
      <sz val="10"/>
      <name val="arial"/>
    </font>
    <font>
      <sz val="10"/>
      <name val="Arial"/>
      <family val="2"/>
    </font>
    <font>
      <u/>
      <sz val="10"/>
      <color indexed="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Arial"/>
      <family val="2"/>
    </font>
    <font>
      <sz val="10"/>
      <name val="Calibri"/>
      <family val="2"/>
    </font>
    <font>
      <sz val="8"/>
      <color indexed="8"/>
      <name val="Calibri"/>
      <family val="2"/>
    </font>
    <font>
      <sz val="8"/>
      <name val="Calibri"/>
      <family val="2"/>
    </font>
    <font>
      <sz val="9"/>
      <color theme="1"/>
      <name val="Arial"/>
      <family val="2"/>
    </font>
    <font>
      <sz val="11"/>
      <color theme="1"/>
      <name val="Calibri"/>
      <family val="2"/>
      <scheme val="minor"/>
    </font>
    <font>
      <sz val="10"/>
      <color indexed="10"/>
      <name val="Calibri"/>
      <family val="2"/>
      <scheme val="minor"/>
    </font>
    <font>
      <sz val="10"/>
      <name val="Calibri"/>
      <family val="2"/>
      <scheme val="minor"/>
    </font>
    <font>
      <b/>
      <sz val="11"/>
      <color indexed="8"/>
      <name val="Calibri"/>
      <family val="2"/>
      <scheme val="minor"/>
    </font>
    <font>
      <sz val="11"/>
      <color indexed="8"/>
      <name val="Calibri"/>
      <family val="2"/>
      <scheme val="minor"/>
    </font>
    <font>
      <b/>
      <sz val="10"/>
      <name val="Calibri"/>
      <family val="2"/>
      <scheme val="minor"/>
    </font>
    <font>
      <b/>
      <sz val="10"/>
      <color indexed="9"/>
      <name val="Calibri"/>
      <family val="2"/>
      <scheme val="minor"/>
    </font>
    <font>
      <sz val="11"/>
      <color indexed="10"/>
      <name val="Calibri"/>
      <family val="2"/>
      <scheme val="minor"/>
    </font>
    <font>
      <sz val="11"/>
      <color indexed="63"/>
      <name val="Calibri"/>
      <family val="2"/>
      <scheme val="minor"/>
    </font>
    <font>
      <sz val="10"/>
      <color indexed="8"/>
      <name val="Calibri"/>
      <family val="2"/>
      <scheme val="minor"/>
    </font>
    <font>
      <sz val="11"/>
      <color indexed="9"/>
      <name val="Calibri"/>
      <family val="2"/>
      <scheme val="minor"/>
    </font>
    <font>
      <sz val="11"/>
      <name val="Calibri"/>
      <family val="2"/>
      <scheme val="minor"/>
    </font>
    <font>
      <b/>
      <sz val="11"/>
      <name val="Calibri"/>
      <family val="2"/>
      <scheme val="minor"/>
    </font>
    <font>
      <i/>
      <sz val="10"/>
      <name val="Calibri"/>
      <family val="2"/>
      <scheme val="minor"/>
    </font>
    <font>
      <b/>
      <i/>
      <sz val="10"/>
      <name val="Calibri"/>
      <family val="2"/>
      <scheme val="minor"/>
    </font>
    <font>
      <b/>
      <sz val="10"/>
      <color indexed="8"/>
      <name val="Calibri"/>
      <family val="2"/>
      <scheme val="minor"/>
    </font>
    <font>
      <i/>
      <sz val="11"/>
      <color indexed="8"/>
      <name val="Calibri"/>
      <family val="2"/>
      <scheme val="minor"/>
    </font>
    <font>
      <b/>
      <sz val="12"/>
      <name val="Calibri"/>
      <family val="2"/>
      <scheme val="minor"/>
    </font>
    <font>
      <b/>
      <sz val="11"/>
      <color theme="0"/>
      <name val="Calibri"/>
      <family val="2"/>
      <scheme val="minor"/>
    </font>
    <font>
      <i/>
      <sz val="11"/>
      <name val="Calibri"/>
      <family val="2"/>
      <scheme val="minor"/>
    </font>
    <font>
      <b/>
      <sz val="9"/>
      <name val="Calibri"/>
      <family val="2"/>
      <scheme val="minor"/>
    </font>
    <font>
      <i/>
      <sz val="10"/>
      <color indexed="22"/>
      <name val="Calibri"/>
      <family val="2"/>
      <scheme val="minor"/>
    </font>
    <font>
      <i/>
      <sz val="10"/>
      <color indexed="12"/>
      <name val="Calibri"/>
      <family val="2"/>
      <scheme val="minor"/>
    </font>
    <font>
      <sz val="8"/>
      <name val="Calibri"/>
      <family val="2"/>
      <scheme val="minor"/>
    </font>
    <font>
      <i/>
      <sz val="10"/>
      <color indexed="52"/>
      <name val="Calibri"/>
      <family val="2"/>
      <scheme val="minor"/>
    </font>
    <font>
      <sz val="10"/>
      <color indexed="9"/>
      <name val="Calibri"/>
      <family val="2"/>
      <scheme val="minor"/>
    </font>
    <font>
      <sz val="10"/>
      <color theme="0"/>
      <name val="Calibri"/>
      <family val="2"/>
      <scheme val="minor"/>
    </font>
    <font>
      <sz val="10"/>
      <color indexed="22"/>
      <name val="Calibri"/>
      <family val="2"/>
      <scheme val="minor"/>
    </font>
    <font>
      <sz val="8"/>
      <color theme="0"/>
      <name val="Calibri"/>
      <family val="2"/>
      <scheme val="minor"/>
    </font>
    <font>
      <b/>
      <sz val="11"/>
      <color indexed="9"/>
      <name val="Calibri"/>
      <family val="2"/>
      <scheme val="minor"/>
    </font>
    <font>
      <i/>
      <sz val="10"/>
      <color indexed="8"/>
      <name val="Calibri"/>
      <family val="2"/>
      <scheme val="minor"/>
    </font>
    <font>
      <sz val="8"/>
      <color indexed="8"/>
      <name val="Calibri"/>
      <family val="2"/>
      <scheme val="minor"/>
    </font>
    <font>
      <sz val="10"/>
      <color theme="1"/>
      <name val="Calibri"/>
      <family val="2"/>
      <scheme val="minor"/>
    </font>
    <font>
      <b/>
      <sz val="14"/>
      <color indexed="49"/>
      <name val="Calibri"/>
      <family val="2"/>
      <scheme val="minor"/>
    </font>
    <font>
      <b/>
      <sz val="14"/>
      <color theme="8"/>
      <name val="Calibri"/>
      <family val="2"/>
      <scheme val="minor"/>
    </font>
    <font>
      <b/>
      <sz val="14"/>
      <color indexed="9"/>
      <name val="Calibri"/>
      <family val="2"/>
      <scheme val="minor"/>
    </font>
    <font>
      <b/>
      <u/>
      <sz val="10"/>
      <name val="Calibri"/>
      <family val="2"/>
      <scheme val="minor"/>
    </font>
    <font>
      <u/>
      <sz val="10"/>
      <name val="Calibri"/>
      <family val="2"/>
      <scheme val="minor"/>
    </font>
    <font>
      <b/>
      <sz val="10"/>
      <color theme="1"/>
      <name val="Calibri"/>
      <family val="2"/>
      <scheme val="minor"/>
    </font>
    <font>
      <b/>
      <u/>
      <sz val="11"/>
      <name val="Calibri"/>
      <family val="2"/>
      <scheme val="minor"/>
    </font>
    <font>
      <u/>
      <sz val="10"/>
      <color indexed="8"/>
      <name val="Calibri"/>
      <family val="2"/>
      <scheme val="minor"/>
    </font>
    <font>
      <b/>
      <u/>
      <sz val="10"/>
      <color indexed="8"/>
      <name val="Calibri"/>
      <family val="2"/>
      <scheme val="minor"/>
    </font>
    <font>
      <sz val="11"/>
      <color indexed="22"/>
      <name val="Calibri"/>
      <family val="2"/>
      <scheme val="minor"/>
    </font>
    <font>
      <sz val="10"/>
      <color indexed="13"/>
      <name val="Calibri"/>
      <family val="2"/>
      <scheme val="minor"/>
    </font>
    <font>
      <b/>
      <u/>
      <sz val="11"/>
      <color indexed="8"/>
      <name val="Calibri"/>
      <family val="2"/>
      <scheme val="minor"/>
    </font>
    <font>
      <i/>
      <sz val="10"/>
      <color indexed="9"/>
      <name val="Calibri"/>
      <family val="2"/>
      <scheme val="minor"/>
    </font>
    <font>
      <b/>
      <sz val="10"/>
      <color indexed="63"/>
      <name val="Calibri"/>
      <family val="2"/>
      <scheme val="minor"/>
    </font>
    <font>
      <sz val="10"/>
      <color indexed="63"/>
      <name val="Calibri"/>
      <family val="2"/>
      <scheme val="minor"/>
    </font>
    <font>
      <b/>
      <sz val="10"/>
      <color indexed="53"/>
      <name val="Calibri"/>
      <family val="2"/>
      <scheme val="minor"/>
    </font>
    <font>
      <b/>
      <sz val="10"/>
      <color indexed="21"/>
      <name val="Calibri"/>
      <family val="2"/>
      <scheme val="minor"/>
    </font>
    <font>
      <b/>
      <sz val="10"/>
      <color indexed="19"/>
      <name val="Calibri"/>
      <family val="2"/>
      <scheme val="minor"/>
    </font>
    <font>
      <b/>
      <sz val="10"/>
      <color indexed="50"/>
      <name val="Calibri"/>
      <family val="2"/>
      <scheme val="minor"/>
    </font>
    <font>
      <b/>
      <sz val="11"/>
      <color indexed="12"/>
      <name val="Calibri"/>
      <family val="2"/>
      <scheme val="minor"/>
    </font>
    <font>
      <sz val="8"/>
      <color indexed="9"/>
      <name val="Calibri"/>
      <family val="2"/>
      <scheme val="minor"/>
    </font>
    <font>
      <b/>
      <sz val="10"/>
      <color indexed="12"/>
      <name val="Calibri"/>
      <family val="2"/>
      <scheme val="minor"/>
    </font>
    <font>
      <sz val="10"/>
      <color indexed="12"/>
      <name val="Calibri"/>
      <family val="2"/>
      <scheme val="minor"/>
    </font>
    <font>
      <b/>
      <sz val="16"/>
      <color indexed="8"/>
      <name val="Calibri"/>
      <family val="2"/>
      <scheme val="minor"/>
    </font>
    <font>
      <b/>
      <vertAlign val="subscript"/>
      <sz val="10"/>
      <color indexed="8"/>
      <name val="Calibri"/>
      <family val="2"/>
      <scheme val="minor"/>
    </font>
    <font>
      <sz val="8"/>
      <color theme="1"/>
      <name val="Verdana"/>
      <family val="2"/>
    </font>
    <font>
      <sz val="10"/>
      <color theme="1" tint="0.14999847407452621"/>
      <name val="Arial"/>
      <family val="2"/>
    </font>
    <font>
      <sz val="10"/>
      <color theme="1" tint="0.14999847407452621"/>
      <name val="Calibri"/>
      <family val="2"/>
      <scheme val="minor"/>
    </font>
    <font>
      <i/>
      <sz val="10"/>
      <name val="Arial"/>
      <family val="2"/>
    </font>
    <font>
      <i/>
      <sz val="10"/>
      <color theme="1"/>
      <name val="Calibri"/>
      <family val="2"/>
      <scheme val="minor"/>
    </font>
    <font>
      <b/>
      <sz val="12"/>
      <color indexed="8"/>
      <name val="Calibri"/>
      <family val="2"/>
      <scheme val="minor"/>
    </font>
    <font>
      <b/>
      <i/>
      <sz val="11"/>
      <color indexed="8"/>
      <name val="Calibri"/>
      <family val="2"/>
      <scheme val="minor"/>
    </font>
    <font>
      <i/>
      <sz val="8"/>
      <name val="Calibri"/>
      <family val="2"/>
      <scheme val="minor"/>
    </font>
    <font>
      <sz val="8"/>
      <color theme="1"/>
      <name val="Gill Sans MT"/>
      <family val="2"/>
    </font>
    <font>
      <b/>
      <sz val="10"/>
      <color theme="0"/>
      <name val="Calibri"/>
      <family val="2"/>
      <scheme val="minor"/>
    </font>
    <font>
      <sz val="9"/>
      <color indexed="8"/>
      <name val="Calibri"/>
      <family val="2"/>
      <scheme val="minor"/>
    </font>
    <font>
      <sz val="9"/>
      <name val="Calibri"/>
      <family val="2"/>
      <scheme val="minor"/>
    </font>
    <font>
      <b/>
      <sz val="8"/>
      <name val="Calibri"/>
      <family val="2"/>
      <scheme val="minor"/>
    </font>
    <font>
      <sz val="10"/>
      <color theme="1"/>
      <name val="Arial"/>
      <family val="2"/>
    </font>
    <font>
      <sz val="7"/>
      <color theme="1"/>
      <name val="Arial"/>
      <family val="2"/>
    </font>
    <font>
      <b/>
      <sz val="8"/>
      <color theme="1"/>
      <name val="Gill Sans MT"/>
      <family val="2"/>
    </font>
    <font>
      <b/>
      <sz val="12"/>
      <color theme="1"/>
      <name val="Gill Sans MT"/>
      <family val="2"/>
    </font>
    <font>
      <sz val="12"/>
      <color theme="1"/>
      <name val="Gill Sans MT"/>
      <family val="2"/>
    </font>
    <font>
      <sz val="12"/>
      <color theme="1"/>
      <name val="Arial"/>
      <family val="2"/>
    </font>
    <font>
      <b/>
      <sz val="14"/>
      <color theme="1"/>
      <name val="Gill Sans MT"/>
      <family val="2"/>
    </font>
    <font>
      <sz val="14"/>
      <name val="Arial"/>
      <family val="2"/>
    </font>
    <font>
      <b/>
      <sz val="11"/>
      <color rgb="FFFF0000"/>
      <name val="Calibri"/>
      <family val="2"/>
      <scheme val="minor"/>
    </font>
    <font>
      <sz val="14"/>
      <color theme="1"/>
      <name val="Gill Sans MT"/>
      <family val="2"/>
    </font>
    <font>
      <i/>
      <u/>
      <sz val="10"/>
      <name val="Calibri"/>
      <family val="2"/>
      <scheme val="minor"/>
    </font>
    <font>
      <b/>
      <i/>
      <sz val="11"/>
      <color rgb="FFFF0000"/>
      <name val="Calibri"/>
      <family val="2"/>
      <scheme val="minor"/>
    </font>
    <font>
      <b/>
      <i/>
      <u/>
      <sz val="11"/>
      <color rgb="FFFF0000"/>
      <name val="Calibri"/>
      <family val="2"/>
      <scheme val="minor"/>
    </font>
    <font>
      <b/>
      <sz val="12"/>
      <name val="Arial"/>
      <family val="2"/>
    </font>
    <font>
      <b/>
      <sz val="10"/>
      <name val="Arial"/>
      <family val="2"/>
    </font>
    <font>
      <b/>
      <sz val="11"/>
      <name val="Arial"/>
      <family val="2"/>
    </font>
    <font>
      <i/>
      <sz val="9"/>
      <name val="Calibri"/>
      <family val="2"/>
      <scheme val="minor"/>
    </font>
    <font>
      <i/>
      <sz val="9"/>
      <name val="Arial"/>
      <family val="2"/>
    </font>
    <font>
      <sz val="11"/>
      <color theme="0"/>
      <name val="Calibri"/>
      <family val="2"/>
      <scheme val="minor"/>
    </font>
    <font>
      <b/>
      <sz val="8"/>
      <color theme="0"/>
      <name val="Calibri"/>
      <family val="2"/>
      <scheme val="minor"/>
    </font>
    <font>
      <sz val="10"/>
      <color theme="0"/>
      <name val="Arial"/>
      <family val="2"/>
    </font>
    <font>
      <sz val="9"/>
      <color indexed="9"/>
      <name val="Calibri"/>
      <family val="2"/>
      <scheme val="minor"/>
    </font>
  </fonts>
  <fills count="5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55"/>
        <bgColor indexed="64"/>
      </patternFill>
    </fill>
    <fill>
      <patternFill patternType="solid">
        <fgColor indexed="62"/>
        <bgColor indexed="64"/>
      </patternFill>
    </fill>
    <fill>
      <patternFill patternType="solid">
        <fgColor indexed="9"/>
        <bgColor indexed="64"/>
      </patternFill>
    </fill>
    <fill>
      <patternFill patternType="solid">
        <fgColor indexed="23"/>
        <bgColor indexed="64"/>
      </patternFill>
    </fill>
    <fill>
      <patternFill patternType="solid">
        <fgColor indexed="8"/>
        <bgColor indexed="64"/>
      </patternFill>
    </fill>
    <fill>
      <patternFill patternType="solid">
        <fgColor indexed="63"/>
        <bgColor indexed="64"/>
      </patternFill>
    </fill>
    <fill>
      <patternFill patternType="solid">
        <fgColor indexed="22"/>
        <bgColor indexed="22"/>
      </patternFill>
    </fill>
    <fill>
      <patternFill patternType="solid">
        <fgColor theme="3" tint="0.39997558519241921"/>
        <bgColor indexed="64"/>
      </patternFill>
    </fill>
    <fill>
      <patternFill patternType="solid">
        <fgColor theme="0"/>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0" tint="-0.34998626667073579"/>
        <bgColor indexed="64"/>
      </patternFill>
    </fill>
    <fill>
      <patternFill patternType="solid">
        <fgColor rgb="FFFF8080"/>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6"/>
        <bgColor indexed="64"/>
      </patternFill>
    </fill>
    <fill>
      <patternFill patternType="solid">
        <fgColor theme="4"/>
        <bgColor indexed="64"/>
      </patternFill>
    </fill>
    <fill>
      <patternFill patternType="solid">
        <fgColor theme="9"/>
        <bgColor indexed="64"/>
      </patternFill>
    </fill>
    <fill>
      <patternFill patternType="solid">
        <fgColor rgb="FFCCFF33"/>
        <bgColor indexed="64"/>
      </patternFill>
    </fill>
    <fill>
      <patternFill patternType="solid">
        <fgColor theme="1"/>
        <bgColor indexed="64"/>
      </patternFill>
    </fill>
    <fill>
      <patternFill patternType="solid">
        <fgColor theme="5" tint="0.59999389629810485"/>
        <bgColor indexed="64"/>
      </patternFill>
    </fill>
    <fill>
      <patternFill patternType="solid">
        <fgColor rgb="FF8CAF47"/>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rgb="FFFF9999"/>
        <bgColor indexed="64"/>
      </patternFill>
    </fill>
    <fill>
      <patternFill patternType="solid">
        <fgColor theme="6" tint="0.79998168889431442"/>
        <bgColor indexed="64"/>
      </patternFill>
    </fill>
  </fills>
  <borders count="44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3"/>
      </left>
      <right/>
      <top style="thin">
        <color indexed="63"/>
      </top>
      <bottom style="thin">
        <color indexed="63"/>
      </bottom>
      <diagonal/>
    </border>
    <border>
      <left style="thin">
        <color indexed="63"/>
      </left>
      <right/>
      <top/>
      <bottom style="thin">
        <color indexed="63"/>
      </bottom>
      <diagonal/>
    </border>
    <border>
      <left style="thin">
        <color indexed="63"/>
      </left>
      <right/>
      <top/>
      <bottom/>
      <diagonal/>
    </border>
    <border>
      <left/>
      <right style="thin">
        <color indexed="63"/>
      </right>
      <top/>
      <bottom/>
      <diagonal/>
    </border>
    <border>
      <left style="thin">
        <color indexed="63"/>
      </left>
      <right/>
      <top style="thin">
        <color indexed="63"/>
      </top>
      <bottom/>
      <diagonal/>
    </border>
    <border>
      <left/>
      <right/>
      <top style="thin">
        <color indexed="63"/>
      </top>
      <bottom/>
      <diagonal/>
    </border>
    <border>
      <left style="thin">
        <color indexed="64"/>
      </left>
      <right style="thin">
        <color indexed="64"/>
      </right>
      <top style="thin">
        <color indexed="64"/>
      </top>
      <bottom style="thin">
        <color indexed="64"/>
      </bottom>
      <diagonal/>
    </border>
    <border>
      <left/>
      <right/>
      <top style="thin">
        <color indexed="63"/>
      </top>
      <bottom style="thin">
        <color indexed="63"/>
      </bottom>
      <diagonal/>
    </border>
    <border>
      <left/>
      <right style="thin">
        <color indexed="64"/>
      </right>
      <top/>
      <bottom/>
      <diagonal/>
    </border>
    <border>
      <left/>
      <right/>
      <top/>
      <bottom style="thin">
        <color indexed="63"/>
      </bottom>
      <diagonal/>
    </border>
    <border>
      <left/>
      <right style="thin">
        <color indexed="64"/>
      </right>
      <top/>
      <bottom style="thin">
        <color indexed="63"/>
      </bottom>
      <diagonal/>
    </border>
    <border>
      <left style="thin">
        <color indexed="64"/>
      </left>
      <right/>
      <top style="thin">
        <color indexed="64"/>
      </top>
      <bottom style="thin">
        <color indexed="64"/>
      </bottom>
      <diagonal/>
    </border>
    <border>
      <left/>
      <right style="thin">
        <color indexed="63"/>
      </right>
      <top/>
      <bottom style="thin">
        <color indexed="63"/>
      </bottom>
      <diagonal/>
    </border>
    <border>
      <left/>
      <right style="thin">
        <color indexed="9"/>
      </right>
      <top/>
      <bottom style="thin">
        <color indexed="9"/>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diagonal/>
    </border>
    <border>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3"/>
      </bottom>
      <diagonal/>
    </border>
    <border>
      <left style="thin">
        <color indexed="64"/>
      </left>
      <right/>
      <top style="thin">
        <color indexed="63"/>
      </top>
      <bottom style="thin">
        <color indexed="63"/>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9"/>
      </left>
      <right style="thin">
        <color indexed="63"/>
      </right>
      <top style="thin">
        <color indexed="9"/>
      </top>
      <bottom style="thin">
        <color indexed="9"/>
      </bottom>
      <diagonal/>
    </border>
    <border>
      <left style="thin">
        <color indexed="9"/>
      </left>
      <right style="thin">
        <color indexed="63"/>
      </right>
      <top style="thin">
        <color indexed="9"/>
      </top>
      <bottom/>
      <diagonal/>
    </border>
    <border>
      <left/>
      <right style="thin">
        <color indexed="63"/>
      </right>
      <top style="thin">
        <color indexed="63"/>
      </top>
      <bottom style="thin">
        <color indexed="63"/>
      </bottom>
      <diagonal/>
    </border>
    <border>
      <left style="thin">
        <color indexed="9"/>
      </left>
      <right style="thin">
        <color indexed="9"/>
      </right>
      <top style="thin">
        <color indexed="9"/>
      </top>
      <bottom style="thin">
        <color indexed="63"/>
      </bottom>
      <diagonal/>
    </border>
    <border>
      <left style="thin">
        <color indexed="9"/>
      </left>
      <right style="thin">
        <color indexed="63"/>
      </right>
      <top style="thin">
        <color indexed="9"/>
      </top>
      <bottom style="thin">
        <color indexed="63"/>
      </bottom>
      <diagonal/>
    </border>
    <border>
      <left/>
      <right style="thin">
        <color indexed="63"/>
      </right>
      <top style="thin">
        <color indexed="64"/>
      </top>
      <bottom style="thin">
        <color indexed="64"/>
      </bottom>
      <diagonal/>
    </border>
    <border>
      <left style="thin">
        <color indexed="9"/>
      </left>
      <right style="thin">
        <color indexed="63"/>
      </right>
      <top/>
      <bottom style="thin">
        <color indexed="9"/>
      </bottom>
      <diagonal/>
    </border>
    <border>
      <left/>
      <right style="thin">
        <color indexed="9"/>
      </right>
      <top style="thin">
        <color indexed="9"/>
      </top>
      <bottom style="thin">
        <color indexed="9"/>
      </bottom>
      <diagonal/>
    </border>
    <border>
      <left/>
      <right style="thin">
        <color indexed="63"/>
      </right>
      <top style="thin">
        <color indexed="63"/>
      </top>
      <bottom style="thin">
        <color indexed="64"/>
      </bottom>
      <diagonal/>
    </border>
    <border>
      <left style="thin">
        <color indexed="64"/>
      </left>
      <right style="thin">
        <color indexed="9"/>
      </right>
      <top/>
      <bottom style="thin">
        <color indexed="9"/>
      </bottom>
      <diagonal/>
    </border>
    <border>
      <left style="thin">
        <color indexed="64"/>
      </left>
      <right style="thin">
        <color indexed="9"/>
      </right>
      <top style="thin">
        <color indexed="9"/>
      </top>
      <bottom style="thin">
        <color indexed="9"/>
      </bottom>
      <diagonal/>
    </border>
    <border>
      <left style="thin">
        <color indexed="64"/>
      </left>
      <right style="thin">
        <color indexed="9"/>
      </right>
      <top style="thin">
        <color indexed="9"/>
      </top>
      <bottom style="thin">
        <color indexed="63"/>
      </bottom>
      <diagonal/>
    </border>
    <border>
      <left style="thin">
        <color indexed="63"/>
      </left>
      <right/>
      <top style="thin">
        <color indexed="9"/>
      </top>
      <bottom style="thin">
        <color indexed="9"/>
      </bottom>
      <diagonal/>
    </border>
    <border>
      <left style="thin">
        <color indexed="63"/>
      </left>
      <right/>
      <top style="thin">
        <color indexed="9"/>
      </top>
      <bottom/>
      <diagonal/>
    </border>
    <border>
      <left style="thin">
        <color indexed="9"/>
      </left>
      <right style="thin">
        <color indexed="9"/>
      </right>
      <top style="thin">
        <color indexed="55"/>
      </top>
      <bottom style="thin">
        <color indexed="55"/>
      </bottom>
      <diagonal/>
    </border>
    <border>
      <left style="thin">
        <color indexed="9"/>
      </left>
      <right/>
      <top style="thin">
        <color indexed="55"/>
      </top>
      <bottom style="thin">
        <color indexed="55"/>
      </bottom>
      <diagonal/>
    </border>
    <border>
      <left style="thin">
        <color indexed="9"/>
      </left>
      <right style="thin">
        <color indexed="9"/>
      </right>
      <top style="thin">
        <color indexed="23"/>
      </top>
      <bottom style="thin">
        <color indexed="23"/>
      </bottom>
      <diagonal/>
    </border>
    <border>
      <left style="thin">
        <color indexed="9"/>
      </left>
      <right/>
      <top style="thin">
        <color indexed="23"/>
      </top>
      <bottom style="thin">
        <color indexed="23"/>
      </bottom>
      <diagonal/>
    </border>
    <border>
      <left style="thin">
        <color indexed="63"/>
      </left>
      <right style="thin">
        <color indexed="63"/>
      </right>
      <top/>
      <bottom style="thin">
        <color indexed="63"/>
      </bottom>
      <diagonal/>
    </border>
    <border>
      <left/>
      <right style="thin">
        <color indexed="63"/>
      </right>
      <top style="thin">
        <color indexed="63"/>
      </top>
      <bottom/>
      <diagonal/>
    </border>
    <border>
      <left style="thin">
        <color indexed="63"/>
      </left>
      <right/>
      <top style="thin">
        <color indexed="63"/>
      </top>
      <bottom style="thin">
        <color indexed="64"/>
      </bottom>
      <diagonal/>
    </border>
    <border>
      <left/>
      <right/>
      <top style="thin">
        <color indexed="63"/>
      </top>
      <bottom style="thin">
        <color indexed="64"/>
      </bottom>
      <diagonal/>
    </border>
    <border>
      <left/>
      <right style="hair">
        <color indexed="8"/>
      </right>
      <top/>
      <bottom/>
      <diagonal/>
    </border>
    <border>
      <left style="hair">
        <color indexed="8"/>
      </left>
      <right/>
      <top style="hair">
        <color indexed="8"/>
      </top>
      <bottom style="hair">
        <color indexed="8"/>
      </bottom>
      <diagonal/>
    </border>
    <border>
      <left/>
      <right/>
      <top style="hair">
        <color indexed="8"/>
      </top>
      <bottom style="hair">
        <color indexed="8"/>
      </bottom>
      <diagonal/>
    </border>
    <border>
      <left/>
      <right style="hair">
        <color indexed="8"/>
      </right>
      <top style="hair">
        <color indexed="8"/>
      </top>
      <bottom style="hair">
        <color indexed="8"/>
      </bottom>
      <diagonal/>
    </border>
    <border>
      <left/>
      <right style="hair">
        <color indexed="8"/>
      </right>
      <top/>
      <bottom style="thin">
        <color indexed="8"/>
      </bottom>
      <diagonal/>
    </border>
    <border>
      <left style="thin">
        <color indexed="8"/>
      </left>
      <right style="thin">
        <color indexed="9"/>
      </right>
      <top style="thin">
        <color indexed="64"/>
      </top>
      <bottom style="thin">
        <color indexed="64"/>
      </bottom>
      <diagonal/>
    </border>
    <border>
      <left style="thin">
        <color indexed="8"/>
      </left>
      <right/>
      <top/>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23"/>
      </left>
      <right/>
      <top/>
      <bottom/>
      <diagonal/>
    </border>
    <border>
      <left/>
      <right/>
      <top/>
      <bottom style="thin">
        <color indexed="23"/>
      </bottom>
      <diagonal/>
    </border>
    <border>
      <left/>
      <right style="thin">
        <color indexed="63"/>
      </right>
      <top/>
      <bottom style="thin">
        <color indexed="23"/>
      </bottom>
      <diagonal/>
    </border>
    <border>
      <left style="thin">
        <color indexed="63"/>
      </left>
      <right/>
      <top style="thin">
        <color indexed="23"/>
      </top>
      <bottom style="thin">
        <color indexed="23"/>
      </bottom>
      <diagonal/>
    </border>
    <border>
      <left/>
      <right/>
      <top style="thin">
        <color indexed="23"/>
      </top>
      <bottom style="thin">
        <color indexed="23"/>
      </bottom>
      <diagonal/>
    </border>
    <border>
      <left/>
      <right style="thin">
        <color indexed="9"/>
      </right>
      <top style="thin">
        <color indexed="23"/>
      </top>
      <bottom style="thin">
        <color indexed="23"/>
      </bottom>
      <diagonal/>
    </border>
    <border>
      <left style="thin">
        <color indexed="63"/>
      </left>
      <right/>
      <top/>
      <bottom style="thin">
        <color indexed="64"/>
      </bottom>
      <diagonal/>
    </border>
    <border>
      <left/>
      <right/>
      <top/>
      <bottom style="thin">
        <color indexed="64"/>
      </bottom>
      <diagonal/>
    </border>
    <border>
      <left style="thin">
        <color indexed="64"/>
      </left>
      <right/>
      <top style="thin">
        <color indexed="64"/>
      </top>
      <bottom style="thin">
        <color indexed="63"/>
      </bottom>
      <diagonal/>
    </border>
    <border>
      <left/>
      <right/>
      <top style="thin">
        <color indexed="64"/>
      </top>
      <bottom style="thin">
        <color indexed="63"/>
      </bottom>
      <diagonal/>
    </border>
    <border>
      <left/>
      <right style="thin">
        <color indexed="63"/>
      </right>
      <top style="thin">
        <color indexed="23"/>
      </top>
      <bottom style="thin">
        <color indexed="23"/>
      </bottom>
      <diagonal/>
    </border>
    <border>
      <left style="thin">
        <color indexed="64"/>
      </left>
      <right style="thin">
        <color indexed="23"/>
      </right>
      <top style="thin">
        <color indexed="64"/>
      </top>
      <bottom style="thin">
        <color indexed="64"/>
      </bottom>
      <diagonal/>
    </border>
    <border>
      <left style="thin">
        <color indexed="23"/>
      </left>
      <right style="thin">
        <color indexed="64"/>
      </right>
      <top style="thin">
        <color indexed="64"/>
      </top>
      <bottom style="thin">
        <color indexed="64"/>
      </bottom>
      <diagonal/>
    </border>
    <border>
      <left style="thin">
        <color indexed="63"/>
      </left>
      <right/>
      <top style="thin">
        <color indexed="23"/>
      </top>
      <bottom style="thin">
        <color indexed="64"/>
      </bottom>
      <diagonal/>
    </border>
    <border>
      <left/>
      <right style="thin">
        <color indexed="63"/>
      </right>
      <top style="thin">
        <color indexed="23"/>
      </top>
      <bottom style="thin">
        <color indexed="64"/>
      </bottom>
      <diagonal/>
    </border>
    <border>
      <left/>
      <right style="thin">
        <color indexed="63"/>
      </right>
      <top/>
      <bottom style="thin">
        <color indexed="64"/>
      </bottom>
      <diagonal/>
    </border>
    <border>
      <left style="thin">
        <color indexed="63"/>
      </left>
      <right/>
      <top style="thin">
        <color indexed="55"/>
      </top>
      <bottom style="thin">
        <color indexed="63"/>
      </bottom>
      <diagonal/>
    </border>
    <border>
      <left/>
      <right/>
      <top style="thin">
        <color indexed="55"/>
      </top>
      <bottom style="thin">
        <color indexed="63"/>
      </bottom>
      <diagonal/>
    </border>
    <border>
      <left/>
      <right style="thin">
        <color indexed="63"/>
      </right>
      <top style="thin">
        <color indexed="55"/>
      </top>
      <bottom style="thin">
        <color indexed="63"/>
      </bottom>
      <diagonal/>
    </border>
    <border>
      <left style="thin">
        <color indexed="63"/>
      </left>
      <right/>
      <top style="thin">
        <color indexed="55"/>
      </top>
      <bottom style="thin">
        <color indexed="55"/>
      </bottom>
      <diagonal/>
    </border>
    <border>
      <left/>
      <right/>
      <top style="thin">
        <color indexed="55"/>
      </top>
      <bottom style="thin">
        <color indexed="55"/>
      </bottom>
      <diagonal/>
    </border>
    <border>
      <left/>
      <right style="thin">
        <color indexed="9"/>
      </right>
      <top style="thin">
        <color indexed="55"/>
      </top>
      <bottom style="thin">
        <color indexed="55"/>
      </bottom>
      <diagonal/>
    </border>
    <border>
      <left/>
      <right style="thin">
        <color indexed="63"/>
      </right>
      <top style="thin">
        <color indexed="55"/>
      </top>
      <bottom style="thin">
        <color indexed="55"/>
      </bottom>
      <diagonal/>
    </border>
    <border>
      <left style="thin">
        <color indexed="63"/>
      </left>
      <right/>
      <top style="thin">
        <color indexed="63"/>
      </top>
      <bottom style="thin">
        <color indexed="55"/>
      </bottom>
      <diagonal/>
    </border>
    <border>
      <left/>
      <right/>
      <top style="thin">
        <color indexed="63"/>
      </top>
      <bottom style="thin">
        <color indexed="55"/>
      </bottom>
      <diagonal/>
    </border>
    <border>
      <left/>
      <right style="thin">
        <color indexed="63"/>
      </right>
      <top style="thin">
        <color indexed="63"/>
      </top>
      <bottom style="thin">
        <color indexed="55"/>
      </bottom>
      <diagonal/>
    </border>
    <border>
      <left style="thin">
        <color indexed="63"/>
      </left>
      <right/>
      <top style="thin">
        <color indexed="23"/>
      </top>
      <bottom style="thin">
        <color indexed="63"/>
      </bottom>
      <diagonal/>
    </border>
    <border>
      <left/>
      <right/>
      <top style="thin">
        <color indexed="23"/>
      </top>
      <bottom style="thin">
        <color indexed="63"/>
      </bottom>
      <diagonal/>
    </border>
    <border>
      <left/>
      <right style="thin">
        <color indexed="63"/>
      </right>
      <top style="thin">
        <color indexed="23"/>
      </top>
      <bottom style="thin">
        <color indexed="63"/>
      </bottom>
      <diagonal/>
    </border>
    <border>
      <left/>
      <right/>
      <top style="thin">
        <color indexed="63"/>
      </top>
      <bottom style="thin">
        <color indexed="23"/>
      </bottom>
      <diagonal/>
    </border>
    <border>
      <left/>
      <right style="thin">
        <color indexed="63"/>
      </right>
      <top style="thin">
        <color indexed="63"/>
      </top>
      <bottom style="thin">
        <color indexed="23"/>
      </bottom>
      <diagonal/>
    </border>
    <border>
      <left style="thin">
        <color indexed="63"/>
      </left>
      <right/>
      <top style="hair">
        <color indexed="23"/>
      </top>
      <bottom style="hair">
        <color indexed="23"/>
      </bottom>
      <diagonal/>
    </border>
    <border>
      <left/>
      <right/>
      <top style="hair">
        <color indexed="23"/>
      </top>
      <bottom style="hair">
        <color indexed="23"/>
      </bottom>
      <diagonal/>
    </border>
    <border>
      <left/>
      <right style="thin">
        <color indexed="63"/>
      </right>
      <top style="hair">
        <color indexed="23"/>
      </top>
      <bottom style="hair">
        <color indexed="23"/>
      </bottom>
      <diagonal/>
    </border>
    <border>
      <left style="thin">
        <color indexed="63"/>
      </left>
      <right/>
      <top style="thin">
        <color indexed="63"/>
      </top>
      <bottom style="thin">
        <color indexed="23"/>
      </bottom>
      <diagonal/>
    </border>
    <border>
      <left style="thin">
        <color indexed="63"/>
      </left>
      <right/>
      <top style="hair">
        <color indexed="23"/>
      </top>
      <bottom style="thin">
        <color indexed="63"/>
      </bottom>
      <diagonal/>
    </border>
    <border>
      <left/>
      <right/>
      <top style="hair">
        <color indexed="23"/>
      </top>
      <bottom style="thin">
        <color indexed="63"/>
      </bottom>
      <diagonal/>
    </border>
    <border>
      <left/>
      <right style="thin">
        <color indexed="63"/>
      </right>
      <top style="hair">
        <color indexed="23"/>
      </top>
      <bottom style="thin">
        <color indexed="63"/>
      </bottom>
      <diagonal/>
    </border>
    <border>
      <left style="thin">
        <color indexed="63"/>
      </left>
      <right style="thin">
        <color indexed="63"/>
      </right>
      <top style="thin">
        <color indexed="63"/>
      </top>
      <bottom style="hair">
        <color indexed="23"/>
      </bottom>
      <diagonal/>
    </border>
    <border>
      <left style="thin">
        <color indexed="63"/>
      </left>
      <right style="thin">
        <color indexed="63"/>
      </right>
      <top style="hair">
        <color indexed="23"/>
      </top>
      <bottom style="hair">
        <color indexed="23"/>
      </bottom>
      <diagonal/>
    </border>
    <border>
      <left style="thin">
        <color indexed="63"/>
      </left>
      <right/>
      <top style="thin">
        <color indexed="63"/>
      </top>
      <bottom style="hair">
        <color indexed="63"/>
      </bottom>
      <diagonal/>
    </border>
    <border>
      <left/>
      <right/>
      <top style="thin">
        <color indexed="63"/>
      </top>
      <bottom style="hair">
        <color indexed="63"/>
      </bottom>
      <diagonal/>
    </border>
    <border>
      <left/>
      <right style="thin">
        <color indexed="63"/>
      </right>
      <top style="thin">
        <color indexed="63"/>
      </top>
      <bottom style="hair">
        <color indexed="63"/>
      </bottom>
      <diagonal/>
    </border>
    <border>
      <left style="thin">
        <color indexed="63"/>
      </left>
      <right/>
      <top style="hair">
        <color indexed="63"/>
      </top>
      <bottom style="hair">
        <color indexed="63"/>
      </bottom>
      <diagonal/>
    </border>
    <border>
      <left/>
      <right/>
      <top style="hair">
        <color indexed="63"/>
      </top>
      <bottom style="hair">
        <color indexed="63"/>
      </bottom>
      <diagonal/>
    </border>
    <border>
      <left/>
      <right style="thin">
        <color indexed="63"/>
      </right>
      <top style="hair">
        <color indexed="63"/>
      </top>
      <bottom style="hair">
        <color indexed="63"/>
      </bottom>
      <diagonal/>
    </border>
    <border>
      <left style="thin">
        <color indexed="63"/>
      </left>
      <right/>
      <top style="hair">
        <color indexed="63"/>
      </top>
      <bottom style="thin">
        <color indexed="64"/>
      </bottom>
      <diagonal/>
    </border>
    <border>
      <left/>
      <right/>
      <top style="hair">
        <color indexed="63"/>
      </top>
      <bottom style="thin">
        <color indexed="64"/>
      </bottom>
      <diagonal/>
    </border>
    <border>
      <left/>
      <right style="thin">
        <color indexed="63"/>
      </right>
      <top style="hair">
        <color indexed="63"/>
      </top>
      <bottom style="thin">
        <color indexed="64"/>
      </bottom>
      <diagonal/>
    </border>
    <border>
      <left style="hair">
        <color indexed="8"/>
      </left>
      <right style="hair">
        <color indexed="8"/>
      </right>
      <top style="hair">
        <color indexed="8"/>
      </top>
      <bottom style="thin">
        <color indexed="8"/>
      </bottom>
      <diagonal/>
    </border>
    <border>
      <left style="hair">
        <color indexed="8"/>
      </left>
      <right style="hair">
        <color indexed="8"/>
      </right>
      <top style="hair">
        <color indexed="8"/>
      </top>
      <bottom style="hair">
        <color indexed="8"/>
      </bottom>
      <diagonal/>
    </border>
    <border>
      <left style="thin">
        <color indexed="63"/>
      </left>
      <right/>
      <top style="thin">
        <color indexed="64"/>
      </top>
      <bottom style="thin">
        <color indexed="63"/>
      </bottom>
      <diagonal/>
    </border>
    <border>
      <left style="hair">
        <color indexed="8"/>
      </left>
      <right/>
      <top style="hair">
        <color indexed="8"/>
      </top>
      <bottom style="thin">
        <color indexed="8"/>
      </bottom>
      <diagonal/>
    </border>
    <border>
      <left/>
      <right/>
      <top style="hair">
        <color indexed="8"/>
      </top>
      <bottom style="thin">
        <color indexed="8"/>
      </bottom>
      <diagonal/>
    </border>
    <border>
      <left/>
      <right style="hair">
        <color indexed="8"/>
      </right>
      <top style="hair">
        <color indexed="8"/>
      </top>
      <bottom style="thin">
        <color indexed="8"/>
      </bottom>
      <diagonal/>
    </border>
    <border>
      <left style="thin">
        <color indexed="63"/>
      </left>
      <right/>
      <top style="medium">
        <color indexed="8"/>
      </top>
      <bottom style="thin">
        <color indexed="8"/>
      </bottom>
      <diagonal/>
    </border>
    <border>
      <left/>
      <right/>
      <top style="medium">
        <color indexed="8"/>
      </top>
      <bottom style="thin">
        <color indexed="8"/>
      </bottom>
      <diagonal/>
    </border>
    <border>
      <left/>
      <right style="thin">
        <color indexed="63"/>
      </right>
      <top style="medium">
        <color indexed="8"/>
      </top>
      <bottom style="thin">
        <color indexed="8"/>
      </bottom>
      <diagonal/>
    </border>
    <border>
      <left/>
      <right/>
      <top style="thin">
        <color indexed="63"/>
      </top>
      <bottom style="thin">
        <color indexed="9"/>
      </bottom>
      <diagonal/>
    </border>
    <border>
      <left style="thin">
        <color indexed="8"/>
      </left>
      <right/>
      <top/>
      <bottom style="thin">
        <color indexed="63"/>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3"/>
      </left>
      <right/>
      <top/>
      <bottom style="thin">
        <color indexed="9"/>
      </bottom>
      <diagonal/>
    </border>
    <border>
      <left/>
      <right/>
      <top/>
      <bottom style="thin">
        <color indexed="9"/>
      </bottom>
      <diagonal/>
    </border>
    <border>
      <left style="thin">
        <color indexed="8"/>
      </left>
      <right/>
      <top/>
      <bottom style="thin">
        <color indexed="8"/>
      </bottom>
      <diagonal/>
    </border>
    <border>
      <left/>
      <right/>
      <top/>
      <bottom style="thin">
        <color indexed="8"/>
      </bottom>
      <diagonal/>
    </border>
    <border>
      <left style="thin">
        <color indexed="23"/>
      </left>
      <right/>
      <top style="hair">
        <color indexed="50"/>
      </top>
      <bottom style="hair">
        <color indexed="50"/>
      </bottom>
      <diagonal/>
    </border>
    <border>
      <left/>
      <right/>
      <top style="hair">
        <color indexed="50"/>
      </top>
      <bottom style="hair">
        <color indexed="50"/>
      </bottom>
      <diagonal/>
    </border>
    <border>
      <left/>
      <right style="thin">
        <color indexed="64"/>
      </right>
      <top style="hair">
        <color indexed="50"/>
      </top>
      <bottom style="hair">
        <color indexed="50"/>
      </bottom>
      <diagonal/>
    </border>
    <border>
      <left style="thin">
        <color indexed="23"/>
      </left>
      <right/>
      <top style="hair">
        <color indexed="50"/>
      </top>
      <bottom style="thin">
        <color indexed="64"/>
      </bottom>
      <diagonal/>
    </border>
    <border>
      <left/>
      <right/>
      <top style="hair">
        <color indexed="50"/>
      </top>
      <bottom style="thin">
        <color indexed="64"/>
      </bottom>
      <diagonal/>
    </border>
    <border>
      <left/>
      <right style="thin">
        <color indexed="64"/>
      </right>
      <top style="hair">
        <color indexed="50"/>
      </top>
      <bottom style="thin">
        <color indexed="64"/>
      </bottom>
      <diagonal/>
    </border>
    <border>
      <left style="thin">
        <color indexed="23"/>
      </left>
      <right/>
      <top style="thin">
        <color indexed="63"/>
      </top>
      <bottom style="thin">
        <color indexed="63"/>
      </bottom>
      <diagonal/>
    </border>
    <border>
      <left style="thin">
        <color indexed="64"/>
      </left>
      <right style="thin">
        <color indexed="23"/>
      </right>
      <top style="thin">
        <color indexed="63"/>
      </top>
      <bottom/>
      <diagonal/>
    </border>
    <border>
      <left style="thin">
        <color indexed="23"/>
      </left>
      <right style="thin">
        <color indexed="23"/>
      </right>
      <top style="thin">
        <color indexed="63"/>
      </top>
      <bottom/>
      <diagonal/>
    </border>
    <border>
      <left style="thin">
        <color indexed="23"/>
      </left>
      <right/>
      <top style="thin">
        <color indexed="63"/>
      </top>
      <bottom style="thin">
        <color indexed="64"/>
      </bottom>
      <diagonal/>
    </border>
    <border>
      <left style="thin">
        <color indexed="23"/>
      </left>
      <right/>
      <top style="thin">
        <color indexed="64"/>
      </top>
      <bottom style="hair">
        <color indexed="50"/>
      </bottom>
      <diagonal/>
    </border>
    <border>
      <left/>
      <right/>
      <top style="thin">
        <color indexed="64"/>
      </top>
      <bottom style="hair">
        <color indexed="50"/>
      </bottom>
      <diagonal/>
    </border>
    <border>
      <left/>
      <right style="thin">
        <color indexed="64"/>
      </right>
      <top style="thin">
        <color indexed="64"/>
      </top>
      <bottom style="hair">
        <color indexed="50"/>
      </bottom>
      <diagonal/>
    </border>
    <border>
      <left style="thin">
        <color indexed="8"/>
      </left>
      <right/>
      <top style="medium">
        <color indexed="8"/>
      </top>
      <bottom style="thin">
        <color indexed="8"/>
      </bottom>
      <diagonal/>
    </border>
    <border>
      <left style="hair">
        <color indexed="8"/>
      </left>
      <right style="hair">
        <color indexed="8"/>
      </right>
      <top/>
      <bottom style="hair">
        <color indexed="8"/>
      </bottom>
      <diagonal/>
    </border>
    <border>
      <left style="hair">
        <color indexed="8"/>
      </left>
      <right/>
      <top style="hair">
        <color indexed="8"/>
      </top>
      <bottom style="medium">
        <color indexed="8"/>
      </bottom>
      <diagonal/>
    </border>
    <border>
      <left/>
      <right/>
      <top style="hair">
        <color indexed="8"/>
      </top>
      <bottom style="medium">
        <color indexed="8"/>
      </bottom>
      <diagonal/>
    </border>
    <border>
      <left/>
      <right style="hair">
        <color indexed="8"/>
      </right>
      <top style="hair">
        <color indexed="8"/>
      </top>
      <bottom style="medium">
        <color indexed="8"/>
      </bottom>
      <diagonal/>
    </border>
    <border>
      <left style="hair">
        <color indexed="8"/>
      </left>
      <right style="hair">
        <color indexed="8"/>
      </right>
      <top style="medium">
        <color indexed="8"/>
      </top>
      <bottom/>
      <diagonal/>
    </border>
    <border>
      <left style="hair">
        <color indexed="8"/>
      </left>
      <right style="thin">
        <color indexed="8"/>
      </right>
      <top style="medium">
        <color indexed="8"/>
      </top>
      <bottom/>
      <diagonal/>
    </border>
    <border>
      <left style="hair">
        <color indexed="8"/>
      </left>
      <right style="thin">
        <color indexed="8"/>
      </right>
      <top style="hair">
        <color indexed="8"/>
      </top>
      <bottom style="hair">
        <color indexed="8"/>
      </bottom>
      <diagonal/>
    </border>
    <border>
      <left style="thin">
        <color indexed="63"/>
      </left>
      <right/>
      <top style="hair">
        <color indexed="63"/>
      </top>
      <bottom style="thin">
        <color indexed="63"/>
      </bottom>
      <diagonal/>
    </border>
    <border>
      <left/>
      <right/>
      <top style="hair">
        <color indexed="63"/>
      </top>
      <bottom style="thin">
        <color indexed="63"/>
      </bottom>
      <diagonal/>
    </border>
    <border>
      <left/>
      <right style="thin">
        <color indexed="63"/>
      </right>
      <top style="hair">
        <color indexed="63"/>
      </top>
      <bottom style="thin">
        <color indexed="63"/>
      </bottom>
      <diagonal/>
    </border>
    <border>
      <left/>
      <right style="thin">
        <color indexed="8"/>
      </right>
      <top/>
      <bottom/>
      <diagonal/>
    </border>
    <border>
      <left/>
      <right style="thin">
        <color indexed="63"/>
      </right>
      <top/>
      <bottom style="thin">
        <color indexed="8"/>
      </bottom>
      <diagonal/>
    </border>
    <border>
      <left style="thin">
        <color indexed="63"/>
      </left>
      <right/>
      <top/>
      <bottom style="thin">
        <color indexed="8"/>
      </bottom>
      <diagonal/>
    </border>
    <border>
      <left style="thin">
        <color indexed="63"/>
      </left>
      <right style="thin">
        <color indexed="63"/>
      </right>
      <top/>
      <bottom/>
      <diagonal/>
    </border>
    <border>
      <left/>
      <right style="thin">
        <color indexed="63"/>
      </right>
      <top/>
      <bottom style="thin">
        <color indexed="9"/>
      </bottom>
      <diagonal/>
    </border>
    <border>
      <left/>
      <right style="thin">
        <color indexed="63"/>
      </right>
      <top style="thin">
        <color indexed="23"/>
      </top>
      <bottom/>
      <diagonal/>
    </border>
    <border>
      <left style="thin">
        <color indexed="23"/>
      </left>
      <right/>
      <top/>
      <bottom style="thin">
        <color indexed="23"/>
      </bottom>
      <diagonal/>
    </border>
    <border>
      <left/>
      <right style="thin">
        <color indexed="63"/>
      </right>
      <top style="thin">
        <color indexed="64"/>
      </top>
      <bottom style="thin">
        <color indexed="63"/>
      </bottom>
      <diagonal/>
    </border>
    <border>
      <left style="thin">
        <color indexed="64"/>
      </left>
      <right style="thin">
        <color indexed="63"/>
      </right>
      <top style="thin">
        <color indexed="63"/>
      </top>
      <bottom style="thin">
        <color indexed="63"/>
      </bottom>
      <diagonal/>
    </border>
    <border>
      <left style="thin">
        <color indexed="63"/>
      </left>
      <right/>
      <top style="thin">
        <color indexed="23"/>
      </top>
      <bottom style="thin">
        <color indexed="55"/>
      </bottom>
      <diagonal/>
    </border>
    <border>
      <left/>
      <right/>
      <top style="thin">
        <color indexed="23"/>
      </top>
      <bottom style="thin">
        <color indexed="55"/>
      </bottom>
      <diagonal/>
    </border>
    <border>
      <left/>
      <right style="thin">
        <color indexed="63"/>
      </right>
      <top style="thin">
        <color indexed="23"/>
      </top>
      <bottom style="thin">
        <color indexed="55"/>
      </bottom>
      <diagonal/>
    </border>
    <border>
      <left style="thin">
        <color indexed="64"/>
      </left>
      <right style="thin">
        <color indexed="63"/>
      </right>
      <top style="thin">
        <color indexed="64"/>
      </top>
      <bottom style="thin">
        <color indexed="64"/>
      </bottom>
      <diagonal/>
    </border>
    <border>
      <left style="thin">
        <color indexed="63"/>
      </left>
      <right style="thin">
        <color indexed="64"/>
      </right>
      <top style="thin">
        <color indexed="64"/>
      </top>
      <bottom style="thin">
        <color indexed="64"/>
      </bottom>
      <diagonal/>
    </border>
    <border>
      <left style="thin">
        <color indexed="63"/>
      </left>
      <right style="thin">
        <color indexed="63"/>
      </right>
      <top style="thin">
        <color indexed="63"/>
      </top>
      <bottom style="hair">
        <color indexed="63"/>
      </bottom>
      <diagonal/>
    </border>
    <border>
      <left style="thin">
        <color indexed="63"/>
      </left>
      <right style="thin">
        <color indexed="63"/>
      </right>
      <top style="hair">
        <color indexed="63"/>
      </top>
      <bottom style="hair">
        <color indexed="63"/>
      </bottom>
      <diagonal/>
    </border>
    <border>
      <left style="thin">
        <color indexed="63"/>
      </left>
      <right style="thin">
        <color indexed="63"/>
      </right>
      <top style="hair">
        <color indexed="63"/>
      </top>
      <bottom style="thin">
        <color indexed="63"/>
      </bottom>
      <diagonal/>
    </border>
    <border>
      <left style="thin">
        <color indexed="63"/>
      </left>
      <right/>
      <top/>
      <bottom style="hair">
        <color indexed="44"/>
      </bottom>
      <diagonal/>
    </border>
    <border>
      <left/>
      <right/>
      <top/>
      <bottom style="hair">
        <color indexed="44"/>
      </bottom>
      <diagonal/>
    </border>
    <border>
      <left/>
      <right style="thin">
        <color indexed="63"/>
      </right>
      <top/>
      <bottom style="hair">
        <color indexed="44"/>
      </bottom>
      <diagonal/>
    </border>
    <border>
      <left style="thin">
        <color indexed="63"/>
      </left>
      <right/>
      <top/>
      <bottom style="thin">
        <color indexed="23"/>
      </bottom>
      <diagonal/>
    </border>
    <border>
      <left/>
      <right style="thin">
        <color indexed="23"/>
      </right>
      <top/>
      <bottom style="thin">
        <color indexed="23"/>
      </bottom>
      <diagonal/>
    </border>
    <border>
      <left style="thin">
        <color indexed="63"/>
      </left>
      <right/>
      <top style="thin">
        <color indexed="63"/>
      </top>
      <bottom style="hair">
        <color indexed="23"/>
      </bottom>
      <diagonal/>
    </border>
    <border>
      <left/>
      <right/>
      <top style="thin">
        <color indexed="63"/>
      </top>
      <bottom style="hair">
        <color indexed="23"/>
      </bottom>
      <diagonal/>
    </border>
    <border>
      <left/>
      <right style="thin">
        <color indexed="63"/>
      </right>
      <top style="thin">
        <color indexed="63"/>
      </top>
      <bottom style="hair">
        <color indexed="23"/>
      </bottom>
      <diagonal/>
    </border>
    <border>
      <left style="thin">
        <color indexed="63"/>
      </left>
      <right/>
      <top style="hair">
        <color indexed="44"/>
      </top>
      <bottom/>
      <diagonal/>
    </border>
    <border>
      <left/>
      <right/>
      <top style="hair">
        <color indexed="44"/>
      </top>
      <bottom/>
      <diagonal/>
    </border>
    <border>
      <left/>
      <right style="thin">
        <color indexed="63"/>
      </right>
      <top style="hair">
        <color indexed="44"/>
      </top>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23"/>
      </right>
      <top style="thin">
        <color indexed="64"/>
      </top>
      <bottom style="thin">
        <color indexed="23"/>
      </bottom>
      <diagonal/>
    </border>
    <border>
      <left style="thin">
        <color indexed="23"/>
      </left>
      <right style="thin">
        <color indexed="64"/>
      </right>
      <top style="thin">
        <color indexed="64"/>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style="thin">
        <color indexed="23"/>
      </right>
      <top style="thin">
        <color indexed="23"/>
      </top>
      <bottom style="thin">
        <color indexed="64"/>
      </bottom>
      <diagonal/>
    </border>
    <border>
      <left style="thin">
        <color indexed="23"/>
      </left>
      <right style="thin">
        <color indexed="64"/>
      </right>
      <top style="thin">
        <color indexed="23"/>
      </top>
      <bottom style="thin">
        <color indexed="64"/>
      </bottom>
      <diagonal/>
    </border>
    <border>
      <left/>
      <right/>
      <top style="thin">
        <color indexed="23"/>
      </top>
      <bottom style="hair">
        <color indexed="23"/>
      </bottom>
      <diagonal/>
    </border>
    <border>
      <left/>
      <right style="thin">
        <color indexed="63"/>
      </right>
      <top style="thin">
        <color indexed="23"/>
      </top>
      <bottom style="hair">
        <color indexed="23"/>
      </bottom>
      <diagonal/>
    </border>
    <border>
      <left/>
      <right/>
      <top/>
      <bottom style="thin">
        <color indexed="22"/>
      </bottom>
      <diagonal/>
    </border>
    <border>
      <left/>
      <right style="thin">
        <color indexed="63"/>
      </right>
      <top/>
      <bottom style="thin">
        <color indexed="22"/>
      </bottom>
      <diagonal/>
    </border>
    <border>
      <left style="thin">
        <color indexed="23"/>
      </left>
      <right style="thin">
        <color indexed="23"/>
      </right>
      <top style="thin">
        <color indexed="63"/>
      </top>
      <bottom style="thin">
        <color indexed="63"/>
      </bottom>
      <diagonal/>
    </border>
    <border>
      <left/>
      <right style="thin">
        <color indexed="9"/>
      </right>
      <top/>
      <bottom/>
      <diagonal/>
    </border>
    <border>
      <left style="thin">
        <color indexed="63"/>
      </left>
      <right/>
      <top style="thin">
        <color indexed="23"/>
      </top>
      <bottom style="hair">
        <color indexed="44"/>
      </bottom>
      <diagonal/>
    </border>
    <border>
      <left/>
      <right/>
      <top style="thin">
        <color indexed="23"/>
      </top>
      <bottom style="hair">
        <color indexed="44"/>
      </bottom>
      <diagonal/>
    </border>
    <border>
      <left/>
      <right style="thin">
        <color indexed="63"/>
      </right>
      <top style="thin">
        <color indexed="23"/>
      </top>
      <bottom style="hair">
        <color indexed="44"/>
      </bottom>
      <diagonal/>
    </border>
    <border>
      <left style="thin">
        <color indexed="63"/>
      </left>
      <right/>
      <top style="hair">
        <color indexed="44"/>
      </top>
      <bottom style="hair">
        <color indexed="44"/>
      </bottom>
      <diagonal/>
    </border>
    <border>
      <left/>
      <right/>
      <top style="hair">
        <color indexed="44"/>
      </top>
      <bottom style="hair">
        <color indexed="44"/>
      </bottom>
      <diagonal/>
    </border>
    <border>
      <left/>
      <right style="thin">
        <color indexed="63"/>
      </right>
      <top style="hair">
        <color indexed="44"/>
      </top>
      <bottom style="hair">
        <color indexed="44"/>
      </bottom>
      <diagonal/>
    </border>
    <border>
      <left/>
      <right style="thin">
        <color indexed="23"/>
      </right>
      <top/>
      <bottom/>
      <diagonal/>
    </border>
    <border>
      <left/>
      <right style="thin">
        <color indexed="63"/>
      </right>
      <top style="thin">
        <color indexed="63"/>
      </top>
      <bottom style="thin">
        <color indexed="9"/>
      </bottom>
      <diagonal/>
    </border>
    <border>
      <left style="thin">
        <color indexed="23"/>
      </left>
      <right style="thin">
        <color indexed="23"/>
      </right>
      <top/>
      <bottom style="thin">
        <color indexed="23"/>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9"/>
      </left>
      <right/>
      <top/>
      <bottom style="thin">
        <color indexed="63"/>
      </bottom>
      <diagonal/>
    </border>
    <border>
      <left style="thin">
        <color indexed="64"/>
      </left>
      <right style="thin">
        <color indexed="63"/>
      </right>
      <top/>
      <bottom style="thin">
        <color indexed="63"/>
      </bottom>
      <diagonal/>
    </border>
    <border>
      <left style="thin">
        <color indexed="64"/>
      </left>
      <right/>
      <top style="thin">
        <color indexed="63"/>
      </top>
      <bottom/>
      <diagonal/>
    </border>
    <border>
      <left style="thin">
        <color indexed="64"/>
      </left>
      <right style="thin">
        <color indexed="23"/>
      </right>
      <top style="thin">
        <color indexed="63"/>
      </top>
      <bottom style="thin">
        <color indexed="63"/>
      </bottom>
      <diagonal/>
    </border>
    <border>
      <left style="thin">
        <color indexed="63"/>
      </left>
      <right style="thin">
        <color indexed="23"/>
      </right>
      <top style="thin">
        <color indexed="63"/>
      </top>
      <bottom style="thin">
        <color indexed="23"/>
      </bottom>
      <diagonal/>
    </border>
    <border>
      <left style="thin">
        <color indexed="23"/>
      </left>
      <right style="thin">
        <color indexed="23"/>
      </right>
      <top style="thin">
        <color indexed="63"/>
      </top>
      <bottom style="thin">
        <color indexed="23"/>
      </bottom>
      <diagonal/>
    </border>
    <border>
      <left style="thin">
        <color indexed="23"/>
      </left>
      <right style="thin">
        <color indexed="63"/>
      </right>
      <top style="thin">
        <color indexed="63"/>
      </top>
      <bottom style="thin">
        <color indexed="23"/>
      </bottom>
      <diagonal/>
    </border>
    <border>
      <left style="thin">
        <color indexed="63"/>
      </left>
      <right style="thin">
        <color indexed="23"/>
      </right>
      <top/>
      <bottom style="thin">
        <color indexed="63"/>
      </bottom>
      <diagonal/>
    </border>
    <border>
      <left style="thin">
        <color indexed="23"/>
      </left>
      <right style="thin">
        <color indexed="23"/>
      </right>
      <top/>
      <bottom style="thin">
        <color indexed="63"/>
      </bottom>
      <diagonal/>
    </border>
    <border>
      <left style="thin">
        <color indexed="23"/>
      </left>
      <right style="thin">
        <color indexed="23"/>
      </right>
      <top/>
      <bottom/>
      <diagonal/>
    </border>
    <border>
      <left style="thin">
        <color indexed="23"/>
      </left>
      <right style="thin">
        <color indexed="63"/>
      </right>
      <top/>
      <bottom style="thin">
        <color indexed="63"/>
      </bottom>
      <diagonal/>
    </border>
    <border>
      <left/>
      <right/>
      <top style="hair">
        <color indexed="23"/>
      </top>
      <bottom/>
      <diagonal/>
    </border>
    <border>
      <left style="thin">
        <color indexed="63"/>
      </left>
      <right style="thin">
        <color indexed="23"/>
      </right>
      <top style="thin">
        <color indexed="23"/>
      </top>
      <bottom style="hair">
        <color theme="6"/>
      </bottom>
      <diagonal/>
    </border>
    <border>
      <left style="thin">
        <color indexed="23"/>
      </left>
      <right style="thin">
        <color indexed="23"/>
      </right>
      <top style="thin">
        <color indexed="23"/>
      </top>
      <bottom style="hair">
        <color theme="6"/>
      </bottom>
      <diagonal/>
    </border>
    <border>
      <left style="thin">
        <color indexed="23"/>
      </left>
      <right style="thin">
        <color indexed="63"/>
      </right>
      <top style="thin">
        <color indexed="23"/>
      </top>
      <bottom style="hair">
        <color theme="6"/>
      </bottom>
      <diagonal/>
    </border>
    <border>
      <left style="thin">
        <color indexed="63"/>
      </left>
      <right style="thin">
        <color indexed="23"/>
      </right>
      <top style="hair">
        <color theme="6"/>
      </top>
      <bottom style="hair">
        <color theme="6"/>
      </bottom>
      <diagonal/>
    </border>
    <border>
      <left style="thin">
        <color indexed="23"/>
      </left>
      <right style="thin">
        <color indexed="23"/>
      </right>
      <top style="hair">
        <color theme="6"/>
      </top>
      <bottom style="hair">
        <color theme="6"/>
      </bottom>
      <diagonal/>
    </border>
    <border>
      <left style="thin">
        <color indexed="23"/>
      </left>
      <right style="thin">
        <color indexed="63"/>
      </right>
      <top style="hair">
        <color theme="6"/>
      </top>
      <bottom style="hair">
        <color theme="6"/>
      </bottom>
      <diagonal/>
    </border>
    <border>
      <left style="thin">
        <color indexed="63"/>
      </left>
      <right style="thin">
        <color indexed="23"/>
      </right>
      <top style="hair">
        <color theme="6"/>
      </top>
      <bottom style="thin">
        <color indexed="23"/>
      </bottom>
      <diagonal/>
    </border>
    <border>
      <left style="thin">
        <color indexed="23"/>
      </left>
      <right style="thin">
        <color indexed="23"/>
      </right>
      <top style="hair">
        <color theme="6"/>
      </top>
      <bottom style="thin">
        <color indexed="23"/>
      </bottom>
      <diagonal/>
    </border>
    <border>
      <left style="thin">
        <color indexed="23"/>
      </left>
      <right style="thin">
        <color indexed="63"/>
      </right>
      <top style="hair">
        <color theme="6"/>
      </top>
      <bottom style="thin">
        <color indexed="23"/>
      </bottom>
      <diagonal/>
    </border>
    <border>
      <left/>
      <right/>
      <top/>
      <bottom style="hair">
        <color indexed="64"/>
      </bottom>
      <diagonal/>
    </border>
    <border>
      <left/>
      <right style="thin">
        <color auto="1"/>
      </right>
      <top/>
      <bottom style="hair">
        <color indexed="64"/>
      </bottom>
      <diagonal/>
    </border>
    <border>
      <left/>
      <right/>
      <top style="thin">
        <color indexed="64"/>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style="thin">
        <color indexed="23"/>
      </right>
      <top style="hair">
        <color indexed="63"/>
      </top>
      <bottom style="hair">
        <color indexed="63"/>
      </bottom>
      <diagonal/>
    </border>
    <border>
      <left style="thin">
        <color indexed="63"/>
      </left>
      <right/>
      <top style="hair">
        <color indexed="63"/>
      </top>
      <bottom style="thin">
        <color indexed="23"/>
      </bottom>
      <diagonal/>
    </border>
    <border>
      <left/>
      <right/>
      <top style="hair">
        <color indexed="63"/>
      </top>
      <bottom style="thin">
        <color indexed="23"/>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1"/>
      </top>
      <bottom style="thin">
        <color theme="0"/>
      </bottom>
      <diagonal/>
    </border>
    <border>
      <left/>
      <right/>
      <top style="thin">
        <color indexed="8"/>
      </top>
      <bottom style="thin">
        <color indexed="64"/>
      </bottom>
      <diagonal/>
    </border>
    <border>
      <left style="hair">
        <color indexed="8"/>
      </left>
      <right style="hair">
        <color indexed="8"/>
      </right>
      <top style="hair">
        <color indexed="8"/>
      </top>
      <bottom style="medium">
        <color indexed="8"/>
      </bottom>
      <diagonal/>
    </border>
    <border>
      <left style="thin">
        <color indexed="63"/>
      </left>
      <right/>
      <top style="hair">
        <color indexed="44"/>
      </top>
      <bottom style="thin">
        <color indexed="63"/>
      </bottom>
      <diagonal/>
    </border>
    <border>
      <left/>
      <right/>
      <top style="hair">
        <color indexed="44"/>
      </top>
      <bottom style="thin">
        <color indexed="63"/>
      </bottom>
      <diagonal/>
    </border>
    <border>
      <left/>
      <right style="thin">
        <color indexed="63"/>
      </right>
      <top style="hair">
        <color indexed="44"/>
      </top>
      <bottom style="thin">
        <color indexed="63"/>
      </bottom>
      <diagonal/>
    </border>
    <border>
      <left style="thin">
        <color indexed="64"/>
      </left>
      <right/>
      <top/>
      <bottom style="thin">
        <color indexed="23"/>
      </bottom>
      <diagonal/>
    </border>
    <border>
      <left/>
      <right style="thin">
        <color indexed="64"/>
      </right>
      <top/>
      <bottom style="thin">
        <color indexed="23"/>
      </bottom>
      <diagonal/>
    </border>
    <border>
      <left style="thin">
        <color indexed="64"/>
      </left>
      <right style="thin">
        <color indexed="23"/>
      </right>
      <top style="thin">
        <color indexed="23"/>
      </top>
      <bottom style="hair">
        <color indexed="23"/>
      </bottom>
      <diagonal/>
    </border>
    <border>
      <left style="thin">
        <color indexed="23"/>
      </left>
      <right style="thin">
        <color indexed="64"/>
      </right>
      <top style="thin">
        <color indexed="23"/>
      </top>
      <bottom style="hair">
        <color indexed="23"/>
      </bottom>
      <diagonal/>
    </border>
    <border>
      <left style="thin">
        <color indexed="64"/>
      </left>
      <right/>
      <top style="hair">
        <color indexed="23"/>
      </top>
      <bottom style="hair">
        <color indexed="23"/>
      </bottom>
      <diagonal/>
    </border>
    <border>
      <left/>
      <right style="thin">
        <color indexed="64"/>
      </right>
      <top style="hair">
        <color indexed="23"/>
      </top>
      <bottom style="hair">
        <color indexed="23"/>
      </bottom>
      <diagonal/>
    </border>
    <border>
      <left style="thin">
        <color indexed="64"/>
      </left>
      <right/>
      <top style="hair">
        <color indexed="23"/>
      </top>
      <bottom/>
      <diagonal/>
    </border>
    <border>
      <left/>
      <right style="thin">
        <color indexed="64"/>
      </right>
      <top style="hair">
        <color indexed="23"/>
      </top>
      <bottom/>
      <diagonal/>
    </border>
    <border>
      <left style="thin">
        <color indexed="64"/>
      </left>
      <right style="thin">
        <color theme="1" tint="0.34998626667073579"/>
      </right>
      <top style="thin">
        <color theme="1" tint="0.34998626667073579"/>
      </top>
      <bottom style="thin">
        <color theme="1" tint="0.34998626667073579"/>
      </bottom>
      <diagonal/>
    </border>
    <border>
      <left style="thin">
        <color theme="1" tint="0.34998626667073579"/>
      </left>
      <right style="thin">
        <color indexed="64"/>
      </right>
      <top style="thin">
        <color theme="1" tint="0.34998626667073579"/>
      </top>
      <bottom style="thin">
        <color theme="1" tint="0.34998626667073579"/>
      </bottom>
      <diagonal/>
    </border>
    <border>
      <left style="thin">
        <color indexed="23"/>
      </left>
      <right style="thin">
        <color indexed="64"/>
      </right>
      <top/>
      <bottom style="thin">
        <color indexed="23"/>
      </bottom>
      <diagonal/>
    </border>
    <border>
      <left style="thin">
        <color indexed="64"/>
      </left>
      <right/>
      <top style="thin">
        <color indexed="23"/>
      </top>
      <bottom style="thin">
        <color indexed="23"/>
      </bottom>
      <diagonal/>
    </border>
    <border>
      <left/>
      <right style="thin">
        <color indexed="64"/>
      </right>
      <top style="thin">
        <color indexed="23"/>
      </top>
      <bottom style="thin">
        <color indexed="23"/>
      </bottom>
      <diagonal/>
    </border>
    <border>
      <left/>
      <right/>
      <top style="thin">
        <color indexed="63"/>
      </top>
      <bottom style="thin">
        <color indexed="64"/>
      </bottom>
      <diagonal/>
    </border>
    <border>
      <left style="thin">
        <color indexed="63"/>
      </left>
      <right style="thin">
        <color indexed="63"/>
      </right>
      <top style="thin">
        <color indexed="63"/>
      </top>
      <bottom style="thin">
        <color indexed="64"/>
      </bottom>
      <diagonal/>
    </border>
    <border>
      <left style="thin">
        <color indexed="63"/>
      </left>
      <right/>
      <top style="thin">
        <color indexed="63"/>
      </top>
      <bottom style="thin">
        <color indexed="63"/>
      </bottom>
      <diagonal/>
    </border>
    <border>
      <left/>
      <right/>
      <top style="thin">
        <color indexed="63"/>
      </top>
      <bottom style="thin">
        <color indexed="63"/>
      </bottom>
      <diagonal/>
    </border>
    <border>
      <left/>
      <right style="thin">
        <color indexed="63"/>
      </right>
      <top style="thin">
        <color indexed="63"/>
      </top>
      <bottom style="thin">
        <color indexed="64"/>
      </bottom>
      <diagonal/>
    </border>
    <border>
      <left style="thin">
        <color indexed="63"/>
      </left>
      <right/>
      <top style="thin">
        <color indexed="63"/>
      </top>
      <bottom style="thin">
        <color indexed="64"/>
      </bottom>
      <diagonal/>
    </border>
    <border>
      <left style="thin">
        <color indexed="63"/>
      </left>
      <right/>
      <top style="thin">
        <color indexed="64"/>
      </top>
      <bottom/>
      <diagonal/>
    </border>
    <border>
      <left/>
      <right style="thin">
        <color indexed="64"/>
      </right>
      <top style="thin">
        <color indexed="64"/>
      </top>
      <bottom/>
      <diagonal/>
    </border>
    <border>
      <left/>
      <right style="thin">
        <color indexed="63"/>
      </right>
      <top style="thin">
        <color indexed="64"/>
      </top>
      <bottom/>
      <diagonal/>
    </border>
    <border>
      <left style="thin">
        <color indexed="63"/>
      </left>
      <right style="thin">
        <color indexed="63"/>
      </right>
      <top style="thin">
        <color indexed="63"/>
      </top>
      <bottom/>
      <diagonal/>
    </border>
    <border>
      <left style="thin">
        <color indexed="63"/>
      </left>
      <right/>
      <top style="thin">
        <color indexed="63"/>
      </top>
      <bottom/>
      <diagonal/>
    </border>
    <border>
      <left/>
      <right/>
      <top style="thin">
        <color indexed="63"/>
      </top>
      <bottom/>
      <diagonal/>
    </border>
    <border>
      <left/>
      <right style="thin">
        <color indexed="63"/>
      </right>
      <top style="thin">
        <color indexed="63"/>
      </top>
      <bottom/>
      <diagonal/>
    </border>
    <border>
      <left style="thin">
        <color indexed="63"/>
      </left>
      <right style="thin">
        <color indexed="63"/>
      </right>
      <top style="thin">
        <color indexed="63"/>
      </top>
      <bottom style="thin">
        <color indexed="63"/>
      </bottom>
      <diagonal/>
    </border>
    <border>
      <left/>
      <right style="thin">
        <color indexed="63"/>
      </right>
      <top style="thin">
        <color indexed="63"/>
      </top>
      <bottom style="thin">
        <color indexed="63"/>
      </bottom>
      <diagonal/>
    </border>
    <border>
      <left style="thin">
        <color indexed="63"/>
      </left>
      <right style="thin">
        <color indexed="22"/>
      </right>
      <top style="thin">
        <color indexed="63"/>
      </top>
      <bottom/>
      <diagonal/>
    </border>
    <border>
      <left style="thin">
        <color indexed="22"/>
      </left>
      <right style="thin">
        <color indexed="22"/>
      </right>
      <top style="thin">
        <color indexed="63"/>
      </top>
      <bottom/>
      <diagonal/>
    </border>
    <border>
      <left style="thin">
        <color indexed="22"/>
      </left>
      <right style="thin">
        <color indexed="63"/>
      </right>
      <top style="thin">
        <color indexed="63"/>
      </top>
      <bottom/>
      <diagonal/>
    </border>
    <border>
      <left style="thin">
        <color indexed="63"/>
      </left>
      <right style="thin">
        <color indexed="22"/>
      </right>
      <top/>
      <bottom style="thin">
        <color indexed="63"/>
      </bottom>
      <diagonal/>
    </border>
    <border>
      <left style="thin">
        <color indexed="22"/>
      </left>
      <right style="thin">
        <color indexed="22"/>
      </right>
      <top/>
      <bottom style="thin">
        <color indexed="63"/>
      </bottom>
      <diagonal/>
    </border>
    <border>
      <left style="thin">
        <color indexed="22"/>
      </left>
      <right style="thin">
        <color indexed="63"/>
      </right>
      <top/>
      <bottom style="thin">
        <color indexed="63"/>
      </bottom>
      <diagonal/>
    </border>
    <border>
      <left style="thin">
        <color indexed="23"/>
      </left>
      <right style="thin">
        <color indexed="23"/>
      </right>
      <top style="thin">
        <color indexed="23"/>
      </top>
      <bottom style="hair">
        <color indexed="23"/>
      </bottom>
      <diagonal/>
    </border>
    <border>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23"/>
      </right>
      <top style="thin">
        <color indexed="23"/>
      </top>
      <bottom style="thin">
        <color indexed="23"/>
      </bottom>
      <diagonal/>
    </border>
    <border>
      <left style="thin">
        <color indexed="23"/>
      </left>
      <right/>
      <top style="thin">
        <color indexed="23"/>
      </top>
      <bottom style="thin">
        <color indexed="23"/>
      </bottom>
      <diagonal/>
    </border>
    <border>
      <left style="thin">
        <color indexed="64"/>
      </left>
      <right/>
      <top style="thin">
        <color indexed="23"/>
      </top>
      <bottom style="thin">
        <color indexed="64"/>
      </bottom>
      <diagonal/>
    </border>
    <border>
      <left/>
      <right/>
      <top style="thin">
        <color indexed="23"/>
      </top>
      <bottom style="thin">
        <color indexed="64"/>
      </bottom>
      <diagonal/>
    </border>
    <border>
      <left/>
      <right style="thin">
        <color indexed="23"/>
      </right>
      <top style="thin">
        <color indexed="23"/>
      </top>
      <bottom style="thin">
        <color indexed="64"/>
      </bottom>
      <diagonal/>
    </border>
    <border>
      <left style="thin">
        <color indexed="23"/>
      </left>
      <right style="thin">
        <color indexed="23"/>
      </right>
      <top style="thin">
        <color indexed="23"/>
      </top>
      <bottom style="thin">
        <color indexed="64"/>
      </bottom>
      <diagonal/>
    </border>
    <border>
      <left style="thin">
        <color indexed="23"/>
      </left>
      <right style="thin">
        <color indexed="64"/>
      </right>
      <top style="thin">
        <color indexed="23"/>
      </top>
      <bottom style="thin">
        <color indexed="64"/>
      </bottom>
      <diagonal/>
    </border>
    <border>
      <left/>
      <right/>
      <top style="thin">
        <color indexed="23"/>
      </top>
      <bottom/>
      <diagonal/>
    </border>
    <border>
      <left style="thin">
        <color indexed="23"/>
      </left>
      <right style="thin">
        <color indexed="23"/>
      </right>
      <top style="thin">
        <color indexed="23"/>
      </top>
      <bottom/>
      <diagonal/>
    </border>
    <border>
      <left/>
      <right style="thin">
        <color indexed="23"/>
      </right>
      <top style="thin">
        <color indexed="63"/>
      </top>
      <bottom/>
      <diagonal/>
    </border>
    <border>
      <left/>
      <right/>
      <top style="thin">
        <color indexed="22"/>
      </top>
      <bottom/>
      <diagonal/>
    </border>
    <border>
      <left/>
      <right style="thin">
        <color indexed="63"/>
      </right>
      <top style="thin">
        <color indexed="22"/>
      </top>
      <bottom/>
      <diagonal/>
    </border>
    <border>
      <left style="thin">
        <color indexed="63"/>
      </left>
      <right style="thin">
        <color indexed="23"/>
      </right>
      <top style="thin">
        <color indexed="23"/>
      </top>
      <bottom style="thin">
        <color indexed="23"/>
      </bottom>
      <diagonal/>
    </border>
    <border>
      <left style="thin">
        <color indexed="63"/>
      </left>
      <right style="thin">
        <color indexed="23"/>
      </right>
      <top style="thin">
        <color indexed="23"/>
      </top>
      <bottom/>
      <diagonal/>
    </border>
    <border>
      <left style="thin">
        <color indexed="23"/>
      </left>
      <right style="thin">
        <color indexed="23"/>
      </right>
      <top style="thin">
        <color indexed="63"/>
      </top>
      <bottom style="thin">
        <color indexed="23"/>
      </bottom>
      <diagonal/>
    </border>
    <border>
      <left style="thin">
        <color indexed="23"/>
      </left>
      <right style="thin">
        <color indexed="63"/>
      </right>
      <top style="thin">
        <color indexed="63"/>
      </top>
      <bottom style="thin">
        <color indexed="23"/>
      </bottom>
      <diagonal/>
    </border>
    <border>
      <left style="thin">
        <color indexed="63"/>
      </left>
      <right/>
      <top style="thin">
        <color indexed="64"/>
      </top>
      <bottom style="thin">
        <color indexed="64"/>
      </bottom>
      <diagonal/>
    </border>
    <border>
      <left style="thin">
        <color indexed="63"/>
      </left>
      <right style="thin">
        <color indexed="23"/>
      </right>
      <top style="thin">
        <color indexed="63"/>
      </top>
      <bottom style="thin">
        <color indexed="63"/>
      </bottom>
      <diagonal/>
    </border>
    <border>
      <left style="thin">
        <color indexed="23"/>
      </left>
      <right style="thin">
        <color indexed="23"/>
      </right>
      <top style="thin">
        <color indexed="63"/>
      </top>
      <bottom style="thin">
        <color indexed="63"/>
      </bottom>
      <diagonal/>
    </border>
    <border>
      <left style="thin">
        <color indexed="63"/>
      </left>
      <right/>
      <top style="thin">
        <color indexed="9"/>
      </top>
      <bottom style="thin">
        <color indexed="9"/>
      </bottom>
      <diagonal/>
    </border>
    <border>
      <left/>
      <right/>
      <top style="thin">
        <color indexed="9"/>
      </top>
      <bottom style="thin">
        <color indexed="9"/>
      </bottom>
      <diagonal/>
    </border>
    <border>
      <left/>
      <right style="thin">
        <color indexed="9"/>
      </right>
      <top style="thin">
        <color indexed="9"/>
      </top>
      <bottom style="thin">
        <color indexed="9"/>
      </bottom>
      <diagonal/>
    </border>
    <border>
      <left style="thin">
        <color indexed="9"/>
      </left>
      <right/>
      <top style="thin">
        <color indexed="9"/>
      </top>
      <bottom style="thin">
        <color indexed="9"/>
      </bottom>
      <diagonal/>
    </border>
    <border>
      <left/>
      <right style="thin">
        <color indexed="63"/>
      </right>
      <top style="thin">
        <color indexed="9"/>
      </top>
      <bottom style="thin">
        <color indexed="9"/>
      </bottom>
      <diagonal/>
    </border>
    <border>
      <left style="thin">
        <color indexed="63"/>
      </left>
      <right style="thin">
        <color indexed="9"/>
      </right>
      <top style="thin">
        <color indexed="9"/>
      </top>
      <bottom style="thin">
        <color indexed="9"/>
      </bottom>
      <diagonal/>
    </border>
    <border>
      <left style="thin">
        <color indexed="9"/>
      </left>
      <right style="thin">
        <color indexed="9"/>
      </right>
      <top style="thin">
        <color indexed="9"/>
      </top>
      <bottom style="thin">
        <color indexed="9"/>
      </bottom>
      <diagonal/>
    </border>
    <border>
      <left style="thin">
        <color indexed="9"/>
      </left>
      <right style="thin">
        <color indexed="63"/>
      </right>
      <top style="thin">
        <color indexed="9"/>
      </top>
      <bottom style="thin">
        <color indexed="9"/>
      </bottom>
      <diagonal/>
    </border>
    <border>
      <left style="thin">
        <color indexed="63"/>
      </left>
      <right/>
      <top style="thin">
        <color indexed="9"/>
      </top>
      <bottom/>
      <diagonal/>
    </border>
    <border>
      <left/>
      <right/>
      <top style="thin">
        <color indexed="9"/>
      </top>
      <bottom/>
      <diagonal/>
    </border>
    <border>
      <left/>
      <right style="thin">
        <color indexed="9"/>
      </right>
      <top style="thin">
        <color indexed="9"/>
      </top>
      <bottom/>
      <diagonal/>
    </border>
    <border>
      <left/>
      <right style="thin">
        <color indexed="9"/>
      </right>
      <top/>
      <bottom style="thin">
        <color indexed="63"/>
      </bottom>
      <diagonal/>
    </border>
    <border>
      <left style="thin">
        <color indexed="9"/>
      </left>
      <right style="thin">
        <color indexed="9"/>
      </right>
      <top style="thin">
        <color indexed="9"/>
      </top>
      <bottom style="thin">
        <color indexed="63"/>
      </bottom>
      <diagonal/>
    </border>
    <border>
      <left style="thin">
        <color indexed="9"/>
      </left>
      <right style="thin">
        <color indexed="63"/>
      </right>
      <top style="thin">
        <color indexed="9"/>
      </top>
      <bottom style="thin">
        <color indexed="63"/>
      </bottom>
      <diagonal/>
    </border>
    <border>
      <left style="thin">
        <color indexed="63"/>
      </left>
      <right/>
      <top style="thin">
        <color indexed="63"/>
      </top>
      <bottom style="hair">
        <color indexed="63"/>
      </bottom>
      <diagonal/>
    </border>
    <border>
      <left/>
      <right/>
      <top style="thin">
        <color indexed="63"/>
      </top>
      <bottom style="hair">
        <color indexed="63"/>
      </bottom>
      <diagonal/>
    </border>
    <border>
      <left/>
      <right style="thin">
        <color indexed="63"/>
      </right>
      <top style="thin">
        <color indexed="63"/>
      </top>
      <bottom style="hair">
        <color indexed="63"/>
      </bottom>
      <diagonal/>
    </border>
    <border>
      <left style="thin">
        <color indexed="63"/>
      </left>
      <right style="thin">
        <color indexed="9"/>
      </right>
      <top style="thin">
        <color indexed="63"/>
      </top>
      <bottom style="thin">
        <color indexed="63"/>
      </bottom>
      <diagonal/>
    </border>
    <border>
      <left style="thin">
        <color indexed="9"/>
      </left>
      <right style="thin">
        <color indexed="9"/>
      </right>
      <top style="thin">
        <color indexed="63"/>
      </top>
      <bottom style="thin">
        <color indexed="63"/>
      </bottom>
      <diagonal/>
    </border>
    <border>
      <left style="thin">
        <color indexed="9"/>
      </left>
      <right style="thin">
        <color indexed="63"/>
      </right>
      <top style="thin">
        <color indexed="63"/>
      </top>
      <bottom style="thin">
        <color indexed="63"/>
      </bottom>
      <diagonal/>
    </border>
    <border>
      <left style="thin">
        <color indexed="63"/>
      </left>
      <right/>
      <top style="thin">
        <color indexed="63"/>
      </top>
      <bottom style="thin">
        <color indexed="9"/>
      </bottom>
      <diagonal/>
    </border>
    <border>
      <left/>
      <right/>
      <top style="thin">
        <color indexed="63"/>
      </top>
      <bottom style="thin">
        <color indexed="9"/>
      </bottom>
      <diagonal/>
    </border>
    <border>
      <left/>
      <right style="thin">
        <color indexed="63"/>
      </right>
      <top style="thin">
        <color indexed="63"/>
      </top>
      <bottom style="thin">
        <color indexed="9"/>
      </bottom>
      <diagonal/>
    </border>
    <border>
      <left style="thin">
        <color indexed="63"/>
      </left>
      <right style="thin">
        <color indexed="9"/>
      </right>
      <top style="thin">
        <color indexed="9"/>
      </top>
      <bottom style="thin">
        <color indexed="63"/>
      </bottom>
      <diagonal/>
    </border>
    <border>
      <left/>
      <right style="thin">
        <color indexed="63"/>
      </right>
      <top style="thin">
        <color indexed="9"/>
      </top>
      <bottom/>
      <diagonal/>
    </border>
    <border>
      <left/>
      <right/>
      <top style="thin">
        <color indexed="9"/>
      </top>
      <bottom style="thin">
        <color indexed="63"/>
      </bottom>
      <diagonal/>
    </border>
    <border>
      <left/>
      <right style="thin">
        <color indexed="63"/>
      </right>
      <top style="thin">
        <color indexed="9"/>
      </top>
      <bottom style="thin">
        <color indexed="63"/>
      </bottom>
      <diagonal/>
    </border>
    <border>
      <left/>
      <right style="thin">
        <color indexed="9"/>
      </right>
      <top style="thin">
        <color indexed="63"/>
      </top>
      <bottom style="thin">
        <color indexed="63"/>
      </bottom>
      <diagonal/>
    </border>
    <border>
      <left style="thin">
        <color indexed="9"/>
      </left>
      <right/>
      <top style="thin">
        <color indexed="63"/>
      </top>
      <bottom style="thin">
        <color indexed="63"/>
      </bottom>
      <diagonal/>
    </border>
    <border>
      <left style="thin">
        <color indexed="63"/>
      </left>
      <right style="thin">
        <color indexed="63"/>
      </right>
      <top style="thin">
        <color indexed="64"/>
      </top>
      <bottom style="thin">
        <color indexed="64"/>
      </bottom>
      <diagonal/>
    </border>
    <border>
      <left style="thin">
        <color indexed="63"/>
      </left>
      <right style="thin">
        <color indexed="9"/>
      </right>
      <top style="thin">
        <color indexed="63"/>
      </top>
      <bottom style="thin">
        <color indexed="9"/>
      </bottom>
      <diagonal/>
    </border>
    <border>
      <left style="thin">
        <color indexed="9"/>
      </left>
      <right style="thin">
        <color indexed="9"/>
      </right>
      <top style="thin">
        <color indexed="63"/>
      </top>
      <bottom style="thin">
        <color indexed="9"/>
      </bottom>
      <diagonal/>
    </border>
    <border>
      <left style="thin">
        <color indexed="9"/>
      </left>
      <right style="thin">
        <color indexed="63"/>
      </right>
      <top style="thin">
        <color indexed="63"/>
      </top>
      <bottom style="thin">
        <color indexed="9"/>
      </bottom>
      <diagonal/>
    </border>
    <border>
      <left style="thin">
        <color indexed="63"/>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3"/>
      </right>
      <top style="thin">
        <color indexed="64"/>
      </top>
      <bottom/>
      <diagonal/>
    </border>
    <border>
      <left style="thin">
        <color indexed="63"/>
      </left>
      <right style="thin">
        <color theme="0"/>
      </right>
      <top style="thin">
        <color theme="1"/>
      </top>
      <bottom style="thin">
        <color theme="0"/>
      </bottom>
      <diagonal/>
    </border>
    <border>
      <left style="thin">
        <color theme="0"/>
      </left>
      <right style="thin">
        <color indexed="63"/>
      </right>
      <top style="thin">
        <color theme="1"/>
      </top>
      <bottom style="thin">
        <color theme="0"/>
      </bottom>
      <diagonal/>
    </border>
    <border>
      <left style="thin">
        <color indexed="63"/>
      </left>
      <right style="thin">
        <color theme="0"/>
      </right>
      <top style="thin">
        <color theme="0"/>
      </top>
      <bottom style="thin">
        <color theme="0"/>
      </bottom>
      <diagonal/>
    </border>
    <border>
      <left style="thin">
        <color theme="0"/>
      </left>
      <right style="thin">
        <color indexed="63"/>
      </right>
      <top style="thin">
        <color theme="0"/>
      </top>
      <bottom style="thin">
        <color theme="0"/>
      </bottom>
      <diagonal/>
    </border>
    <border>
      <left style="thin">
        <color indexed="63"/>
      </left>
      <right style="thin">
        <color theme="0"/>
      </right>
      <top style="thin">
        <color theme="0"/>
      </top>
      <bottom style="thin">
        <color indexed="63"/>
      </bottom>
      <diagonal/>
    </border>
    <border>
      <left style="thin">
        <color theme="0"/>
      </left>
      <right style="thin">
        <color theme="0"/>
      </right>
      <top style="thin">
        <color theme="0"/>
      </top>
      <bottom style="thin">
        <color indexed="63"/>
      </bottom>
      <diagonal/>
    </border>
    <border>
      <left style="thin">
        <color theme="0"/>
      </left>
      <right style="thin">
        <color indexed="63"/>
      </right>
      <top style="thin">
        <color theme="0"/>
      </top>
      <bottom style="thin">
        <color indexed="63"/>
      </bottom>
      <diagonal/>
    </border>
    <border>
      <left style="thin">
        <color indexed="8"/>
      </left>
      <right/>
      <top style="thin">
        <color indexed="8"/>
      </top>
      <bottom style="thin">
        <color indexed="64"/>
      </bottom>
      <diagonal/>
    </border>
    <border>
      <left/>
      <right style="thin">
        <color indexed="8"/>
      </right>
      <top style="thin">
        <color indexed="8"/>
      </top>
      <bottom style="thin">
        <color indexed="64"/>
      </bottom>
      <diagonal/>
    </border>
    <border>
      <left style="thin">
        <color indexed="8"/>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style="thin">
        <color indexed="23"/>
      </right>
      <top style="thin">
        <color indexed="64"/>
      </top>
      <bottom style="thin">
        <color indexed="64"/>
      </bottom>
      <diagonal/>
    </border>
    <border>
      <left/>
      <right style="thin">
        <color indexed="8"/>
      </right>
      <top/>
      <bottom style="thin">
        <color indexed="23"/>
      </bottom>
      <diagonal/>
    </border>
    <border>
      <left/>
      <right style="thin">
        <color indexed="8"/>
      </right>
      <top style="thin">
        <color indexed="23"/>
      </top>
      <bottom style="thin">
        <color indexed="23"/>
      </bottom>
      <diagonal/>
    </border>
    <border>
      <left/>
      <right/>
      <top style="thin">
        <color indexed="23"/>
      </top>
      <bottom style="thin">
        <color indexed="63"/>
      </bottom>
      <diagonal/>
    </border>
    <border>
      <left/>
      <right style="thin">
        <color indexed="8"/>
      </right>
      <top style="thin">
        <color indexed="23"/>
      </top>
      <bottom style="thin">
        <color indexed="63"/>
      </bottom>
      <diagonal/>
    </border>
    <border>
      <left/>
      <right style="thin">
        <color indexed="8"/>
      </right>
      <top style="thin">
        <color indexed="63"/>
      </top>
      <bottom/>
      <diagonal/>
    </border>
    <border>
      <left/>
      <right style="thin">
        <color indexed="8"/>
      </right>
      <top/>
      <bottom style="thin">
        <color indexed="63"/>
      </bottom>
      <diagonal/>
    </border>
    <border>
      <left style="thin">
        <color indexed="8"/>
      </left>
      <right style="thin">
        <color indexed="9"/>
      </right>
      <top style="thin">
        <color indexed="63"/>
      </top>
      <bottom style="thin">
        <color indexed="9"/>
      </bottom>
      <diagonal/>
    </border>
    <border>
      <left style="thin">
        <color indexed="63"/>
      </left>
      <right style="thin">
        <color indexed="8"/>
      </right>
      <top style="thin">
        <color indexed="63"/>
      </top>
      <bottom style="thin">
        <color indexed="63"/>
      </bottom>
      <diagonal/>
    </border>
    <border>
      <left style="thin">
        <color indexed="8"/>
      </left>
      <right style="thin">
        <color indexed="9"/>
      </right>
      <top style="thin">
        <color indexed="9"/>
      </top>
      <bottom style="thin">
        <color indexed="63"/>
      </bottom>
      <diagonal/>
    </border>
    <border>
      <left style="thin">
        <color indexed="8"/>
      </left>
      <right style="thin">
        <color indexed="9"/>
      </right>
      <top style="thin">
        <color indexed="63"/>
      </top>
      <bottom style="thin">
        <color indexed="63"/>
      </bottom>
      <diagonal/>
    </border>
    <border>
      <left style="thin">
        <color indexed="8"/>
      </left>
      <right/>
      <top/>
      <bottom style="thin">
        <color indexed="9"/>
      </bottom>
      <diagonal/>
    </border>
    <border>
      <left/>
      <right style="thin">
        <color indexed="8"/>
      </right>
      <top/>
      <bottom style="thin">
        <color indexed="9"/>
      </bottom>
      <diagonal/>
    </border>
    <border>
      <left style="thin">
        <color indexed="8"/>
      </left>
      <right style="thin">
        <color indexed="9"/>
      </right>
      <top/>
      <bottom style="thin">
        <color indexed="9"/>
      </bottom>
      <diagonal/>
    </border>
    <border>
      <left style="thin">
        <color indexed="9"/>
      </left>
      <right style="thin">
        <color indexed="8"/>
      </right>
      <top style="thin">
        <color indexed="9"/>
      </top>
      <bottom style="thin">
        <color indexed="9"/>
      </bottom>
      <diagonal/>
    </border>
    <border>
      <left style="thin">
        <color indexed="8"/>
      </left>
      <right style="thin">
        <color indexed="9"/>
      </right>
      <top style="thin">
        <color indexed="9"/>
      </top>
      <bottom style="thin">
        <color indexed="9"/>
      </bottom>
      <diagonal/>
    </border>
    <border>
      <left style="thin">
        <color indexed="8"/>
      </left>
      <right style="thin">
        <color indexed="9"/>
      </right>
      <top style="thin">
        <color indexed="9"/>
      </top>
      <bottom/>
      <diagonal/>
    </border>
    <border>
      <left style="thin">
        <color indexed="9"/>
      </left>
      <right style="thin">
        <color indexed="9"/>
      </right>
      <top style="thin">
        <color indexed="9"/>
      </top>
      <bottom/>
      <diagonal/>
    </border>
    <border>
      <left style="thin">
        <color indexed="9"/>
      </left>
      <right style="thin">
        <color indexed="8"/>
      </right>
      <top style="thin">
        <color indexed="9"/>
      </top>
      <bottom/>
      <diagonal/>
    </border>
    <border>
      <left style="thin">
        <color indexed="64"/>
      </left>
      <right style="thin">
        <color indexed="9"/>
      </right>
      <top/>
      <bottom style="thin">
        <color indexed="8"/>
      </bottom>
      <diagonal/>
    </border>
    <border>
      <left style="thin">
        <color indexed="9"/>
      </left>
      <right style="thin">
        <color indexed="9"/>
      </right>
      <top/>
      <bottom style="thin">
        <color indexed="8"/>
      </bottom>
      <diagonal/>
    </border>
    <border>
      <left style="thin">
        <color indexed="9"/>
      </left>
      <right style="thin">
        <color indexed="64"/>
      </right>
      <top/>
      <bottom style="thin">
        <color indexed="8"/>
      </bottom>
      <diagonal/>
    </border>
    <border>
      <left style="thin">
        <color indexed="64"/>
      </left>
      <right style="thin">
        <color indexed="9"/>
      </right>
      <top style="thin">
        <color indexed="9"/>
      </top>
      <bottom style="thin">
        <color indexed="9"/>
      </bottom>
      <diagonal/>
    </border>
    <border>
      <left style="thin">
        <color indexed="9"/>
      </left>
      <right style="thin">
        <color indexed="64"/>
      </right>
      <top style="thin">
        <color indexed="9"/>
      </top>
      <bottom style="thin">
        <color indexed="9"/>
      </bottom>
      <diagonal/>
    </border>
    <border>
      <left style="thin">
        <color indexed="64"/>
      </left>
      <right style="thin">
        <color indexed="9"/>
      </right>
      <top style="thin">
        <color indexed="9"/>
      </top>
      <bottom style="thin">
        <color indexed="64"/>
      </bottom>
      <diagonal/>
    </border>
    <border>
      <left style="thin">
        <color indexed="9"/>
      </left>
      <right style="thin">
        <color indexed="9"/>
      </right>
      <top style="thin">
        <color indexed="9"/>
      </top>
      <bottom style="thin">
        <color indexed="64"/>
      </bottom>
      <diagonal/>
    </border>
    <border>
      <left style="thin">
        <color indexed="9"/>
      </left>
      <right style="thin">
        <color indexed="64"/>
      </right>
      <top style="thin">
        <color indexed="9"/>
      </top>
      <bottom style="thin">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63"/>
      </bottom>
      <diagonal/>
    </border>
    <border>
      <left/>
      <right/>
      <top style="thin">
        <color indexed="8"/>
      </top>
      <bottom style="thin">
        <color indexed="63"/>
      </bottom>
      <diagonal/>
    </border>
    <border>
      <left/>
      <right style="thin">
        <color indexed="8"/>
      </right>
      <top style="thin">
        <color indexed="8"/>
      </top>
      <bottom style="thin">
        <color indexed="63"/>
      </bottom>
      <diagonal/>
    </border>
    <border>
      <left style="thin">
        <color indexed="8"/>
      </left>
      <right style="thin">
        <color indexed="63"/>
      </right>
      <top style="thin">
        <color indexed="63"/>
      </top>
      <bottom style="thin">
        <color indexed="63"/>
      </bottom>
      <diagonal/>
    </border>
    <border>
      <left/>
      <right style="thin">
        <color indexed="8"/>
      </right>
      <top style="thin">
        <color indexed="63"/>
      </top>
      <bottom style="thin">
        <color indexed="63"/>
      </bottom>
      <diagonal/>
    </border>
    <border>
      <left style="thin">
        <color indexed="8"/>
      </left>
      <right/>
      <top style="thin">
        <color indexed="63"/>
      </top>
      <bottom/>
      <diagonal/>
    </border>
    <border>
      <left/>
      <right style="thin">
        <color indexed="8"/>
      </right>
      <top style="thin">
        <color indexed="63"/>
      </top>
      <bottom style="hair">
        <color indexed="63"/>
      </bottom>
      <diagonal/>
    </border>
    <border>
      <left/>
      <right style="thin">
        <color indexed="8"/>
      </right>
      <top style="hair">
        <color indexed="63"/>
      </top>
      <bottom style="hair">
        <color indexed="63"/>
      </bottom>
      <diagonal/>
    </border>
    <border>
      <left/>
      <right style="thin">
        <color indexed="8"/>
      </right>
      <top style="hair">
        <color indexed="63"/>
      </top>
      <bottom style="thin">
        <color indexed="63"/>
      </bottom>
      <diagonal/>
    </border>
    <border>
      <left style="thin">
        <color indexed="8"/>
      </left>
      <right/>
      <top/>
      <bottom style="thin">
        <color indexed="64"/>
      </bottom>
      <diagonal/>
    </border>
    <border>
      <left/>
      <right style="thin">
        <color indexed="8"/>
      </right>
      <top/>
      <bottom style="thin">
        <color indexed="8"/>
      </bottom>
      <diagonal/>
    </border>
    <border>
      <left style="thin">
        <color indexed="8"/>
      </left>
      <right style="thin">
        <color indexed="9"/>
      </right>
      <top style="thin">
        <color indexed="8"/>
      </top>
      <bottom style="thin">
        <color indexed="8"/>
      </bottom>
      <diagonal/>
    </border>
    <border>
      <left style="thin">
        <color indexed="9"/>
      </left>
      <right style="thin">
        <color indexed="9"/>
      </right>
      <top style="thin">
        <color indexed="8"/>
      </top>
      <bottom style="thin">
        <color indexed="8"/>
      </bottom>
      <diagonal/>
    </border>
    <border>
      <left style="thin">
        <color indexed="9"/>
      </left>
      <right/>
      <top style="thin">
        <color indexed="8"/>
      </top>
      <bottom style="thin">
        <color indexed="8"/>
      </bottom>
      <diagonal/>
    </border>
    <border>
      <left/>
      <right style="hair">
        <color indexed="8"/>
      </right>
      <top style="thin">
        <color indexed="8"/>
      </top>
      <bottom style="thin">
        <color indexed="8"/>
      </bottom>
      <diagonal/>
    </border>
    <border>
      <left style="hair">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hair">
        <color indexed="8"/>
      </right>
      <top style="thin">
        <color indexed="8"/>
      </top>
      <bottom/>
      <diagonal/>
    </border>
    <border>
      <left style="hair">
        <color indexed="8"/>
      </left>
      <right style="hair">
        <color indexed="8"/>
      </right>
      <top style="thin">
        <color indexed="8"/>
      </top>
      <bottom style="hair">
        <color indexed="8"/>
      </bottom>
      <diagonal/>
    </border>
    <border>
      <left style="hair">
        <color indexed="8"/>
      </left>
      <right/>
      <top style="thin">
        <color indexed="8"/>
      </top>
      <bottom style="hair">
        <color indexed="8"/>
      </bottom>
      <diagonal/>
    </border>
    <border>
      <left/>
      <right/>
      <top style="thin">
        <color indexed="8"/>
      </top>
      <bottom style="hair">
        <color indexed="8"/>
      </bottom>
      <diagonal/>
    </border>
    <border>
      <left/>
      <right style="hair">
        <color indexed="8"/>
      </right>
      <top style="thin">
        <color indexed="8"/>
      </top>
      <bottom style="hair">
        <color indexed="8"/>
      </bottom>
      <diagonal/>
    </border>
    <border>
      <left/>
      <right style="thin">
        <color indexed="8"/>
      </right>
      <top style="thin">
        <color indexed="8"/>
      </top>
      <bottom style="hair">
        <color indexed="8"/>
      </bottom>
      <diagonal/>
    </border>
    <border>
      <left/>
      <right style="hair">
        <color indexed="8"/>
      </right>
      <top style="thin">
        <color indexed="63"/>
      </top>
      <bottom/>
      <diagonal/>
    </border>
    <border>
      <left style="hair">
        <color indexed="8"/>
      </left>
      <right style="hair">
        <color indexed="8"/>
      </right>
      <top style="thin">
        <color indexed="63"/>
      </top>
      <bottom style="hair">
        <color indexed="8"/>
      </bottom>
      <diagonal/>
    </border>
    <border>
      <left/>
      <right style="thin">
        <color indexed="8"/>
      </right>
      <top style="hair">
        <color indexed="8"/>
      </top>
      <bottom style="hair">
        <color indexed="8"/>
      </bottom>
      <diagonal/>
    </border>
    <border>
      <left style="hair">
        <color indexed="8"/>
      </left>
      <right style="thin">
        <color indexed="8"/>
      </right>
      <top style="hair">
        <color indexed="8"/>
      </top>
      <bottom style="medium">
        <color indexed="8"/>
      </bottom>
      <diagonal/>
    </border>
    <border>
      <left style="thin">
        <color indexed="9"/>
      </left>
      <right style="thin">
        <color indexed="9"/>
      </right>
      <top style="thin">
        <color indexed="8"/>
      </top>
      <bottom/>
      <diagonal/>
    </border>
    <border>
      <left style="thin">
        <color indexed="9"/>
      </left>
      <right style="hair">
        <color indexed="8"/>
      </right>
      <top style="thin">
        <color indexed="8"/>
      </top>
      <bottom style="thin">
        <color indexed="8"/>
      </bottom>
      <diagonal/>
    </border>
    <border>
      <left/>
      <right style="hair">
        <color indexed="8"/>
      </right>
      <top style="thin">
        <color indexed="64"/>
      </top>
      <bottom/>
      <diagonal/>
    </border>
    <border>
      <left style="hair">
        <color indexed="8"/>
      </left>
      <right style="thin">
        <color indexed="8"/>
      </right>
      <top style="thin">
        <color indexed="8"/>
      </top>
      <bottom style="hair">
        <color indexed="8"/>
      </bottom>
      <diagonal/>
    </border>
    <border>
      <left style="hair">
        <color indexed="8"/>
      </left>
      <right style="thin">
        <color indexed="8"/>
      </right>
      <top style="hair">
        <color indexed="8"/>
      </top>
      <bottom style="thin">
        <color indexed="8"/>
      </bottom>
      <diagonal/>
    </border>
    <border>
      <left style="thin">
        <color indexed="63"/>
      </left>
      <right/>
      <top style="thin">
        <color indexed="8"/>
      </top>
      <bottom style="thin">
        <color indexed="8"/>
      </bottom>
      <diagonal/>
    </border>
    <border>
      <left style="thin">
        <color indexed="63"/>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23"/>
      </right>
      <top style="thin">
        <color indexed="63"/>
      </top>
      <bottom style="hair">
        <color indexed="63"/>
      </bottom>
      <diagonal/>
    </border>
    <border>
      <left style="thin">
        <color indexed="23"/>
      </left>
      <right/>
      <top style="thin">
        <color indexed="63"/>
      </top>
      <bottom style="hair">
        <color indexed="63"/>
      </bottom>
      <diagonal/>
    </border>
    <border>
      <left style="thin">
        <color indexed="63"/>
      </left>
      <right style="thin">
        <color indexed="64"/>
      </right>
      <top style="hair">
        <color indexed="63"/>
      </top>
      <bottom style="hair">
        <color indexed="63"/>
      </bottom>
      <diagonal/>
    </border>
    <border>
      <left style="thin">
        <color indexed="64"/>
      </left>
      <right style="thin">
        <color indexed="64"/>
      </right>
      <top style="hair">
        <color indexed="63"/>
      </top>
      <bottom style="hair">
        <color indexed="63"/>
      </bottom>
      <diagonal/>
    </border>
    <border>
      <left style="thin">
        <color indexed="23"/>
      </left>
      <right style="thin">
        <color indexed="23"/>
      </right>
      <top style="hair">
        <color indexed="63"/>
      </top>
      <bottom style="hair">
        <color indexed="63"/>
      </bottom>
      <diagonal/>
    </border>
    <border>
      <left style="thin">
        <color indexed="23"/>
      </left>
      <right/>
      <top style="hair">
        <color indexed="63"/>
      </top>
      <bottom style="hair">
        <color indexed="63"/>
      </bottom>
      <diagonal/>
    </border>
    <border>
      <left style="thin">
        <color indexed="64"/>
      </left>
      <right style="thin">
        <color indexed="63"/>
      </right>
      <top/>
      <bottom style="thin">
        <color indexed="64"/>
      </bottom>
      <diagonal/>
    </border>
    <border>
      <left style="thin">
        <color indexed="63"/>
      </left>
      <right style="thin">
        <color indexed="64"/>
      </right>
      <top style="hair">
        <color indexed="63"/>
      </top>
      <bottom style="thin">
        <color indexed="63"/>
      </bottom>
      <diagonal/>
    </border>
    <border>
      <left style="thin">
        <color indexed="64"/>
      </left>
      <right style="thin">
        <color indexed="64"/>
      </right>
      <top style="hair">
        <color indexed="63"/>
      </top>
      <bottom style="thin">
        <color indexed="63"/>
      </bottom>
      <diagonal/>
    </border>
    <border>
      <left style="thin">
        <color indexed="63"/>
      </left>
      <right style="thin">
        <color indexed="63"/>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indexed="63"/>
      </left>
      <right style="thin">
        <color indexed="63"/>
      </right>
      <top style="thin">
        <color auto="1"/>
      </top>
      <bottom/>
      <diagonal/>
    </border>
    <border>
      <left style="thin">
        <color indexed="63"/>
      </left>
      <right style="thin">
        <color auto="1"/>
      </right>
      <top style="thin">
        <color indexed="64"/>
      </top>
      <bottom style="thin">
        <color auto="1"/>
      </bottom>
      <diagonal/>
    </border>
    <border>
      <left/>
      <right style="thin">
        <color auto="1"/>
      </right>
      <top style="thin">
        <color indexed="63"/>
      </top>
      <bottom style="thin">
        <color indexed="63"/>
      </bottom>
      <diagonal/>
    </border>
    <border>
      <left style="thin">
        <color auto="1"/>
      </left>
      <right/>
      <top style="thin">
        <color indexed="63"/>
      </top>
      <bottom style="thin">
        <color indexed="63"/>
      </bottom>
      <diagonal/>
    </border>
    <border>
      <left/>
      <right style="thin">
        <color indexed="8"/>
      </right>
      <top/>
      <bottom style="thin">
        <color indexed="64"/>
      </bottom>
      <diagonal/>
    </border>
    <border>
      <left style="thin">
        <color indexed="63"/>
      </left>
      <right/>
      <top style="thin">
        <color indexed="64"/>
      </top>
      <bottom style="thin">
        <color indexed="63"/>
      </bottom>
      <diagonal/>
    </border>
    <border>
      <left/>
      <right/>
      <top style="thin">
        <color indexed="64"/>
      </top>
      <bottom style="thin">
        <color indexed="63"/>
      </bottom>
      <diagonal/>
    </border>
    <border>
      <left/>
      <right style="thin">
        <color indexed="63"/>
      </right>
      <top style="thin">
        <color indexed="64"/>
      </top>
      <bottom style="thin">
        <color indexed="63"/>
      </bottom>
      <diagonal/>
    </border>
    <border>
      <left style="thin">
        <color indexed="63"/>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3"/>
      </left>
      <right style="thin">
        <color indexed="23"/>
      </right>
      <top style="thin">
        <color indexed="64"/>
      </top>
      <bottom style="thin">
        <color indexed="64"/>
      </bottom>
      <diagonal/>
    </border>
    <border>
      <left style="thin">
        <color indexed="23"/>
      </left>
      <right style="thin">
        <color indexed="64"/>
      </right>
      <top style="thin">
        <color indexed="64"/>
      </top>
      <bottom style="thin">
        <color indexed="64"/>
      </bottom>
      <diagonal/>
    </border>
    <border>
      <left/>
      <right style="thin">
        <color indexed="63"/>
      </right>
      <top style="hair">
        <color indexed="63"/>
      </top>
      <bottom style="thin">
        <color indexed="23"/>
      </bottom>
      <diagonal/>
    </border>
    <border>
      <left/>
      <right style="thin">
        <color indexed="64"/>
      </right>
      <top style="thin">
        <color indexed="63"/>
      </top>
      <bottom/>
      <diagonal/>
    </border>
    <border>
      <left/>
      <right style="thin">
        <color indexed="63"/>
      </right>
      <top style="thin">
        <color indexed="64"/>
      </top>
      <bottom style="thin">
        <color indexed="64"/>
      </bottom>
      <diagonal/>
    </border>
    <border>
      <left style="thin">
        <color indexed="63"/>
      </left>
      <right style="thin">
        <color indexed="64"/>
      </right>
      <top style="thin">
        <color indexed="64"/>
      </top>
      <bottom style="thin">
        <color indexed="63"/>
      </bottom>
      <diagonal/>
    </border>
    <border>
      <left style="thin">
        <color indexed="64"/>
      </left>
      <right style="thin">
        <color indexed="64"/>
      </right>
      <top style="thin">
        <color indexed="64"/>
      </top>
      <bottom style="thin">
        <color indexed="63"/>
      </bottom>
      <diagonal/>
    </border>
    <border>
      <left style="thin">
        <color indexed="64"/>
      </left>
      <right/>
      <top style="thin">
        <color indexed="64"/>
      </top>
      <bottom style="thin">
        <color indexed="63"/>
      </bottom>
      <diagonal/>
    </border>
    <border>
      <left/>
      <right style="thin">
        <color indexed="64"/>
      </right>
      <top style="thin">
        <color indexed="64"/>
      </top>
      <bottom style="thin">
        <color indexed="63"/>
      </bottom>
      <diagonal/>
    </border>
  </borders>
  <cellStyleXfs count="55">
    <xf numFmtId="0" fontId="0"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43" fontId="20" fillId="0" borderId="0" applyFont="0" applyFill="0" applyBorder="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20" fillId="0" borderId="0"/>
    <xf numFmtId="0" fontId="24" fillId="0" borderId="0"/>
    <xf numFmtId="0" fontId="25" fillId="0" borderId="0"/>
    <xf numFmtId="0" fontId="1" fillId="23" borderId="7" applyNumberFormat="0" applyFont="0" applyAlignment="0" applyProtection="0"/>
    <xf numFmtId="0" fontId="16" fillId="20" borderId="8" applyNumberFormat="0" applyAlignment="0" applyProtection="0"/>
    <xf numFmtId="9" fontId="1" fillId="0" borderId="0" applyFont="0" applyFill="0" applyBorder="0" applyAlignment="0" applyProtection="0"/>
    <xf numFmtId="9" fontId="20"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1" fillId="0" borderId="0"/>
    <xf numFmtId="0" fontId="2" fillId="0" borderId="0" applyNumberFormat="0" applyFill="0" applyBorder="0" applyAlignment="0" applyProtection="0">
      <alignment vertical="top"/>
      <protection locked="0"/>
    </xf>
    <xf numFmtId="0" fontId="25" fillId="0" borderId="0"/>
    <xf numFmtId="0" fontId="1" fillId="0" borderId="0"/>
    <xf numFmtId="0" fontId="1" fillId="0" borderId="0"/>
    <xf numFmtId="9" fontId="1" fillId="0" borderId="0" applyFont="0" applyFill="0" applyBorder="0" applyAlignment="0" applyProtection="0"/>
  </cellStyleXfs>
  <cellXfs count="1844">
    <xf numFmtId="0" fontId="0" fillId="0" borderId="0" xfId="0"/>
    <xf numFmtId="0" fontId="21" fillId="0" borderId="0" xfId="0" applyFont="1" applyFill="1" applyBorder="1"/>
    <xf numFmtId="0" fontId="21" fillId="0" borderId="0" xfId="0" applyFont="1" applyFill="1" applyBorder="1" applyAlignment="1">
      <alignment wrapText="1"/>
    </xf>
    <xf numFmtId="3" fontId="21" fillId="0" borderId="0" xfId="0" applyNumberFormat="1" applyFont="1" applyFill="1" applyBorder="1" applyAlignment="1">
      <alignment horizontal="right" vertical="center" wrapText="1"/>
    </xf>
    <xf numFmtId="164" fontId="21" fillId="0" borderId="0" xfId="0" applyNumberFormat="1" applyFont="1" applyFill="1" applyBorder="1" applyAlignment="1">
      <alignment horizontal="right" vertical="center" wrapText="1"/>
    </xf>
    <xf numFmtId="49" fontId="22" fillId="0" borderId="0" xfId="0" applyNumberFormat="1" applyFont="1" applyFill="1" applyBorder="1" applyAlignment="1">
      <alignment horizontal="right" vertical="center" wrapText="1"/>
    </xf>
    <xf numFmtId="1" fontId="22" fillId="0" borderId="0" xfId="0" applyNumberFormat="1" applyFont="1" applyFill="1" applyBorder="1" applyAlignment="1">
      <alignment horizontal="right" vertical="center" wrapText="1"/>
    </xf>
    <xf numFmtId="0" fontId="23" fillId="0" borderId="0" xfId="0" applyFont="1" applyFill="1" applyBorder="1" applyAlignment="1">
      <alignment horizontal="right" vertical="center"/>
    </xf>
    <xf numFmtId="164" fontId="23" fillId="0" borderId="0" xfId="0" applyNumberFormat="1" applyFont="1" applyFill="1" applyBorder="1" applyAlignment="1">
      <alignment horizontal="right" vertical="center"/>
    </xf>
    <xf numFmtId="0" fontId="26" fillId="0" borderId="0" xfId="0" applyFont="1" applyFill="1" applyBorder="1" applyAlignment="1">
      <alignment vertical="center"/>
    </xf>
    <xf numFmtId="0" fontId="27" fillId="0" borderId="0" xfId="0" applyFont="1" applyFill="1" applyBorder="1" applyAlignment="1">
      <alignment vertical="center"/>
    </xf>
    <xf numFmtId="0" fontId="36" fillId="33" borderId="0" xfId="0" applyFont="1" applyFill="1" applyBorder="1" applyAlignment="1">
      <alignment vertical="center" wrapText="1"/>
    </xf>
    <xf numFmtId="3" fontId="27" fillId="0" borderId="24" xfId="0" applyNumberFormat="1" applyFont="1" applyBorder="1" applyAlignment="1">
      <alignment horizontal="center" vertical="center"/>
    </xf>
    <xf numFmtId="165" fontId="38" fillId="0" borderId="24" xfId="0" applyNumberFormat="1" applyFont="1" applyBorder="1" applyAlignment="1">
      <alignment horizontal="center" vertical="center"/>
    </xf>
    <xf numFmtId="0" fontId="27" fillId="0" borderId="0" xfId="0" applyFont="1" applyAlignment="1">
      <alignment vertical="center"/>
    </xf>
    <xf numFmtId="0" fontId="27" fillId="0" borderId="25" xfId="0" applyFont="1" applyBorder="1" applyAlignment="1">
      <alignment vertical="center"/>
    </xf>
    <xf numFmtId="0" fontId="27" fillId="0" borderId="0" xfId="0" applyFont="1" applyFill="1" applyAlignment="1">
      <alignment vertical="center"/>
    </xf>
    <xf numFmtId="0" fontId="26" fillId="0" borderId="0" xfId="0" applyFont="1" applyBorder="1" applyAlignment="1">
      <alignment vertical="center"/>
    </xf>
    <xf numFmtId="0" fontId="27" fillId="0" borderId="0" xfId="0" applyFont="1" applyBorder="1" applyAlignment="1">
      <alignment vertical="center"/>
    </xf>
    <xf numFmtId="0" fontId="26" fillId="32" borderId="0" xfId="0" applyFont="1" applyFill="1" applyBorder="1" applyAlignment="1">
      <alignment vertical="center"/>
    </xf>
    <xf numFmtId="0" fontId="27" fillId="32" borderId="0" xfId="0" applyFont="1" applyFill="1" applyAlignment="1">
      <alignment vertical="center"/>
    </xf>
    <xf numFmtId="0" fontId="26" fillId="32" borderId="0" xfId="0" applyFont="1" applyFill="1" applyBorder="1" applyAlignment="1">
      <alignment vertical="center" wrapText="1"/>
    </xf>
    <xf numFmtId="0" fontId="27" fillId="32" borderId="0" xfId="0" applyFont="1" applyFill="1" applyBorder="1" applyAlignment="1">
      <alignment vertical="center" wrapText="1"/>
    </xf>
    <xf numFmtId="0" fontId="27" fillId="32" borderId="0" xfId="0" applyFont="1" applyFill="1" applyAlignment="1">
      <alignment vertical="center" wrapText="1"/>
    </xf>
    <xf numFmtId="0" fontId="26" fillId="0" borderId="0" xfId="0" applyFont="1" applyBorder="1" applyAlignment="1">
      <alignment vertical="center" wrapText="1"/>
    </xf>
    <xf numFmtId="0" fontId="27" fillId="0" borderId="0" xfId="0" applyFont="1" applyAlignment="1">
      <alignment vertical="center" wrapText="1"/>
    </xf>
    <xf numFmtId="0" fontId="27" fillId="0" borderId="7" xfId="0" applyFont="1" applyBorder="1" applyAlignment="1">
      <alignment vertical="center"/>
    </xf>
    <xf numFmtId="0" fontId="27" fillId="32" borderId="7" xfId="0" applyFont="1" applyFill="1" applyBorder="1" applyAlignment="1">
      <alignment vertical="center"/>
    </xf>
    <xf numFmtId="0" fontId="27" fillId="0" borderId="7" xfId="0" applyFont="1" applyFill="1" applyBorder="1" applyAlignment="1">
      <alignment vertical="center"/>
    </xf>
    <xf numFmtId="0" fontId="27" fillId="0" borderId="34" xfId="0" applyFont="1" applyBorder="1" applyAlignment="1">
      <alignment vertical="center"/>
    </xf>
    <xf numFmtId="0" fontId="27" fillId="27" borderId="25" xfId="0" applyFont="1" applyFill="1" applyBorder="1" applyAlignment="1">
      <alignment vertical="center"/>
    </xf>
    <xf numFmtId="0" fontId="26" fillId="28" borderId="0" xfId="0" applyFont="1" applyFill="1" applyBorder="1" applyAlignment="1">
      <alignment vertical="center"/>
    </xf>
    <xf numFmtId="0" fontId="27" fillId="28" borderId="0" xfId="0" applyFont="1" applyFill="1" applyBorder="1" applyAlignment="1">
      <alignment vertical="center"/>
    </xf>
    <xf numFmtId="0" fontId="27" fillId="28" borderId="0" xfId="0" applyFont="1" applyFill="1" applyAlignment="1">
      <alignment vertical="center"/>
    </xf>
    <xf numFmtId="0" fontId="50" fillId="33" borderId="39" xfId="0" applyFont="1" applyFill="1" applyBorder="1" applyAlignment="1">
      <alignment wrapText="1"/>
    </xf>
    <xf numFmtId="0" fontId="32" fillId="0" borderId="0" xfId="0" applyFont="1" applyBorder="1" applyAlignment="1">
      <alignment vertical="center"/>
    </xf>
    <xf numFmtId="0" fontId="36" fillId="0" borderId="0" xfId="0" applyFont="1" applyAlignment="1">
      <alignment vertical="center"/>
    </xf>
    <xf numFmtId="0" fontId="32" fillId="0" borderId="0" xfId="0" applyFont="1" applyFill="1" applyBorder="1" applyAlignment="1">
      <alignment vertical="center"/>
    </xf>
    <xf numFmtId="0" fontId="29" fillId="0" borderId="0" xfId="0" applyFont="1" applyBorder="1" applyAlignment="1">
      <alignment vertical="center"/>
    </xf>
    <xf numFmtId="0" fontId="29" fillId="0" borderId="0" xfId="0" applyFont="1" applyAlignment="1">
      <alignment vertical="center"/>
    </xf>
    <xf numFmtId="0" fontId="26" fillId="0" borderId="12" xfId="0" applyFont="1" applyFill="1" applyBorder="1" applyAlignment="1">
      <alignment vertical="center"/>
    </xf>
    <xf numFmtId="0" fontId="27" fillId="32" borderId="0" xfId="0" applyFont="1" applyFill="1" applyBorder="1" applyAlignment="1">
      <alignment vertical="center"/>
    </xf>
    <xf numFmtId="0" fontId="27" fillId="27" borderId="0" xfId="0" applyFont="1" applyFill="1" applyBorder="1" applyAlignment="1">
      <alignment vertical="center"/>
    </xf>
    <xf numFmtId="0" fontId="26" fillId="26" borderId="0" xfId="0" applyFont="1" applyFill="1" applyBorder="1" applyAlignment="1">
      <alignment vertical="center"/>
    </xf>
    <xf numFmtId="0" fontId="27" fillId="26" borderId="0" xfId="0" applyFont="1" applyFill="1" applyBorder="1" applyAlignment="1">
      <alignment vertical="center"/>
    </xf>
    <xf numFmtId="0" fontId="27" fillId="26" borderId="0" xfId="0" applyFont="1" applyFill="1" applyAlignment="1">
      <alignment vertical="center"/>
    </xf>
    <xf numFmtId="0" fontId="37" fillId="0" borderId="0" xfId="0" applyFont="1" applyFill="1" applyBorder="1" applyAlignment="1">
      <alignment vertical="center" wrapText="1"/>
    </xf>
    <xf numFmtId="0" fontId="37" fillId="27" borderId="0" xfId="0" applyFont="1" applyFill="1" applyBorder="1" applyAlignment="1">
      <alignment vertical="center" wrapText="1"/>
    </xf>
    <xf numFmtId="0" fontId="27" fillId="27" borderId="0" xfId="0" applyFont="1" applyFill="1" applyAlignment="1">
      <alignment vertical="center"/>
    </xf>
    <xf numFmtId="0" fontId="26" fillId="38" borderId="0" xfId="0" applyFont="1" applyFill="1" applyBorder="1" applyAlignment="1">
      <alignment vertical="center"/>
    </xf>
    <xf numFmtId="0" fontId="27" fillId="38" borderId="0" xfId="0" applyFont="1" applyFill="1" applyBorder="1" applyAlignment="1">
      <alignment vertical="center"/>
    </xf>
    <xf numFmtId="0" fontId="27" fillId="38" borderId="0" xfId="0" applyFont="1" applyFill="1" applyAlignment="1">
      <alignment vertical="center"/>
    </xf>
    <xf numFmtId="0" fontId="26" fillId="0" borderId="0" xfId="0" applyFont="1" applyFill="1" applyBorder="1" applyAlignment="1">
      <alignment vertical="center" wrapText="1"/>
    </xf>
    <xf numFmtId="0" fontId="32" fillId="0" borderId="12" xfId="0" applyFont="1" applyFill="1" applyBorder="1" applyAlignment="1">
      <alignment vertical="center"/>
    </xf>
    <xf numFmtId="0" fontId="32" fillId="0" borderId="12" xfId="0" applyFont="1" applyFill="1" applyBorder="1" applyAlignment="1">
      <alignment vertical="center" wrapText="1"/>
    </xf>
    <xf numFmtId="0" fontId="32" fillId="0" borderId="0" xfId="0" applyFont="1" applyFill="1" applyBorder="1" applyAlignment="1">
      <alignment vertical="center" wrapText="1"/>
    </xf>
    <xf numFmtId="0" fontId="27" fillId="0" borderId="0" xfId="0" applyFont="1" applyFill="1" applyBorder="1" applyAlignment="1">
      <alignment vertical="center" wrapText="1"/>
    </xf>
    <xf numFmtId="0" fontId="27" fillId="0" borderId="0" xfId="0" applyFont="1" applyFill="1" applyAlignment="1">
      <alignment vertical="center" wrapText="1"/>
    </xf>
    <xf numFmtId="0" fontId="36" fillId="0" borderId="0" xfId="0" applyFont="1" applyFill="1" applyAlignment="1">
      <alignment vertical="center"/>
    </xf>
    <xf numFmtId="0" fontId="29" fillId="0" borderId="0" xfId="0" applyFont="1" applyFill="1" applyBorder="1" applyAlignment="1">
      <alignment vertical="center"/>
    </xf>
    <xf numFmtId="0" fontId="29" fillId="0" borderId="0" xfId="0" applyFont="1" applyFill="1" applyAlignment="1">
      <alignment vertical="center"/>
    </xf>
    <xf numFmtId="0" fontId="27" fillId="0" borderId="0" xfId="0" applyFont="1" applyBorder="1" applyAlignment="1">
      <alignment vertical="center"/>
    </xf>
    <xf numFmtId="165" fontId="26" fillId="0" borderId="0" xfId="0" applyNumberFormat="1" applyFont="1" applyFill="1" applyBorder="1" applyAlignment="1">
      <alignment vertical="center"/>
    </xf>
    <xf numFmtId="0" fontId="36" fillId="0" borderId="0" xfId="0" applyFont="1" applyBorder="1" applyAlignment="1">
      <alignment vertical="center"/>
    </xf>
    <xf numFmtId="0" fontId="36" fillId="0" borderId="0" xfId="0" applyFont="1" applyFill="1" applyBorder="1" applyAlignment="1">
      <alignment vertical="center"/>
    </xf>
    <xf numFmtId="0" fontId="27" fillId="0" borderId="0" xfId="0" applyFont="1" applyBorder="1" applyAlignment="1">
      <alignment vertical="center" wrapText="1"/>
    </xf>
    <xf numFmtId="0" fontId="40" fillId="0" borderId="11" xfId="0" applyFont="1" applyFill="1" applyBorder="1" applyAlignment="1">
      <alignment horizontal="left" vertical="center" wrapText="1"/>
    </xf>
    <xf numFmtId="0" fontId="26" fillId="34" borderId="0" xfId="0" applyFont="1" applyFill="1" applyBorder="1" applyAlignment="1">
      <alignment vertical="center"/>
    </xf>
    <xf numFmtId="0" fontId="27" fillId="34" borderId="0" xfId="0" applyFont="1" applyFill="1" applyBorder="1" applyAlignment="1">
      <alignment vertical="center"/>
    </xf>
    <xf numFmtId="0" fontId="27" fillId="34" borderId="0" xfId="0" applyFont="1" applyFill="1" applyAlignment="1">
      <alignment vertical="center"/>
    </xf>
    <xf numFmtId="0" fontId="26" fillId="36" borderId="0" xfId="0" applyFont="1" applyFill="1" applyBorder="1" applyAlignment="1">
      <alignment vertical="center"/>
    </xf>
    <xf numFmtId="0" fontId="27" fillId="36" borderId="0" xfId="0" applyFont="1" applyFill="1" applyBorder="1" applyAlignment="1">
      <alignment vertical="center"/>
    </xf>
    <xf numFmtId="0" fontId="27" fillId="36" borderId="0" xfId="0" applyFont="1" applyFill="1" applyAlignment="1">
      <alignment vertical="center"/>
    </xf>
    <xf numFmtId="0" fontId="27" fillId="0" borderId="32" xfId="0" applyFont="1" applyBorder="1" applyAlignment="1">
      <alignment vertical="center"/>
    </xf>
    <xf numFmtId="0" fontId="27" fillId="0" borderId="33" xfId="0" applyFont="1" applyBorder="1" applyAlignment="1">
      <alignment vertical="center"/>
    </xf>
    <xf numFmtId="0" fontId="27" fillId="0" borderId="73" xfId="0" applyFont="1" applyBorder="1" applyAlignment="1">
      <alignment vertical="center"/>
    </xf>
    <xf numFmtId="0" fontId="62" fillId="41" borderId="28" xfId="35" applyFont="1" applyFill="1" applyBorder="1" applyAlignment="1" applyProtection="1">
      <alignment vertical="center"/>
    </xf>
    <xf numFmtId="0" fontId="62" fillId="36" borderId="28" xfId="35" applyFont="1" applyFill="1" applyBorder="1" applyAlignment="1" applyProtection="1">
      <alignment vertical="center"/>
    </xf>
    <xf numFmtId="0" fontId="28" fillId="0" borderId="23" xfId="0" applyFont="1" applyFill="1" applyBorder="1" applyAlignment="1">
      <alignment vertical="center"/>
    </xf>
    <xf numFmtId="0" fontId="28" fillId="0" borderId="24" xfId="0" applyFont="1" applyFill="1" applyBorder="1" applyAlignment="1">
      <alignment vertical="center"/>
    </xf>
    <xf numFmtId="0" fontId="28" fillId="0" borderId="40" xfId="0" applyFont="1" applyFill="1" applyBorder="1" applyAlignment="1">
      <alignment vertical="center"/>
    </xf>
    <xf numFmtId="0" fontId="52" fillId="24" borderId="36" xfId="0" applyFont="1" applyFill="1" applyBorder="1" applyAlignment="1">
      <alignment vertical="center"/>
    </xf>
    <xf numFmtId="0" fontId="67" fillId="24" borderId="36" xfId="0" applyFont="1" applyFill="1" applyBorder="1" applyAlignment="1"/>
    <xf numFmtId="0" fontId="67" fillId="24" borderId="42" xfId="0" applyFont="1" applyFill="1" applyBorder="1" applyAlignment="1"/>
    <xf numFmtId="0" fontId="27" fillId="0" borderId="24" xfId="0" applyFont="1" applyFill="1" applyBorder="1" applyAlignment="1">
      <alignment vertical="center"/>
    </xf>
    <xf numFmtId="0" fontId="27" fillId="0" borderId="40" xfId="0" applyFont="1" applyFill="1" applyBorder="1" applyAlignment="1">
      <alignment vertical="center"/>
    </xf>
    <xf numFmtId="0" fontId="27" fillId="0" borderId="44" xfId="0" applyFont="1" applyBorder="1" applyAlignment="1">
      <alignment vertical="center"/>
    </xf>
    <xf numFmtId="0" fontId="27" fillId="0" borderId="45" xfId="0" applyFont="1" applyBorder="1" applyAlignment="1">
      <alignment vertical="center"/>
    </xf>
    <xf numFmtId="0" fontId="27" fillId="0" borderId="37" xfId="0" applyFont="1" applyBorder="1" applyAlignment="1">
      <alignment vertical="center"/>
    </xf>
    <xf numFmtId="0" fontId="27" fillId="0" borderId="38" xfId="0" applyFont="1" applyBorder="1" applyAlignment="1">
      <alignment vertical="center"/>
    </xf>
    <xf numFmtId="0" fontId="37" fillId="27" borderId="46" xfId="0" applyFont="1" applyFill="1" applyBorder="1" applyAlignment="1">
      <alignment horizontal="left" vertical="center" wrapText="1"/>
    </xf>
    <xf numFmtId="0" fontId="37" fillId="27" borderId="41" xfId="0" applyFont="1" applyFill="1" applyBorder="1" applyAlignment="1">
      <alignment horizontal="left" vertical="center" wrapText="1"/>
    </xf>
    <xf numFmtId="0" fontId="36" fillId="27" borderId="25" xfId="0" applyFont="1" applyFill="1" applyBorder="1" applyAlignment="1">
      <alignment horizontal="left" vertical="center" wrapText="1"/>
    </xf>
    <xf numFmtId="0" fontId="36" fillId="0" borderId="25" xfId="0" applyFont="1" applyFill="1" applyBorder="1" applyAlignment="1">
      <alignment horizontal="left" vertical="center" wrapText="1"/>
    </xf>
    <xf numFmtId="0" fontId="36" fillId="0" borderId="34" xfId="0" applyFont="1" applyFill="1" applyBorder="1" applyAlignment="1">
      <alignment horizontal="left" vertical="center" wrapText="1"/>
    </xf>
    <xf numFmtId="0" fontId="27" fillId="27" borderId="25" xfId="0" applyFont="1" applyFill="1" applyBorder="1" applyAlignment="1">
      <alignment horizontal="center" vertical="center" wrapText="1"/>
    </xf>
    <xf numFmtId="0" fontId="27" fillId="27" borderId="25" xfId="0" applyFont="1" applyFill="1" applyBorder="1" applyAlignment="1">
      <alignment horizontal="left" vertical="center" wrapText="1"/>
    </xf>
    <xf numFmtId="0" fontId="27" fillId="27" borderId="25" xfId="0" applyFont="1" applyFill="1" applyBorder="1" applyAlignment="1">
      <alignment vertical="center" wrapText="1"/>
    </xf>
    <xf numFmtId="0" fontId="27" fillId="0" borderId="25" xfId="0" applyFont="1" applyFill="1" applyBorder="1" applyAlignment="1">
      <alignment horizontal="left" vertical="center" wrapText="1"/>
    </xf>
    <xf numFmtId="0" fontId="27" fillId="0" borderId="34" xfId="0" applyFont="1" applyFill="1" applyBorder="1" applyAlignment="1">
      <alignment horizontal="left" vertical="center" wrapText="1"/>
    </xf>
    <xf numFmtId="0" fontId="27" fillId="0" borderId="25" xfId="0" applyFont="1" applyFill="1" applyBorder="1" applyAlignment="1">
      <alignment vertical="center"/>
    </xf>
    <xf numFmtId="0" fontId="27" fillId="27" borderId="41" xfId="0" applyFont="1" applyFill="1" applyBorder="1" applyAlignment="1">
      <alignment vertical="center"/>
    </xf>
    <xf numFmtId="165" fontId="27" fillId="27" borderId="25" xfId="0" applyNumberFormat="1" applyFont="1" applyFill="1" applyBorder="1" applyAlignment="1">
      <alignment horizontal="center" vertical="center"/>
    </xf>
    <xf numFmtId="0" fontId="30" fillId="27" borderId="47" xfId="0" applyFont="1" applyFill="1" applyBorder="1" applyAlignment="1">
      <alignment horizontal="left" vertical="center" wrapText="1"/>
    </xf>
    <xf numFmtId="0" fontId="27" fillId="0" borderId="26" xfId="0" applyFont="1" applyFill="1" applyBorder="1" applyAlignment="1">
      <alignment horizontal="left" vertical="center" wrapText="1"/>
    </xf>
    <xf numFmtId="0" fontId="27" fillId="0" borderId="35" xfId="0" applyFont="1" applyFill="1" applyBorder="1" applyAlignment="1">
      <alignment horizontal="left" vertical="center" wrapText="1"/>
    </xf>
    <xf numFmtId="0" fontId="70" fillId="0" borderId="48" xfId="0" applyFont="1" applyBorder="1" applyAlignment="1">
      <alignment horizontal="center" vertical="center"/>
    </xf>
    <xf numFmtId="0" fontId="70" fillId="0" borderId="49" xfId="0" applyFont="1" applyBorder="1" applyAlignment="1">
      <alignment horizontal="center" vertical="center"/>
    </xf>
    <xf numFmtId="165" fontId="38" fillId="0" borderId="8" xfId="0" applyNumberFormat="1" applyFont="1" applyBorder="1" applyAlignment="1">
      <alignment horizontal="center" vertical="center" wrapText="1"/>
    </xf>
    <xf numFmtId="165" fontId="55" fillId="0" borderId="8" xfId="0" applyNumberFormat="1" applyFont="1" applyBorder="1" applyAlignment="1">
      <alignment horizontal="center" vertical="center" wrapText="1"/>
    </xf>
    <xf numFmtId="0" fontId="70" fillId="0" borderId="50" xfId="0" applyFont="1" applyBorder="1" applyAlignment="1">
      <alignment horizontal="center" vertical="center"/>
    </xf>
    <xf numFmtId="0" fontId="70" fillId="0" borderId="51" xfId="0" applyFont="1" applyBorder="1" applyAlignment="1">
      <alignment horizontal="center" vertical="center"/>
    </xf>
    <xf numFmtId="0" fontId="27" fillId="33" borderId="18" xfId="0" applyFont="1" applyFill="1" applyBorder="1" applyAlignment="1">
      <alignment vertical="center" wrapText="1"/>
    </xf>
    <xf numFmtId="0" fontId="36" fillId="33" borderId="32" xfId="0" applyFont="1" applyFill="1" applyBorder="1" applyAlignment="1">
      <alignment vertical="center"/>
    </xf>
    <xf numFmtId="165" fontId="27" fillId="25" borderId="32" xfId="0" applyNumberFormat="1" applyFont="1" applyFill="1" applyBorder="1" applyAlignment="1">
      <alignment vertical="center"/>
    </xf>
    <xf numFmtId="165" fontId="27" fillId="25" borderId="0" xfId="0" applyNumberFormat="1" applyFont="1" applyFill="1" applyBorder="1" applyAlignment="1">
      <alignment vertical="center"/>
    </xf>
    <xf numFmtId="165" fontId="38" fillId="0" borderId="52" xfId="0" applyNumberFormat="1" applyFont="1" applyFill="1" applyBorder="1" applyAlignment="1">
      <alignment horizontal="center" vertical="center"/>
    </xf>
    <xf numFmtId="0" fontId="30" fillId="27" borderId="32" xfId="0" applyFont="1" applyFill="1" applyBorder="1" applyAlignment="1">
      <alignment horizontal="center" vertical="center" wrapText="1"/>
    </xf>
    <xf numFmtId="0" fontId="27" fillId="27" borderId="0" xfId="0" applyFont="1" applyFill="1" applyBorder="1" applyAlignment="1">
      <alignment horizontal="center" vertical="center" wrapText="1"/>
    </xf>
    <xf numFmtId="0" fontId="27" fillId="27" borderId="18" xfId="0" applyFont="1" applyFill="1" applyBorder="1" applyAlignment="1">
      <alignment vertical="center"/>
    </xf>
    <xf numFmtId="0" fontId="27" fillId="27" borderId="32" xfId="0" applyFont="1" applyFill="1" applyBorder="1" applyAlignment="1">
      <alignment vertical="center"/>
    </xf>
    <xf numFmtId="10" fontId="50" fillId="33" borderId="39" xfId="44" applyNumberFormat="1" applyFont="1" applyFill="1" applyBorder="1" applyAlignment="1">
      <alignment wrapText="1"/>
    </xf>
    <xf numFmtId="0" fontId="34" fillId="0" borderId="24" xfId="0" applyFont="1" applyBorder="1" applyAlignment="1">
      <alignment vertical="center"/>
    </xf>
    <xf numFmtId="0" fontId="78" fillId="27" borderId="56" xfId="0" applyFont="1" applyFill="1" applyBorder="1" applyAlignment="1">
      <alignment horizontal="right" vertical="center" wrapText="1"/>
    </xf>
    <xf numFmtId="0" fontId="78" fillId="27" borderId="60" xfId="0" applyFont="1" applyFill="1" applyBorder="1" applyAlignment="1">
      <alignment horizontal="right" vertical="center" wrapText="1"/>
    </xf>
    <xf numFmtId="0" fontId="50" fillId="0" borderId="0" xfId="0" applyFont="1" applyBorder="1" applyAlignment="1">
      <alignment wrapText="1"/>
    </xf>
    <xf numFmtId="0" fontId="78" fillId="27" borderId="61" xfId="0" applyFont="1" applyFill="1" applyBorder="1" applyAlignment="1">
      <alignment horizontal="right" vertical="center" wrapText="1"/>
    </xf>
    <xf numFmtId="0" fontId="50" fillId="27" borderId="0" xfId="0" applyFont="1" applyFill="1" applyBorder="1" applyAlignment="1">
      <alignment vertical="center"/>
    </xf>
    <xf numFmtId="0" fontId="56" fillId="27" borderId="56" xfId="0" applyFont="1" applyFill="1" applyBorder="1" applyAlignment="1">
      <alignment horizontal="right" vertical="center" wrapText="1"/>
    </xf>
    <xf numFmtId="0" fontId="56" fillId="27" borderId="60" xfId="0" applyFont="1" applyFill="1" applyBorder="1" applyAlignment="1">
      <alignment horizontal="right" vertical="center" wrapText="1"/>
    </xf>
    <xf numFmtId="164" fontId="27" fillId="33" borderId="186" xfId="40" applyNumberFormat="1" applyFont="1" applyFill="1" applyBorder="1" applyAlignment="1">
      <alignment horizontal="right"/>
    </xf>
    <xf numFmtId="164" fontId="34" fillId="44" borderId="186" xfId="41" applyNumberFormat="1" applyFont="1" applyFill="1" applyBorder="1" applyAlignment="1">
      <alignment horizontal="right"/>
    </xf>
    <xf numFmtId="164" fontId="51" fillId="45" borderId="186" xfId="41" applyNumberFormat="1" applyFont="1" applyFill="1" applyBorder="1" applyAlignment="1">
      <alignment horizontal="right"/>
    </xf>
    <xf numFmtId="164" fontId="34" fillId="37" borderId="127" xfId="41" applyNumberFormat="1" applyFont="1" applyFill="1" applyBorder="1" applyAlignment="1">
      <alignment horizontal="right"/>
    </xf>
    <xf numFmtId="0" fontId="53" fillId="0" borderId="0" xfId="0" applyFont="1" applyFill="1" applyBorder="1" applyAlignment="1">
      <alignment vertical="center" wrapText="1"/>
    </xf>
    <xf numFmtId="165" fontId="38" fillId="33" borderId="52" xfId="0" applyNumberFormat="1" applyFont="1" applyFill="1" applyBorder="1" applyAlignment="1">
      <alignment horizontal="center" vertical="center" wrapText="1"/>
    </xf>
    <xf numFmtId="0" fontId="27" fillId="0" borderId="0" xfId="0" applyFont="1" applyBorder="1" applyAlignment="1">
      <alignment vertical="center"/>
    </xf>
    <xf numFmtId="0" fontId="27" fillId="0" borderId="0" xfId="0" applyFont="1" applyAlignment="1">
      <alignment vertical="center"/>
    </xf>
    <xf numFmtId="1" fontId="57" fillId="33" borderId="0" xfId="0" applyNumberFormat="1" applyFont="1" applyFill="1" applyBorder="1" applyAlignment="1">
      <alignment vertical="center"/>
    </xf>
    <xf numFmtId="3" fontId="25" fillId="33" borderId="0" xfId="0" applyNumberFormat="1" applyFont="1" applyFill="1" applyBorder="1" applyAlignment="1">
      <alignment vertical="center"/>
    </xf>
    <xf numFmtId="0" fontId="57" fillId="33" borderId="0" xfId="0" applyFont="1" applyFill="1" applyBorder="1" applyAlignment="1">
      <alignment horizontal="left" vertical="center"/>
    </xf>
    <xf numFmtId="0" fontId="25" fillId="33" borderId="13" xfId="0" applyFont="1" applyFill="1" applyBorder="1" applyAlignment="1">
      <alignment horizontal="center" vertical="center" wrapText="1"/>
    </xf>
    <xf numFmtId="10" fontId="57" fillId="33" borderId="0" xfId="0" applyNumberFormat="1" applyFont="1" applyFill="1" applyBorder="1" applyAlignment="1">
      <alignment horizontal="center" vertical="center"/>
    </xf>
    <xf numFmtId="165" fontId="91" fillId="0" borderId="0" xfId="45" applyNumberFormat="1" applyFont="1" applyFill="1" applyBorder="1" applyAlignment="1">
      <alignment horizontal="right" vertical="center" wrapText="1"/>
    </xf>
    <xf numFmtId="0" fontId="92" fillId="27" borderId="46" xfId="0" applyFont="1" applyFill="1" applyBorder="1" applyAlignment="1">
      <alignment horizontal="left" vertical="center" wrapText="1"/>
    </xf>
    <xf numFmtId="0" fontId="51" fillId="27" borderId="41" xfId="0" applyFont="1" applyFill="1" applyBorder="1" applyAlignment="1">
      <alignment vertical="center" wrapText="1"/>
    </xf>
    <xf numFmtId="0" fontId="51" fillId="27" borderId="25" xfId="0" applyFont="1" applyFill="1" applyBorder="1" applyAlignment="1">
      <alignment horizontal="center" vertical="center" wrapText="1"/>
    </xf>
    <xf numFmtId="0" fontId="92" fillId="27" borderId="41" xfId="0" applyFont="1" applyFill="1" applyBorder="1" applyAlignment="1">
      <alignment vertical="center" wrapText="1"/>
    </xf>
    <xf numFmtId="165" fontId="92" fillId="27" borderId="25" xfId="0" applyNumberFormat="1" applyFont="1" applyFill="1" applyBorder="1" applyAlignment="1">
      <alignment horizontal="center" vertical="center" wrapText="1"/>
    </xf>
    <xf numFmtId="0" fontId="51" fillId="27" borderId="41" xfId="0" applyFont="1" applyFill="1" applyBorder="1" applyAlignment="1">
      <alignment vertical="center"/>
    </xf>
    <xf numFmtId="165" fontId="51" fillId="27" borderId="25" xfId="0" applyNumberFormat="1" applyFont="1" applyFill="1" applyBorder="1" applyAlignment="1">
      <alignment horizontal="center" vertical="center"/>
    </xf>
    <xf numFmtId="165" fontId="92" fillId="27" borderId="25" xfId="0" applyNumberFormat="1" applyFont="1" applyFill="1" applyBorder="1" applyAlignment="1">
      <alignment horizontal="center" vertical="center"/>
    </xf>
    <xf numFmtId="0" fontId="92" fillId="27" borderId="47" xfId="0" applyFont="1" applyFill="1" applyBorder="1" applyAlignment="1">
      <alignment horizontal="left" vertical="center" wrapText="1"/>
    </xf>
    <xf numFmtId="0" fontId="27" fillId="41" borderId="110" xfId="0" applyFont="1" applyFill="1" applyBorder="1" applyAlignment="1">
      <alignment horizontal="center" vertical="center" wrapText="1"/>
    </xf>
    <xf numFmtId="0" fontId="27" fillId="35" borderId="110" xfId="0" applyFont="1" applyFill="1" applyBorder="1" applyAlignment="1">
      <alignment horizontal="center" vertical="center" wrapText="1"/>
    </xf>
    <xf numFmtId="0" fontId="50" fillId="27" borderId="110" xfId="0" applyFont="1" applyFill="1" applyBorder="1" applyAlignment="1">
      <alignment vertical="center" wrapText="1"/>
    </xf>
    <xf numFmtId="3" fontId="27" fillId="0" borderId="110" xfId="0" applyNumberFormat="1" applyFont="1" applyBorder="1" applyAlignment="1">
      <alignment horizontal="center" vertical="center"/>
    </xf>
    <xf numFmtId="0" fontId="50" fillId="33" borderId="239" xfId="0" applyFont="1" applyFill="1" applyBorder="1" applyAlignment="1">
      <alignment vertical="center" wrapText="1"/>
    </xf>
    <xf numFmtId="3" fontId="27" fillId="0" borderId="239" xfId="0" applyNumberFormat="1" applyFont="1" applyBorder="1" applyAlignment="1">
      <alignment horizontal="center" vertical="center"/>
    </xf>
    <xf numFmtId="0" fontId="27" fillId="0" borderId="0" xfId="0" applyFont="1" applyAlignment="1">
      <alignment vertical="center" wrapText="1"/>
    </xf>
    <xf numFmtId="0" fontId="27" fillId="0" borderId="0" xfId="0" applyFont="1" applyAlignment="1">
      <alignment vertical="center"/>
    </xf>
    <xf numFmtId="0" fontId="27" fillId="0" borderId="0" xfId="0" applyFont="1" applyBorder="1" applyAlignment="1">
      <alignment vertical="center" wrapText="1"/>
    </xf>
    <xf numFmtId="0" fontId="27" fillId="0" borderId="0" xfId="0" applyFont="1" applyBorder="1" applyAlignment="1">
      <alignment vertical="center"/>
    </xf>
    <xf numFmtId="0" fontId="27" fillId="0" borderId="0" xfId="0" applyFont="1" applyBorder="1" applyAlignment="1">
      <alignment vertical="center"/>
    </xf>
    <xf numFmtId="49" fontId="36" fillId="33" borderId="12" xfId="0" applyNumberFormat="1" applyFont="1" applyFill="1" applyBorder="1" applyAlignment="1">
      <alignment horizontal="left" vertical="center"/>
    </xf>
    <xf numFmtId="49" fontId="36" fillId="33" borderId="0" xfId="0" applyNumberFormat="1" applyFont="1" applyFill="1" applyBorder="1" applyAlignment="1">
      <alignment horizontal="left" vertical="center"/>
    </xf>
    <xf numFmtId="0" fontId="36" fillId="0" borderId="0" xfId="0" applyFont="1" applyBorder="1" applyAlignment="1">
      <alignment vertical="center"/>
    </xf>
    <xf numFmtId="0" fontId="36" fillId="0" borderId="13" xfId="0" applyFont="1" applyBorder="1" applyAlignment="1">
      <alignment vertical="center"/>
    </xf>
    <xf numFmtId="0" fontId="27" fillId="0" borderId="0" xfId="0" applyFont="1" applyAlignment="1">
      <alignment vertical="center"/>
    </xf>
    <xf numFmtId="0" fontId="0" fillId="0" borderId="0" xfId="0" applyAlignment="1">
      <alignment vertical="center"/>
    </xf>
    <xf numFmtId="10" fontId="27" fillId="0" borderId="240" xfId="44" applyNumberFormat="1" applyFont="1" applyBorder="1" applyAlignment="1">
      <alignment horizontal="left" vertical="center" wrapText="1"/>
    </xf>
    <xf numFmtId="0" fontId="27" fillId="0" borderId="240" xfId="44" applyNumberFormat="1" applyFont="1" applyBorder="1" applyAlignment="1">
      <alignment horizontal="left" vertical="center" wrapText="1"/>
    </xf>
    <xf numFmtId="165" fontId="36" fillId="0" borderId="240" xfId="0" applyNumberFormat="1" applyFont="1" applyBorder="1" applyAlignment="1">
      <alignment horizontal="left" vertical="center" wrapText="1"/>
    </xf>
    <xf numFmtId="165" fontId="27" fillId="0" borderId="240" xfId="44" applyNumberFormat="1" applyFont="1" applyBorder="1" applyAlignment="1">
      <alignment horizontal="center" vertical="center" wrapText="1"/>
    </xf>
    <xf numFmtId="10" fontId="27" fillId="0" borderId="241" xfId="44" applyNumberFormat="1" applyFont="1" applyBorder="1" applyAlignment="1">
      <alignment horizontal="left" vertical="center" wrapText="1"/>
    </xf>
    <xf numFmtId="0" fontId="27" fillId="0" borderId="241" xfId="44" applyNumberFormat="1" applyFont="1" applyBorder="1" applyAlignment="1">
      <alignment horizontal="left" vertical="center" wrapText="1"/>
    </xf>
    <xf numFmtId="0" fontId="27" fillId="0" borderId="241" xfId="44" applyNumberFormat="1" applyFont="1" applyBorder="1" applyAlignment="1">
      <alignment vertical="center" wrapText="1"/>
    </xf>
    <xf numFmtId="165" fontId="36" fillId="0" borderId="241" xfId="0" applyNumberFormat="1" applyFont="1" applyBorder="1" applyAlignment="1">
      <alignment horizontal="left" vertical="center" wrapText="1"/>
    </xf>
    <xf numFmtId="0" fontId="91" fillId="0" borderId="0" xfId="0" applyFont="1" applyFill="1" applyBorder="1" applyAlignment="1">
      <alignment horizontal="right" vertical="center" wrapText="1"/>
    </xf>
    <xf numFmtId="165" fontId="91" fillId="0" borderId="0" xfId="0" applyNumberFormat="1" applyFont="1" applyFill="1" applyBorder="1" applyAlignment="1">
      <alignment horizontal="right" vertical="center" wrapText="1"/>
    </xf>
    <xf numFmtId="1" fontId="91" fillId="0" borderId="0" xfId="0" applyNumberFormat="1" applyFont="1" applyFill="1" applyBorder="1" applyAlignment="1">
      <alignment horizontal="right" vertical="center" wrapText="1"/>
    </xf>
    <xf numFmtId="0" fontId="91" fillId="0" borderId="0" xfId="0" applyFont="1" applyFill="1" applyBorder="1" applyAlignment="1">
      <alignment vertical="center" wrapText="1"/>
    </xf>
    <xf numFmtId="3" fontId="91" fillId="0" borderId="0" xfId="0" applyNumberFormat="1" applyFont="1" applyFill="1" applyBorder="1" applyAlignment="1">
      <alignment horizontal="right" vertical="center" wrapText="1"/>
    </xf>
    <xf numFmtId="0" fontId="91" fillId="0" borderId="0" xfId="0" applyFont="1" applyFill="1" applyBorder="1" applyAlignment="1">
      <alignment vertical="center"/>
    </xf>
    <xf numFmtId="3" fontId="91" fillId="0" borderId="0" xfId="0" applyNumberFormat="1" applyFont="1" applyFill="1" applyBorder="1" applyAlignment="1">
      <alignment horizontal="right" vertical="center"/>
    </xf>
    <xf numFmtId="3" fontId="91" fillId="0" borderId="0" xfId="28" applyNumberFormat="1" applyFont="1" applyFill="1" applyBorder="1" applyAlignment="1">
      <alignment horizontal="right" vertical="center"/>
    </xf>
    <xf numFmtId="0" fontId="91" fillId="0" borderId="0" xfId="0" applyFont="1" applyFill="1" applyBorder="1" applyAlignment="1">
      <alignment horizontal="right" vertical="center"/>
    </xf>
    <xf numFmtId="165" fontId="91" fillId="0" borderId="0" xfId="0" applyNumberFormat="1" applyFont="1" applyFill="1" applyBorder="1" applyAlignment="1">
      <alignment horizontal="right" vertical="center"/>
    </xf>
    <xf numFmtId="0" fontId="98" fillId="0" borderId="0" xfId="0" applyFont="1" applyFill="1" applyBorder="1" applyAlignment="1">
      <alignment vertical="center"/>
    </xf>
    <xf numFmtId="0" fontId="99" fillId="0" borderId="0" xfId="0" applyFont="1" applyFill="1" applyBorder="1" applyAlignment="1">
      <alignment horizontal="center" vertical="center" wrapText="1"/>
    </xf>
    <xf numFmtId="0" fontId="98" fillId="0" borderId="0" xfId="0" applyFont="1" applyFill="1" applyBorder="1" applyAlignment="1">
      <alignment horizontal="center" vertical="center"/>
    </xf>
    <xf numFmtId="0" fontId="98" fillId="0" borderId="0" xfId="0" applyFont="1" applyFill="1" applyBorder="1" applyAlignment="1">
      <alignment horizontal="right" vertical="center"/>
    </xf>
    <xf numFmtId="0" fontId="91" fillId="0" borderId="0" xfId="0" applyFont="1" applyFill="1" applyBorder="1" applyAlignment="1">
      <alignment horizontal="center" vertical="center" wrapText="1"/>
    </xf>
    <xf numFmtId="0" fontId="91" fillId="0" borderId="0" xfId="0" applyFont="1" applyFill="1" applyBorder="1" applyAlignment="1">
      <alignment horizontal="center" vertical="center"/>
    </xf>
    <xf numFmtId="10" fontId="91" fillId="0" borderId="0" xfId="44" applyNumberFormat="1" applyFont="1" applyFill="1" applyBorder="1" applyAlignment="1">
      <alignment horizontal="right" vertical="center" wrapText="1"/>
    </xf>
    <xf numFmtId="0" fontId="91" fillId="0" borderId="0" xfId="52" applyFont="1" applyFill="1" applyBorder="1" applyAlignment="1">
      <alignment horizontal="right" vertical="center" wrapText="1"/>
    </xf>
    <xf numFmtId="10" fontId="91" fillId="0" borderId="0" xfId="44" applyNumberFormat="1" applyFont="1" applyFill="1" applyBorder="1" applyAlignment="1">
      <alignment vertical="center" wrapText="1"/>
    </xf>
    <xf numFmtId="165" fontId="91" fillId="0" borderId="0" xfId="0" applyNumberFormat="1" applyFont="1" applyFill="1" applyBorder="1" applyAlignment="1">
      <alignment vertical="center"/>
    </xf>
    <xf numFmtId="166" fontId="91" fillId="0" borderId="0" xfId="52" applyNumberFormat="1" applyFont="1" applyFill="1" applyBorder="1" applyAlignment="1">
      <alignment horizontal="right" vertical="center"/>
    </xf>
    <xf numFmtId="167" fontId="91" fillId="0" borderId="0" xfId="52" applyNumberFormat="1" applyFont="1" applyFill="1" applyBorder="1" applyAlignment="1">
      <alignment horizontal="right" vertical="center"/>
    </xf>
    <xf numFmtId="3" fontId="91" fillId="0" borderId="0" xfId="0" applyNumberFormat="1" applyFont="1" applyFill="1" applyBorder="1" applyAlignment="1">
      <alignment vertical="center"/>
    </xf>
    <xf numFmtId="1" fontId="91" fillId="0" borderId="0" xfId="0" applyNumberFormat="1" applyFont="1" applyFill="1" applyBorder="1" applyAlignment="1">
      <alignment vertical="center"/>
    </xf>
    <xf numFmtId="9" fontId="91" fillId="0" borderId="0" xfId="0" applyNumberFormat="1" applyFont="1" applyFill="1" applyBorder="1" applyAlignment="1">
      <alignment horizontal="right" vertical="center"/>
    </xf>
    <xf numFmtId="2" fontId="91" fillId="0" borderId="0" xfId="0" applyNumberFormat="1" applyFont="1" applyFill="1" applyBorder="1" applyAlignment="1">
      <alignment horizontal="right" vertical="center"/>
    </xf>
    <xf numFmtId="0" fontId="97" fillId="0" borderId="0" xfId="52" applyFont="1" applyFill="1" applyBorder="1" applyAlignment="1">
      <alignment horizontal="center" vertical="center" wrapText="1"/>
    </xf>
    <xf numFmtId="0" fontId="91" fillId="0" borderId="0" xfId="52" applyFont="1" applyFill="1" applyBorder="1" applyAlignment="1">
      <alignment horizontal="right" vertical="center"/>
    </xf>
    <xf numFmtId="0" fontId="96" fillId="0" borderId="0" xfId="0" applyNumberFormat="1" applyFont="1" applyFill="1" applyBorder="1" applyAlignment="1">
      <alignment vertical="center"/>
    </xf>
    <xf numFmtId="1" fontId="91" fillId="0" borderId="0" xfId="0" applyNumberFormat="1" applyFont="1" applyFill="1" applyBorder="1" applyAlignment="1">
      <alignment horizontal="right" vertical="center"/>
    </xf>
    <xf numFmtId="166" fontId="97" fillId="0" borderId="0" xfId="53" applyNumberFormat="1" applyFont="1" applyFill="1" applyBorder="1" applyAlignment="1">
      <alignment horizontal="right" vertical="center"/>
    </xf>
    <xf numFmtId="167" fontId="97" fillId="0" borderId="0" xfId="53" applyNumberFormat="1" applyFont="1" applyFill="1" applyBorder="1" applyAlignment="1">
      <alignment horizontal="right" vertical="center"/>
    </xf>
    <xf numFmtId="165" fontId="91" fillId="0" borderId="0" xfId="52" applyNumberFormat="1" applyFont="1" applyFill="1" applyBorder="1" applyAlignment="1">
      <alignment horizontal="right" vertical="center"/>
    </xf>
    <xf numFmtId="165" fontId="83" fillId="0" borderId="0" xfId="0" applyNumberFormat="1" applyFont="1" applyFill="1" applyBorder="1" applyAlignment="1">
      <alignment horizontal="right" vertical="center"/>
    </xf>
    <xf numFmtId="0" fontId="91" fillId="0" borderId="0" xfId="0" applyNumberFormat="1" applyFont="1" applyFill="1" applyBorder="1" applyAlignment="1">
      <alignment horizontal="right" vertical="center"/>
    </xf>
    <xf numFmtId="166" fontId="91" fillId="0" borderId="0" xfId="0" applyNumberFormat="1" applyFont="1" applyFill="1" applyBorder="1" applyAlignment="1">
      <alignment horizontal="right" vertical="center"/>
    </xf>
    <xf numFmtId="166" fontId="97" fillId="0" borderId="0" xfId="52" applyNumberFormat="1" applyFont="1" applyFill="1" applyBorder="1" applyAlignment="1">
      <alignment horizontal="right" vertical="center"/>
    </xf>
    <xf numFmtId="167" fontId="97" fillId="0" borderId="0" xfId="52" applyNumberFormat="1" applyFont="1" applyFill="1" applyBorder="1" applyAlignment="1">
      <alignment horizontal="right" vertical="center"/>
    </xf>
    <xf numFmtId="0" fontId="91" fillId="0" borderId="0" xfId="0" applyFont="1" applyFill="1" applyAlignment="1">
      <alignment vertical="center"/>
    </xf>
    <xf numFmtId="3" fontId="91" fillId="0" borderId="0" xfId="0" applyNumberFormat="1" applyFont="1" applyFill="1" applyAlignment="1">
      <alignment horizontal="right" vertical="center"/>
    </xf>
    <xf numFmtId="3" fontId="91" fillId="0" borderId="0" xfId="0" applyNumberFormat="1" applyFont="1" applyFill="1" applyAlignment="1">
      <alignment horizontal="center" vertical="center"/>
    </xf>
    <xf numFmtId="0" fontId="91" fillId="0" borderId="0" xfId="0" applyFont="1" applyFill="1" applyAlignment="1">
      <alignment horizontal="right" vertical="center"/>
    </xf>
    <xf numFmtId="0" fontId="91" fillId="0" borderId="0" xfId="0" applyFont="1" applyFill="1" applyAlignment="1">
      <alignment horizontal="center" vertical="center"/>
    </xf>
    <xf numFmtId="0" fontId="91" fillId="0" borderId="0" xfId="0" applyFont="1" applyFill="1" applyAlignment="1">
      <alignment horizontal="right" vertical="center" wrapText="1"/>
    </xf>
    <xf numFmtId="165" fontId="91" fillId="0" borderId="0" xfId="0" applyNumberFormat="1" applyFont="1" applyFill="1" applyBorder="1" applyAlignment="1">
      <alignment horizontal="center" vertical="center"/>
    </xf>
    <xf numFmtId="0" fontId="57" fillId="0" borderId="24" xfId="0" applyFont="1" applyBorder="1" applyAlignment="1">
      <alignment vertical="center"/>
    </xf>
    <xf numFmtId="0" fontId="62" fillId="41" borderId="63" xfId="35" applyFont="1" applyFill="1" applyBorder="1" applyAlignment="1" applyProtection="1">
      <alignment vertical="center"/>
    </xf>
    <xf numFmtId="0" fontId="27" fillId="33" borderId="12" xfId="0" applyFont="1" applyFill="1" applyBorder="1" applyAlignment="1">
      <alignment vertical="center"/>
    </xf>
    <xf numFmtId="0" fontId="27" fillId="33" borderId="12" xfId="0" applyFont="1" applyFill="1" applyBorder="1" applyAlignment="1">
      <alignment vertical="center" wrapText="1"/>
    </xf>
    <xf numFmtId="165" fontId="27" fillId="25" borderId="13" xfId="0" applyNumberFormat="1" applyFont="1" applyFill="1" applyBorder="1" applyAlignment="1">
      <alignment vertical="center"/>
    </xf>
    <xf numFmtId="0" fontId="27" fillId="0" borderId="0" xfId="0" applyFont="1" applyBorder="1" applyAlignment="1">
      <alignment vertical="center"/>
    </xf>
    <xf numFmtId="0" fontId="27" fillId="0" borderId="19" xfId="0" applyFont="1" applyBorder="1" applyAlignment="1">
      <alignment vertical="center"/>
    </xf>
    <xf numFmtId="165" fontId="27" fillId="0" borderId="110" xfId="0" applyNumberFormat="1" applyFont="1" applyBorder="1" applyAlignment="1">
      <alignment horizontal="center" vertical="center"/>
    </xf>
    <xf numFmtId="3" fontId="27" fillId="33" borderId="233" xfId="40" applyNumberFormat="1" applyFont="1" applyFill="1" applyBorder="1" applyAlignment="1">
      <alignment horizontal="center" vertical="top" wrapText="1"/>
    </xf>
    <xf numFmtId="3" fontId="27" fillId="37" borderId="127" xfId="0" applyNumberFormat="1" applyFont="1" applyFill="1" applyBorder="1" applyAlignment="1">
      <alignment horizontal="center"/>
    </xf>
    <xf numFmtId="3" fontId="51" fillId="45" borderId="186" xfId="0" applyNumberFormat="1" applyFont="1" applyFill="1" applyBorder="1" applyAlignment="1">
      <alignment horizontal="center"/>
    </xf>
    <xf numFmtId="3" fontId="27" fillId="44" borderId="186" xfId="0" applyNumberFormat="1" applyFont="1" applyFill="1" applyBorder="1" applyAlignment="1">
      <alignment horizontal="center"/>
    </xf>
    <xf numFmtId="3" fontId="27" fillId="0" borderId="186" xfId="0" applyNumberFormat="1" applyFont="1" applyBorder="1" applyAlignment="1">
      <alignment horizontal="center"/>
    </xf>
    <xf numFmtId="165" fontId="27" fillId="0" borderId="239" xfId="0" applyNumberFormat="1" applyFont="1" applyBorder="1" applyAlignment="1">
      <alignment horizontal="center" vertical="center"/>
    </xf>
    <xf numFmtId="0" fontId="91" fillId="0" borderId="0" xfId="0" applyFont="1" applyFill="1" applyBorder="1" applyAlignment="1">
      <alignment horizontal="center" vertical="center"/>
    </xf>
    <xf numFmtId="0" fontId="27" fillId="33" borderId="32" xfId="0" applyFont="1" applyFill="1" applyBorder="1" applyAlignment="1">
      <alignment vertical="center"/>
    </xf>
    <xf numFmtId="0" fontId="27" fillId="33" borderId="0" xfId="0" applyFont="1" applyFill="1" applyBorder="1" applyAlignment="1">
      <alignment vertical="center" wrapText="1"/>
    </xf>
    <xf numFmtId="0" fontId="30" fillId="33" borderId="0" xfId="35" applyFont="1" applyFill="1" applyBorder="1" applyAlignment="1" applyProtection="1">
      <alignment vertical="center" wrapText="1"/>
    </xf>
    <xf numFmtId="0" fontId="27" fillId="33" borderId="0" xfId="0" applyFont="1" applyFill="1" applyBorder="1" applyAlignment="1">
      <alignment vertical="center"/>
    </xf>
    <xf numFmtId="0" fontId="27" fillId="33" borderId="18" xfId="0" applyFont="1" applyFill="1" applyBorder="1" applyAlignment="1">
      <alignment vertical="center"/>
    </xf>
    <xf numFmtId="0" fontId="27" fillId="33" borderId="33" xfId="0" applyFont="1" applyFill="1" applyBorder="1" applyAlignment="1">
      <alignment vertical="center"/>
    </xf>
    <xf numFmtId="0" fontId="27" fillId="33" borderId="73" xfId="0" applyFont="1" applyFill="1" applyBorder="1" applyAlignment="1">
      <alignment vertical="center" wrapText="1"/>
    </xf>
    <xf numFmtId="0" fontId="27" fillId="33" borderId="73" xfId="0" applyFont="1" applyFill="1" applyBorder="1" applyAlignment="1">
      <alignment vertical="center"/>
    </xf>
    <xf numFmtId="0" fontId="27" fillId="33" borderId="28" xfId="0" applyFont="1" applyFill="1" applyBorder="1" applyAlignment="1">
      <alignment vertical="center"/>
    </xf>
    <xf numFmtId="0" fontId="62" fillId="41" borderId="264" xfId="35" applyFont="1" applyFill="1" applyBorder="1" applyAlignment="1" applyProtection="1">
      <alignment vertical="center"/>
    </xf>
    <xf numFmtId="0" fontId="27" fillId="24" borderId="269" xfId="0" applyFont="1" applyFill="1" applyBorder="1" applyAlignment="1">
      <alignment horizontal="center" vertical="center" wrapText="1"/>
    </xf>
    <xf numFmtId="165" fontId="36" fillId="33" borderId="273" xfId="44" applyNumberFormat="1" applyFont="1" applyFill="1" applyBorder="1" applyAlignment="1">
      <alignment horizontal="center" vertical="center"/>
    </xf>
    <xf numFmtId="165" fontId="36" fillId="50" borderId="273" xfId="44" applyNumberFormat="1" applyFont="1" applyFill="1" applyBorder="1" applyAlignment="1">
      <alignment horizontal="center" vertical="center"/>
    </xf>
    <xf numFmtId="165" fontId="36" fillId="39" borderId="273" xfId="44" applyNumberFormat="1" applyFont="1" applyFill="1" applyBorder="1" applyAlignment="1">
      <alignment horizontal="center" vertical="center"/>
    </xf>
    <xf numFmtId="165" fontId="36" fillId="50" borderId="261" xfId="44" applyNumberFormat="1" applyFont="1" applyFill="1" applyBorder="1" applyAlignment="1">
      <alignment horizontal="center" vertical="center"/>
    </xf>
    <xf numFmtId="0" fontId="27" fillId="0" borderId="18" xfId="0" applyFont="1" applyBorder="1" applyAlignment="1">
      <alignment vertical="center" wrapText="1"/>
    </xf>
    <xf numFmtId="0" fontId="0" fillId="0" borderId="18" xfId="0" applyBorder="1" applyAlignment="1">
      <alignment vertical="center"/>
    </xf>
    <xf numFmtId="0" fontId="0" fillId="0" borderId="0" xfId="0" applyBorder="1" applyAlignment="1">
      <alignment vertical="center"/>
    </xf>
    <xf numFmtId="0" fontId="51" fillId="0" borderId="0" xfId="0" applyFont="1" applyBorder="1" applyAlignment="1">
      <alignment vertical="center"/>
    </xf>
    <xf numFmtId="0" fontId="51" fillId="0" borderId="73" xfId="0" applyFont="1" applyBorder="1" applyAlignment="1">
      <alignment vertical="center"/>
    </xf>
    <xf numFmtId="0" fontId="0" fillId="0" borderId="73" xfId="0" applyBorder="1" applyAlignment="1">
      <alignment vertical="center"/>
    </xf>
    <xf numFmtId="0" fontId="0" fillId="0" borderId="28" xfId="0" applyBorder="1" applyAlignment="1">
      <alignment vertical="center"/>
    </xf>
    <xf numFmtId="0" fontId="27" fillId="41" borderId="270" xfId="0" applyFont="1" applyFill="1" applyBorder="1" applyAlignment="1">
      <alignment vertical="center"/>
    </xf>
    <xf numFmtId="0" fontId="27" fillId="24" borderId="262" xfId="0" applyFont="1" applyFill="1" applyBorder="1" applyAlignment="1">
      <alignment vertical="center"/>
    </xf>
    <xf numFmtId="0" fontId="62" fillId="32" borderId="264" xfId="35" applyFont="1" applyFill="1" applyBorder="1" applyAlignment="1" applyProtection="1">
      <alignment vertical="center"/>
    </xf>
    <xf numFmtId="0" fontId="38" fillId="41" borderId="273" xfId="0" applyFont="1" applyFill="1" applyBorder="1" applyAlignment="1">
      <alignment horizontal="center" vertical="center" wrapText="1"/>
    </xf>
    <xf numFmtId="0" fontId="38" fillId="35" borderId="273" xfId="0" applyFont="1" applyFill="1" applyBorder="1" applyAlignment="1">
      <alignment horizontal="center" vertical="center" wrapText="1"/>
    </xf>
    <xf numFmtId="165" fontId="38" fillId="0" borderId="269" xfId="0" applyNumberFormat="1" applyFont="1" applyBorder="1" applyAlignment="1">
      <alignment horizontal="center" vertical="center"/>
    </xf>
    <xf numFmtId="3" fontId="37" fillId="0" borderId="308" xfId="0" applyNumberFormat="1" applyFont="1" applyBorder="1" applyAlignment="1">
      <alignment horizontal="center" vertical="center" wrapText="1"/>
    </xf>
    <xf numFmtId="0" fontId="36" fillId="0" borderId="309" xfId="0" applyFont="1" applyBorder="1" applyAlignment="1">
      <alignment horizontal="center" vertical="center" wrapText="1"/>
    </xf>
    <xf numFmtId="3" fontId="27" fillId="0" borderId="309" xfId="0" applyNumberFormat="1" applyFont="1" applyBorder="1" applyAlignment="1">
      <alignment horizontal="center" vertical="center"/>
    </xf>
    <xf numFmtId="165" fontId="38" fillId="0" borderId="309" xfId="0" applyNumberFormat="1" applyFont="1" applyBorder="1" applyAlignment="1">
      <alignment horizontal="center" vertical="center"/>
    </xf>
    <xf numFmtId="165" fontId="27" fillId="0" borderId="309" xfId="0" applyNumberFormat="1" applyFont="1" applyBorder="1" applyAlignment="1">
      <alignment horizontal="center" vertical="center"/>
    </xf>
    <xf numFmtId="0" fontId="45" fillId="0" borderId="309" xfId="0" applyFont="1" applyBorder="1" applyAlignment="1">
      <alignment horizontal="center" vertical="center"/>
    </xf>
    <xf numFmtId="0" fontId="45" fillId="0" borderId="310" xfId="0" applyFont="1" applyBorder="1" applyAlignment="1">
      <alignment horizontal="center" vertical="center"/>
    </xf>
    <xf numFmtId="0" fontId="27" fillId="0" borderId="308" xfId="0" applyFont="1" applyBorder="1" applyAlignment="1">
      <alignment horizontal="left" vertical="center" indent="1"/>
    </xf>
    <xf numFmtId="0" fontId="27" fillId="0" borderId="309" xfId="0" applyFont="1" applyBorder="1" applyAlignment="1">
      <alignment horizontal="left" vertical="center" indent="1"/>
    </xf>
    <xf numFmtId="165" fontId="27" fillId="0" borderId="310" xfId="0" applyNumberFormat="1" applyFont="1" applyBorder="1" applyAlignment="1">
      <alignment horizontal="center" vertical="center"/>
    </xf>
    <xf numFmtId="165" fontId="37" fillId="0" borderId="309" xfId="0" applyNumberFormat="1" applyFont="1" applyBorder="1" applyAlignment="1">
      <alignment horizontal="left" vertical="top"/>
    </xf>
    <xf numFmtId="0" fontId="27" fillId="0" borderId="309" xfId="0" applyFont="1" applyBorder="1" applyAlignment="1">
      <alignment vertical="center"/>
    </xf>
    <xf numFmtId="165" fontId="46" fillId="42" borderId="309" xfId="0" applyNumberFormat="1" applyFont="1" applyFill="1" applyBorder="1" applyAlignment="1">
      <alignment horizontal="center" vertical="center"/>
    </xf>
    <xf numFmtId="165" fontId="27" fillId="0" borderId="309" xfId="0" applyNumberFormat="1" applyFont="1" applyBorder="1" applyAlignment="1">
      <alignment horizontal="left" vertical="center"/>
    </xf>
    <xf numFmtId="0" fontId="45" fillId="0" borderId="309" xfId="0" applyFont="1" applyBorder="1" applyAlignment="1">
      <alignment horizontal="left" vertical="center"/>
    </xf>
    <xf numFmtId="0" fontId="27" fillId="0" borderId="310" xfId="0" applyFont="1" applyBorder="1" applyAlignment="1">
      <alignment vertical="center"/>
    </xf>
    <xf numFmtId="165" fontId="47" fillId="43" borderId="309" xfId="0" applyNumberFormat="1" applyFont="1" applyFill="1" applyBorder="1" applyAlignment="1">
      <alignment horizontal="center" vertical="center"/>
    </xf>
    <xf numFmtId="165" fontId="48" fillId="0" borderId="309" xfId="0" applyNumberFormat="1" applyFont="1" applyBorder="1" applyAlignment="1">
      <alignment horizontal="left" vertical="center"/>
    </xf>
    <xf numFmtId="165" fontId="49" fillId="41" borderId="309" xfId="0" applyNumberFormat="1" applyFont="1" applyFill="1" applyBorder="1" applyAlignment="1">
      <alignment horizontal="center" vertical="center"/>
    </xf>
    <xf numFmtId="165" fontId="36" fillId="0" borderId="309" xfId="0" applyNumberFormat="1" applyFont="1" applyBorder="1" applyAlignment="1">
      <alignment horizontal="left" vertical="center"/>
    </xf>
    <xf numFmtId="3" fontId="27" fillId="0" borderId="315" xfId="0" applyNumberFormat="1" applyFont="1" applyBorder="1" applyAlignment="1">
      <alignment horizontal="center" vertical="center"/>
    </xf>
    <xf numFmtId="165" fontId="38" fillId="0" borderId="315" xfId="0" applyNumberFormat="1" applyFont="1" applyBorder="1" applyAlignment="1">
      <alignment horizontal="center" vertical="center"/>
    </xf>
    <xf numFmtId="0" fontId="27" fillId="0" borderId="315" xfId="0" applyFont="1" applyBorder="1" applyAlignment="1">
      <alignment vertical="center"/>
    </xf>
    <xf numFmtId="165" fontId="48" fillId="0" borderId="315" xfId="0" applyNumberFormat="1" applyFont="1" applyBorder="1" applyAlignment="1">
      <alignment horizontal="left" vertical="center"/>
    </xf>
    <xf numFmtId="165" fontId="27" fillId="0" borderId="315" xfId="0" applyNumberFormat="1" applyFont="1" applyBorder="1" applyAlignment="1">
      <alignment horizontal="center" vertical="center"/>
    </xf>
    <xf numFmtId="165" fontId="27" fillId="0" borderId="316" xfId="0" applyNumberFormat="1" applyFont="1" applyBorder="1" applyAlignment="1">
      <alignment horizontal="center" vertical="center"/>
    </xf>
    <xf numFmtId="0" fontId="30" fillId="0" borderId="308" xfId="0" applyFont="1" applyBorder="1" applyAlignment="1">
      <alignment vertical="center"/>
    </xf>
    <xf numFmtId="0" fontId="30" fillId="0" borderId="309" xfId="0" applyFont="1" applyBorder="1" applyAlignment="1">
      <alignment vertical="center"/>
    </xf>
    <xf numFmtId="0" fontId="36" fillId="0" borderId="310" xfId="0" applyFont="1" applyBorder="1" applyAlignment="1">
      <alignment horizontal="center" vertical="center" wrapText="1"/>
    </xf>
    <xf numFmtId="0" fontId="27" fillId="27" borderId="308" xfId="0" applyFont="1" applyFill="1" applyBorder="1" applyAlignment="1">
      <alignment vertical="center"/>
    </xf>
    <xf numFmtId="0" fontId="27" fillId="27" borderId="309" xfId="0" applyFont="1" applyFill="1" applyBorder="1" applyAlignment="1">
      <alignment vertical="center"/>
    </xf>
    <xf numFmtId="0" fontId="36" fillId="27" borderId="309" xfId="0" applyFont="1" applyFill="1" applyBorder="1" applyAlignment="1">
      <alignment vertical="center"/>
    </xf>
    <xf numFmtId="3" fontId="36" fillId="27" borderId="309" xfId="0" applyNumberFormat="1" applyFont="1" applyFill="1" applyBorder="1" applyAlignment="1">
      <alignment vertical="center"/>
    </xf>
    <xf numFmtId="3" fontId="27" fillId="27" borderId="309" xfId="0" applyNumberFormat="1" applyFont="1" applyFill="1" applyBorder="1" applyAlignment="1">
      <alignment vertical="center"/>
    </xf>
    <xf numFmtId="49" fontId="36" fillId="0" borderId="309" xfId="0" applyNumberFormat="1" applyFont="1" applyBorder="1" applyAlignment="1">
      <alignment horizontal="left" vertical="center"/>
    </xf>
    <xf numFmtId="1" fontId="27" fillId="0" borderId="309" xfId="0" applyNumberFormat="1" applyFont="1" applyBorder="1" applyAlignment="1">
      <alignment vertical="center"/>
    </xf>
    <xf numFmtId="3" fontId="36" fillId="0" borderId="309" xfId="0" applyNumberFormat="1" applyFont="1" applyBorder="1" applyAlignment="1">
      <alignment vertical="center"/>
    </xf>
    <xf numFmtId="1" fontId="27" fillId="27" borderId="309" xfId="0" applyNumberFormat="1" applyFont="1" applyFill="1" applyBorder="1" applyAlignment="1">
      <alignment vertical="center"/>
    </xf>
    <xf numFmtId="49" fontId="27" fillId="0" borderId="309" xfId="0" applyNumberFormat="1" applyFont="1" applyBorder="1" applyAlignment="1">
      <alignment horizontal="left" vertical="center"/>
    </xf>
    <xf numFmtId="0" fontId="27" fillId="0" borderId="309" xfId="0" applyFont="1" applyBorder="1" applyAlignment="1">
      <alignment horizontal="left" vertical="center"/>
    </xf>
    <xf numFmtId="0" fontId="27" fillId="27" borderId="326" xfId="0" applyFont="1" applyFill="1" applyBorder="1" applyAlignment="1">
      <alignment vertical="center"/>
    </xf>
    <xf numFmtId="0" fontId="27" fillId="27" borderId="315" xfId="0" applyFont="1" applyFill="1" applyBorder="1" applyAlignment="1">
      <alignment vertical="center"/>
    </xf>
    <xf numFmtId="3" fontId="36" fillId="27" borderId="315" xfId="0" applyNumberFormat="1" applyFont="1" applyFill="1" applyBorder="1" applyAlignment="1">
      <alignment vertical="center"/>
    </xf>
    <xf numFmtId="3" fontId="27" fillId="27" borderId="315" xfId="0" applyNumberFormat="1" applyFont="1" applyFill="1" applyBorder="1" applyAlignment="1">
      <alignment vertical="center"/>
    </xf>
    <xf numFmtId="0" fontId="27" fillId="0" borderId="315" xfId="0" applyFont="1" applyBorder="1" applyAlignment="1">
      <alignment horizontal="left" vertical="center"/>
    </xf>
    <xf numFmtId="1" fontId="27" fillId="0" borderId="315" xfId="0" applyNumberFormat="1" applyFont="1" applyBorder="1" applyAlignment="1">
      <alignment vertical="center"/>
    </xf>
    <xf numFmtId="3" fontId="36" fillId="0" borderId="315" xfId="0" applyNumberFormat="1" applyFont="1" applyBorder="1" applyAlignment="1">
      <alignment vertical="center"/>
    </xf>
    <xf numFmtId="0" fontId="36" fillId="0" borderId="316" xfId="0" applyFont="1" applyBorder="1" applyAlignment="1">
      <alignment horizontal="center" vertical="center" wrapText="1"/>
    </xf>
    <xf numFmtId="0" fontId="57" fillId="33" borderId="0" xfId="0" applyFont="1" applyFill="1" applyBorder="1" applyAlignment="1">
      <alignment vertical="center"/>
    </xf>
    <xf numFmtId="1" fontId="57" fillId="33" borderId="312" xfId="0" applyNumberFormat="1" applyFont="1" applyFill="1" applyBorder="1" applyAlignment="1">
      <alignment vertical="center"/>
    </xf>
    <xf numFmtId="3" fontId="25" fillId="33" borderId="312" xfId="0" applyNumberFormat="1" applyFont="1" applyFill="1" applyBorder="1" applyAlignment="1">
      <alignment vertical="center"/>
    </xf>
    <xf numFmtId="0" fontId="57" fillId="33" borderId="312" xfId="0" applyFont="1" applyFill="1" applyBorder="1" applyAlignment="1">
      <alignment horizontal="left" vertical="center"/>
    </xf>
    <xf numFmtId="0" fontId="25" fillId="33" borderId="327" xfId="0" applyFont="1" applyFill="1" applyBorder="1" applyAlignment="1">
      <alignment horizontal="center" vertical="center" wrapText="1"/>
    </xf>
    <xf numFmtId="10" fontId="57" fillId="33" borderId="0" xfId="0" applyNumberFormat="1" applyFont="1" applyFill="1" applyBorder="1" applyAlignment="1">
      <alignment vertical="center"/>
    </xf>
    <xf numFmtId="49" fontId="87" fillId="33" borderId="11" xfId="0" applyNumberFormat="1" applyFont="1" applyFill="1" applyBorder="1" applyAlignment="1">
      <alignment horizontal="left" vertical="center"/>
    </xf>
    <xf numFmtId="49" fontId="87" fillId="33" borderId="19" xfId="0" applyNumberFormat="1" applyFont="1" applyFill="1" applyBorder="1" applyAlignment="1">
      <alignment horizontal="left" vertical="center"/>
    </xf>
    <xf numFmtId="165" fontId="87" fillId="33" borderId="19" xfId="0" applyNumberFormat="1" applyFont="1" applyFill="1" applyBorder="1" applyAlignment="1">
      <alignment horizontal="center" vertical="center"/>
    </xf>
    <xf numFmtId="10" fontId="57" fillId="33" borderId="19" xfId="0" applyNumberFormat="1" applyFont="1" applyFill="1" applyBorder="1" applyAlignment="1">
      <alignment horizontal="center" vertical="center"/>
    </xf>
    <xf numFmtId="1" fontId="57" fillId="33" borderId="328" xfId="0" applyNumberFormat="1" applyFont="1" applyFill="1" applyBorder="1" applyAlignment="1">
      <alignment vertical="center"/>
    </xf>
    <xf numFmtId="3" fontId="25" fillId="33" borderId="328" xfId="0" applyNumberFormat="1" applyFont="1" applyFill="1" applyBorder="1" applyAlignment="1">
      <alignment vertical="center"/>
    </xf>
    <xf numFmtId="0" fontId="57" fillId="33" borderId="328" xfId="0" applyFont="1" applyFill="1" applyBorder="1" applyAlignment="1">
      <alignment horizontal="left" vertical="center"/>
    </xf>
    <xf numFmtId="0" fontId="25" fillId="33" borderId="329" xfId="0" applyFont="1" applyFill="1" applyBorder="1" applyAlignment="1">
      <alignment horizontal="center" vertical="center" wrapText="1"/>
    </xf>
    <xf numFmtId="0" fontId="31" fillId="27" borderId="263" xfId="0" applyFont="1" applyFill="1" applyBorder="1" applyAlignment="1">
      <alignment horizontal="left" vertical="center"/>
    </xf>
    <xf numFmtId="0" fontId="30" fillId="27" borderId="274" xfId="0" applyFont="1" applyFill="1" applyBorder="1" applyAlignment="1">
      <alignment horizontal="left" vertical="center"/>
    </xf>
    <xf numFmtId="0" fontId="35" fillId="0" borderId="331" xfId="0" applyFont="1" applyBorder="1" applyAlignment="1"/>
    <xf numFmtId="0" fontId="35" fillId="0" borderId="274" xfId="0" applyFont="1" applyBorder="1" applyAlignment="1"/>
    <xf numFmtId="0" fontId="50" fillId="27" borderId="333" xfId="0" applyFont="1" applyFill="1" applyBorder="1" applyAlignment="1">
      <alignment vertical="center"/>
    </xf>
    <xf numFmtId="0" fontId="50" fillId="27" borderId="334" xfId="0" applyFont="1" applyFill="1" applyBorder="1" applyAlignment="1">
      <alignment vertical="center"/>
    </xf>
    <xf numFmtId="0" fontId="50" fillId="27" borderId="335" xfId="0" applyFont="1" applyFill="1" applyBorder="1" applyAlignment="1">
      <alignment vertical="center"/>
    </xf>
    <xf numFmtId="49" fontId="50" fillId="33" borderId="274" xfId="0" applyNumberFormat="1" applyFont="1" applyFill="1" applyBorder="1" applyAlignment="1">
      <alignment vertical="center"/>
    </xf>
    <xf numFmtId="0" fontId="62" fillId="36" borderId="81" xfId="35" applyFont="1" applyFill="1" applyBorder="1" applyAlignment="1" applyProtection="1">
      <alignment vertical="center"/>
    </xf>
    <xf numFmtId="0" fontId="50" fillId="0" borderId="333" xfId="0" applyFont="1" applyBorder="1" applyAlignment="1">
      <alignment vertical="center" wrapText="1"/>
    </xf>
    <xf numFmtId="0" fontId="50" fillId="0" borderId="334" xfId="0" applyFont="1" applyBorder="1" applyAlignment="1">
      <alignment vertical="center" wrapText="1"/>
    </xf>
    <xf numFmtId="0" fontId="50" fillId="0" borderId="335" xfId="0" applyFont="1" applyBorder="1" applyAlignment="1">
      <alignment vertical="center" wrapText="1"/>
    </xf>
    <xf numFmtId="0" fontId="34" fillId="0" borderId="308" xfId="0" applyFont="1" applyBorder="1" applyAlignment="1">
      <alignment vertical="center" wrapText="1"/>
    </xf>
    <xf numFmtId="0" fontId="34" fillId="0" borderId="309" xfId="0" applyFont="1" applyBorder="1" applyAlignment="1">
      <alignment vertical="center" wrapText="1"/>
    </xf>
    <xf numFmtId="0" fontId="50" fillId="0" borderId="309" xfId="0" applyFont="1" applyBorder="1" applyAlignment="1">
      <alignment vertical="center" wrapText="1"/>
    </xf>
    <xf numFmtId="0" fontId="50" fillId="0" borderId="310" xfId="0" applyFont="1" applyBorder="1" applyAlignment="1">
      <alignment vertical="center" wrapText="1"/>
    </xf>
    <xf numFmtId="0" fontId="31" fillId="27" borderId="308" xfId="0" applyFont="1" applyFill="1" applyBorder="1" applyAlignment="1">
      <alignment horizontal="center" vertical="center"/>
    </xf>
    <xf numFmtId="0" fontId="31" fillId="27" borderId="309" xfId="0" applyFont="1" applyFill="1" applyBorder="1" applyAlignment="1">
      <alignment horizontal="center" vertical="center"/>
    </xf>
    <xf numFmtId="0" fontId="31" fillId="27" borderId="309" xfId="0" applyFont="1" applyFill="1" applyBorder="1" applyAlignment="1">
      <alignment vertical="center"/>
    </xf>
    <xf numFmtId="0" fontId="31" fillId="0" borderId="309" xfId="0" applyFont="1" applyBorder="1" applyAlignment="1">
      <alignment vertical="center"/>
    </xf>
    <xf numFmtId="0" fontId="31" fillId="0" borderId="310" xfId="0" applyFont="1" applyBorder="1" applyAlignment="1">
      <alignment vertical="center"/>
    </xf>
    <xf numFmtId="0" fontId="31" fillId="27" borderId="308" xfId="0" applyFont="1" applyFill="1" applyBorder="1" applyAlignment="1">
      <alignment horizontal="right" vertical="center"/>
    </xf>
    <xf numFmtId="3" fontId="50" fillId="27" borderId="309" xfId="0" applyNumberFormat="1" applyFont="1" applyFill="1" applyBorder="1" applyAlignment="1">
      <alignment vertical="center" wrapText="1"/>
    </xf>
    <xf numFmtId="49" fontId="31" fillId="27" borderId="308" xfId="0" applyNumberFormat="1" applyFont="1" applyFill="1" applyBorder="1" applyAlignment="1">
      <alignment horizontal="right" vertical="center"/>
    </xf>
    <xf numFmtId="3" fontId="31" fillId="27" borderId="309" xfId="0" applyNumberFormat="1" applyFont="1" applyFill="1" applyBorder="1" applyAlignment="1">
      <alignment vertical="center"/>
    </xf>
    <xf numFmtId="49" fontId="31" fillId="27" borderId="326" xfId="0" applyNumberFormat="1" applyFont="1" applyFill="1" applyBorder="1" applyAlignment="1">
      <alignment horizontal="right" vertical="center"/>
    </xf>
    <xf numFmtId="3" fontId="31" fillId="27" borderId="315" xfId="0" applyNumberFormat="1" applyFont="1" applyFill="1" applyBorder="1" applyAlignment="1">
      <alignment vertical="center"/>
    </xf>
    <xf numFmtId="0" fontId="31" fillId="27" borderId="315" xfId="0" applyFont="1" applyFill="1" applyBorder="1" applyAlignment="1">
      <alignment vertical="center"/>
    </xf>
    <xf numFmtId="0" fontId="31" fillId="0" borderId="315" xfId="0" applyFont="1" applyBorder="1" applyAlignment="1">
      <alignment vertical="center"/>
    </xf>
    <xf numFmtId="0" fontId="31" fillId="0" borderId="316" xfId="0" applyFont="1" applyBorder="1" applyAlignment="1">
      <alignment vertical="center"/>
    </xf>
    <xf numFmtId="0" fontId="28" fillId="41" borderId="52" xfId="0" applyFont="1" applyFill="1" applyBorder="1" applyAlignment="1">
      <alignment vertical="center"/>
    </xf>
    <xf numFmtId="0" fontId="37" fillId="0" borderId="305" xfId="0" applyFont="1" applyFill="1" applyBorder="1" applyAlignment="1">
      <alignment vertical="center"/>
    </xf>
    <xf numFmtId="0" fontId="37" fillId="0" borderId="309" xfId="0" applyFont="1" applyFill="1" applyBorder="1" applyAlignment="1">
      <alignment vertical="center"/>
    </xf>
    <xf numFmtId="0" fontId="28" fillId="0" borderId="310" xfId="0" applyFont="1" applyFill="1" applyBorder="1" applyAlignment="1">
      <alignment vertical="center"/>
    </xf>
    <xf numFmtId="0" fontId="37" fillId="0" borderId="305" xfId="0" applyFont="1" applyBorder="1" applyAlignment="1">
      <alignment horizontal="center" vertical="center" wrapText="1"/>
    </xf>
    <xf numFmtId="0" fontId="43" fillId="0" borderId="309" xfId="0" applyFont="1" applyFill="1" applyBorder="1" applyAlignment="1">
      <alignment horizontal="center" vertical="center" wrapText="1"/>
    </xf>
    <xf numFmtId="0" fontId="43" fillId="0" borderId="309" xfId="0" applyFont="1" applyFill="1" applyBorder="1" applyAlignment="1">
      <alignment vertical="center" wrapText="1"/>
    </xf>
    <xf numFmtId="0" fontId="43" fillId="0" borderId="310" xfId="0" applyFont="1" applyBorder="1" applyAlignment="1">
      <alignment vertical="center" wrapText="1"/>
    </xf>
    <xf numFmtId="0" fontId="37" fillId="0" borderId="305" xfId="0" applyFont="1" applyBorder="1" applyAlignment="1">
      <alignment vertical="center" wrapText="1"/>
    </xf>
    <xf numFmtId="0" fontId="54" fillId="0" borderId="310" xfId="0" applyFont="1" applyBorder="1" applyAlignment="1">
      <alignment vertical="center" wrapText="1"/>
    </xf>
    <xf numFmtId="3" fontId="43" fillId="0" borderId="309" xfId="0" applyNumberFormat="1" applyFont="1" applyFill="1" applyBorder="1" applyAlignment="1">
      <alignment vertical="center" wrapText="1"/>
    </xf>
    <xf numFmtId="0" fontId="37" fillId="0" borderId="19" xfId="0" applyFont="1" applyBorder="1" applyAlignment="1">
      <alignment vertical="center" wrapText="1"/>
    </xf>
    <xf numFmtId="0" fontId="43" fillId="0" borderId="19" xfId="0" applyFont="1" applyFill="1" applyBorder="1" applyAlignment="1">
      <alignment vertical="center" wrapText="1"/>
    </xf>
    <xf numFmtId="3" fontId="43" fillId="0" borderId="315" xfId="0" applyNumberFormat="1" applyFont="1" applyFill="1" applyBorder="1" applyAlignment="1">
      <alignment vertical="center" wrapText="1"/>
    </xf>
    <xf numFmtId="0" fontId="54" fillId="0" borderId="22" xfId="0" applyFont="1" applyBorder="1" applyAlignment="1">
      <alignment vertical="center" wrapText="1"/>
    </xf>
    <xf numFmtId="10" fontId="27" fillId="0" borderId="339" xfId="44" applyNumberFormat="1" applyFont="1" applyBorder="1" applyAlignment="1">
      <alignment horizontal="left" vertical="center" wrapText="1"/>
    </xf>
    <xf numFmtId="0" fontId="36" fillId="0" borderId="340" xfId="0" applyFont="1" applyBorder="1" applyAlignment="1">
      <alignment horizontal="left" vertical="center" wrapText="1"/>
    </xf>
    <xf numFmtId="10" fontId="27" fillId="0" borderId="341" xfId="44" applyNumberFormat="1" applyFont="1" applyBorder="1" applyAlignment="1">
      <alignment horizontal="left" vertical="center" wrapText="1"/>
    </xf>
    <xf numFmtId="0" fontId="36" fillId="0" borderId="342" xfId="0" applyFont="1" applyBorder="1" applyAlignment="1">
      <alignment horizontal="left" vertical="center" wrapText="1"/>
    </xf>
    <xf numFmtId="10" fontId="27" fillId="0" borderId="343" xfId="44" applyNumberFormat="1" applyFont="1" applyBorder="1" applyAlignment="1">
      <alignment horizontal="left" vertical="center" wrapText="1"/>
    </xf>
    <xf numFmtId="10" fontId="27" fillId="0" borderId="344" xfId="44" applyNumberFormat="1" applyFont="1" applyBorder="1" applyAlignment="1">
      <alignment horizontal="left" vertical="center" wrapText="1"/>
    </xf>
    <xf numFmtId="0" fontId="27" fillId="0" borderId="344" xfId="44" applyNumberFormat="1" applyFont="1" applyBorder="1" applyAlignment="1">
      <alignment horizontal="left" vertical="center" wrapText="1"/>
    </xf>
    <xf numFmtId="165" fontId="36" fillId="0" borderId="344" xfId="0" applyNumberFormat="1" applyFont="1" applyBorder="1" applyAlignment="1">
      <alignment horizontal="left" vertical="center" wrapText="1"/>
    </xf>
    <xf numFmtId="0" fontId="36" fillId="0" borderId="345" xfId="0" applyFont="1" applyBorder="1" applyAlignment="1">
      <alignment horizontal="left" vertical="center" wrapText="1"/>
    </xf>
    <xf numFmtId="0" fontId="27" fillId="0" borderId="357" xfId="0" applyFont="1" applyBorder="1" applyAlignment="1">
      <alignment vertical="center"/>
    </xf>
    <xf numFmtId="0" fontId="27" fillId="0" borderId="334" xfId="0" applyFont="1" applyBorder="1" applyAlignment="1">
      <alignment vertical="center"/>
    </xf>
    <xf numFmtId="0" fontId="50" fillId="0" borderId="335" xfId="0" applyFont="1" applyBorder="1" applyAlignment="1">
      <alignment vertical="center"/>
    </xf>
    <xf numFmtId="0" fontId="27" fillId="0" borderId="359" xfId="0" applyFont="1" applyBorder="1" applyAlignment="1">
      <alignment vertical="center"/>
    </xf>
    <xf numFmtId="0" fontId="27" fillId="0" borderId="316" xfId="0" applyFont="1" applyBorder="1" applyAlignment="1">
      <alignment vertical="center"/>
    </xf>
    <xf numFmtId="0" fontId="27" fillId="0" borderId="273" xfId="0" applyFont="1" applyFill="1" applyBorder="1" applyAlignment="1">
      <alignment horizontal="center" vertical="center" wrapText="1"/>
    </xf>
    <xf numFmtId="0" fontId="27" fillId="0" borderId="358" xfId="0" applyFont="1" applyFill="1" applyBorder="1" applyAlignment="1">
      <alignment horizontal="center" vertical="center" wrapText="1"/>
    </xf>
    <xf numFmtId="0" fontId="27" fillId="0" borderId="360" xfId="0" applyFont="1" applyBorder="1" applyAlignment="1">
      <alignment vertical="center"/>
    </xf>
    <xf numFmtId="0" fontId="27" fillId="0" borderId="321" xfId="0" applyFont="1" applyBorder="1" applyAlignment="1">
      <alignment vertical="center"/>
    </xf>
    <xf numFmtId="0" fontId="27" fillId="0" borderId="322" xfId="0" applyFont="1" applyBorder="1" applyAlignment="1">
      <alignment horizontal="left" vertical="center"/>
    </xf>
    <xf numFmtId="164" fontId="27" fillId="0" borderId="273" xfId="0" applyNumberFormat="1" applyFont="1" applyFill="1" applyBorder="1" applyAlignment="1">
      <alignment horizontal="center" vertical="center" wrapText="1"/>
    </xf>
    <xf numFmtId="3" fontId="27" fillId="0" borderId="273" xfId="0" applyNumberFormat="1" applyFont="1" applyFill="1" applyBorder="1" applyAlignment="1">
      <alignment horizontal="center" vertical="center" wrapText="1"/>
    </xf>
    <xf numFmtId="164" fontId="27" fillId="0" borderId="358" xfId="0" applyNumberFormat="1" applyFont="1" applyFill="1" applyBorder="1" applyAlignment="1">
      <alignment horizontal="center" vertical="center" wrapText="1"/>
    </xf>
    <xf numFmtId="0" fontId="34" fillId="0" borderId="363" xfId="0" applyFont="1" applyBorder="1" applyAlignment="1">
      <alignment horizontal="left" vertical="center"/>
    </xf>
    <xf numFmtId="0" fontId="57" fillId="27" borderId="309" xfId="0" applyFont="1" applyFill="1" applyBorder="1" applyAlignment="1">
      <alignment vertical="center"/>
    </xf>
    <xf numFmtId="164" fontId="57" fillId="27" borderId="309" xfId="0" applyNumberFormat="1" applyFont="1" applyFill="1" applyBorder="1" applyAlignment="1">
      <alignment vertical="center"/>
    </xf>
    <xf numFmtId="0" fontId="57" fillId="27" borderId="364" xfId="0" applyFont="1" applyFill="1" applyBorder="1" applyAlignment="1">
      <alignment vertical="center"/>
    </xf>
    <xf numFmtId="0" fontId="34" fillId="0" borderId="365" xfId="0" applyFont="1" applyBorder="1" applyAlignment="1">
      <alignment vertical="center"/>
    </xf>
    <xf numFmtId="0" fontId="34" fillId="0" borderId="309" xfId="0" applyFont="1" applyBorder="1" applyAlignment="1">
      <alignment vertical="center"/>
    </xf>
    <xf numFmtId="0" fontId="57" fillId="0" borderId="309" xfId="0" applyFont="1" applyBorder="1" applyAlignment="1">
      <alignment vertical="center"/>
    </xf>
    <xf numFmtId="0" fontId="34" fillId="0" borderId="366" xfId="0" applyFont="1" applyBorder="1" applyAlignment="1">
      <alignment vertical="center"/>
    </xf>
    <xf numFmtId="0" fontId="34" fillId="0" borderId="367" xfId="0" applyFont="1" applyBorder="1" applyAlignment="1">
      <alignment vertical="center"/>
    </xf>
    <xf numFmtId="0" fontId="57" fillId="0" borderId="367" xfId="0" applyFont="1" applyBorder="1" applyAlignment="1">
      <alignment vertical="center"/>
    </xf>
    <xf numFmtId="0" fontId="57" fillId="27" borderId="367" xfId="0" applyFont="1" applyFill="1" applyBorder="1" applyAlignment="1">
      <alignment vertical="center"/>
    </xf>
    <xf numFmtId="0" fontId="57" fillId="27" borderId="368" xfId="0" applyFont="1" applyFill="1" applyBorder="1" applyAlignment="1">
      <alignment vertical="center"/>
    </xf>
    <xf numFmtId="0" fontId="50" fillId="27" borderId="367" xfId="0" applyFont="1" applyFill="1" applyBorder="1" applyAlignment="1">
      <alignment vertical="center"/>
    </xf>
    <xf numFmtId="164" fontId="57" fillId="27" borderId="367" xfId="0" applyNumberFormat="1" applyFont="1" applyFill="1" applyBorder="1" applyAlignment="1">
      <alignment vertical="center"/>
    </xf>
    <xf numFmtId="0" fontId="50" fillId="27" borderId="368" xfId="0" applyFont="1" applyFill="1" applyBorder="1" applyAlignment="1">
      <alignment vertical="center"/>
    </xf>
    <xf numFmtId="0" fontId="27" fillId="0" borderId="369" xfId="0" applyFont="1" applyBorder="1" applyAlignment="1">
      <alignment vertical="center"/>
    </xf>
    <xf numFmtId="0" fontId="27" fillId="27" borderId="370" xfId="0" applyFont="1" applyFill="1" applyBorder="1" applyAlignment="1">
      <alignment vertical="center"/>
    </xf>
    <xf numFmtId="0" fontId="48" fillId="27" borderId="370" xfId="0" applyFont="1" applyFill="1" applyBorder="1" applyAlignment="1">
      <alignment vertical="center" wrapText="1"/>
    </xf>
    <xf numFmtId="0" fontId="48" fillId="27" borderId="370" xfId="0" applyFont="1" applyFill="1" applyBorder="1" applyAlignment="1">
      <alignment horizontal="right" vertical="center" wrapText="1"/>
    </xf>
    <xf numFmtId="165" fontId="48" fillId="27" borderId="370" xfId="0" applyNumberFormat="1" applyFont="1" applyFill="1" applyBorder="1" applyAlignment="1">
      <alignment vertical="center" wrapText="1"/>
    </xf>
    <xf numFmtId="165" fontId="48" fillId="27" borderId="370" xfId="0" applyNumberFormat="1" applyFont="1" applyFill="1" applyBorder="1" applyAlignment="1">
      <alignment horizontal="right" vertical="center" wrapText="1"/>
    </xf>
    <xf numFmtId="165" fontId="27" fillId="0" borderId="370" xfId="0" applyNumberFormat="1" applyFont="1" applyBorder="1" applyAlignment="1">
      <alignment vertical="center"/>
    </xf>
    <xf numFmtId="165" fontId="48" fillId="27" borderId="371" xfId="0" applyNumberFormat="1" applyFont="1" applyFill="1" applyBorder="1" applyAlignment="1">
      <alignment vertical="center" wrapText="1"/>
    </xf>
    <xf numFmtId="0" fontId="27" fillId="0" borderId="372" xfId="0" applyFont="1" applyBorder="1" applyAlignment="1">
      <alignment vertical="center" wrapText="1"/>
    </xf>
    <xf numFmtId="0" fontId="27" fillId="27" borderId="309" xfId="0" applyFont="1" applyFill="1" applyBorder="1" applyAlignment="1">
      <alignment vertical="center" wrapText="1"/>
    </xf>
    <xf numFmtId="0" fontId="48" fillId="27" borderId="309" xfId="0" applyFont="1" applyFill="1" applyBorder="1" applyAlignment="1">
      <alignment vertical="center" wrapText="1"/>
    </xf>
    <xf numFmtId="0" fontId="48" fillId="27" borderId="309" xfId="0" applyFont="1" applyFill="1" applyBorder="1" applyAlignment="1">
      <alignment vertical="center"/>
    </xf>
    <xf numFmtId="0" fontId="48" fillId="27" borderId="373" xfId="0" applyFont="1" applyFill="1" applyBorder="1" applyAlignment="1">
      <alignment vertical="center"/>
    </xf>
    <xf numFmtId="0" fontId="27" fillId="0" borderId="372" xfId="0" applyFont="1" applyBorder="1" applyAlignment="1">
      <alignment vertical="center"/>
    </xf>
    <xf numFmtId="0" fontId="48" fillId="27" borderId="309" xfId="0" applyFont="1" applyFill="1" applyBorder="1" applyAlignment="1">
      <alignment horizontal="right" vertical="center" wrapText="1"/>
    </xf>
    <xf numFmtId="165" fontId="48" fillId="27" borderId="309" xfId="0" applyNumberFormat="1" applyFont="1" applyFill="1" applyBorder="1" applyAlignment="1">
      <alignment horizontal="right" vertical="center" wrapText="1"/>
    </xf>
    <xf numFmtId="0" fontId="48" fillId="27" borderId="373" xfId="0" applyFont="1" applyFill="1" applyBorder="1" applyAlignment="1">
      <alignment horizontal="right" vertical="center" wrapText="1"/>
    </xf>
    <xf numFmtId="0" fontId="48" fillId="0" borderId="309" xfId="0" applyFont="1" applyBorder="1" applyAlignment="1">
      <alignment vertical="center"/>
    </xf>
    <xf numFmtId="165" fontId="27" fillId="0" borderId="309" xfId="0" applyNumberFormat="1" applyFont="1" applyBorder="1" applyAlignment="1">
      <alignment vertical="center"/>
    </xf>
    <xf numFmtId="0" fontId="27" fillId="0" borderId="373" xfId="0" applyFont="1" applyBorder="1" applyAlignment="1">
      <alignment vertical="center"/>
    </xf>
    <xf numFmtId="165" fontId="48" fillId="27" borderId="309" xfId="0" applyNumberFormat="1" applyFont="1" applyFill="1" applyBorder="1" applyAlignment="1">
      <alignment vertical="center" wrapText="1"/>
    </xf>
    <xf numFmtId="165" fontId="48" fillId="27" borderId="373" xfId="0" applyNumberFormat="1" applyFont="1" applyFill="1" applyBorder="1" applyAlignment="1">
      <alignment vertical="center" wrapText="1"/>
    </xf>
    <xf numFmtId="0" fontId="53" fillId="27" borderId="309" xfId="0" applyFont="1" applyFill="1" applyBorder="1" applyAlignment="1">
      <alignment vertical="center" wrapText="1"/>
    </xf>
    <xf numFmtId="0" fontId="53" fillId="27" borderId="309" xfId="0" applyFont="1" applyFill="1" applyBorder="1" applyAlignment="1">
      <alignment horizontal="right" vertical="center" wrapText="1"/>
    </xf>
    <xf numFmtId="165" fontId="53" fillId="27" borderId="309" xfId="0" applyNumberFormat="1" applyFont="1" applyFill="1" applyBorder="1" applyAlignment="1">
      <alignment vertical="center" wrapText="1"/>
    </xf>
    <xf numFmtId="165" fontId="53" fillId="27" borderId="309" xfId="0" applyNumberFormat="1" applyFont="1" applyFill="1" applyBorder="1" applyAlignment="1">
      <alignment horizontal="right" vertical="center" wrapText="1"/>
    </xf>
    <xf numFmtId="165" fontId="51" fillId="0" borderId="309" xfId="0" applyNumberFormat="1" applyFont="1" applyBorder="1" applyAlignment="1">
      <alignment vertical="center"/>
    </xf>
    <xf numFmtId="0" fontId="27" fillId="0" borderId="374" xfId="0" applyFont="1" applyBorder="1" applyAlignment="1">
      <alignment vertical="center"/>
    </xf>
    <xf numFmtId="0" fontId="27" fillId="27" borderId="375" xfId="0" applyFont="1" applyFill="1" applyBorder="1" applyAlignment="1">
      <alignment vertical="center"/>
    </xf>
    <xf numFmtId="0" fontId="53" fillId="27" borderId="375" xfId="0" applyFont="1" applyFill="1" applyBorder="1" applyAlignment="1">
      <alignment vertical="center" wrapText="1"/>
    </xf>
    <xf numFmtId="0" fontId="53" fillId="27" borderId="375" xfId="0" applyFont="1" applyFill="1" applyBorder="1" applyAlignment="1">
      <alignment horizontal="right" vertical="center" wrapText="1"/>
    </xf>
    <xf numFmtId="165" fontId="53" fillId="27" borderId="375" xfId="0" applyNumberFormat="1" applyFont="1" applyFill="1" applyBorder="1" applyAlignment="1">
      <alignment vertical="center" wrapText="1"/>
    </xf>
    <xf numFmtId="165" fontId="53" fillId="27" borderId="375" xfId="0" applyNumberFormat="1" applyFont="1" applyFill="1" applyBorder="1" applyAlignment="1">
      <alignment horizontal="right" vertical="center" wrapText="1"/>
    </xf>
    <xf numFmtId="165" fontId="48" fillId="27" borderId="376" xfId="0" applyNumberFormat="1" applyFont="1" applyFill="1" applyBorder="1" applyAlignment="1">
      <alignment vertical="center" wrapText="1"/>
    </xf>
    <xf numFmtId="0" fontId="50" fillId="27" borderId="391" xfId="0" applyFont="1" applyFill="1" applyBorder="1" applyAlignment="1">
      <alignment vertical="center"/>
    </xf>
    <xf numFmtId="0" fontId="50" fillId="0" borderId="392" xfId="0" applyFont="1" applyBorder="1" applyAlignment="1">
      <alignment vertical="center"/>
    </xf>
    <xf numFmtId="0" fontId="27" fillId="0" borderId="378" xfId="0" applyFont="1" applyBorder="1" applyAlignment="1">
      <alignment vertical="center"/>
    </xf>
    <xf numFmtId="0" fontId="78" fillId="27" borderId="398" xfId="0" applyFont="1" applyFill="1" applyBorder="1" applyAlignment="1">
      <alignment horizontal="right" vertical="center" wrapText="1"/>
    </xf>
    <xf numFmtId="0" fontId="78" fillId="27" borderId="404" xfId="0" applyFont="1" applyFill="1" applyBorder="1" applyAlignment="1">
      <alignment horizontal="right" vertical="center" wrapText="1"/>
    </xf>
    <xf numFmtId="0" fontId="50" fillId="0" borderId="391" xfId="0" applyFont="1" applyBorder="1" applyAlignment="1">
      <alignment vertical="center"/>
    </xf>
    <xf numFmtId="0" fontId="50" fillId="0" borderId="410" xfId="0" applyFont="1" applyBorder="1" applyAlignment="1">
      <alignment wrapText="1"/>
    </xf>
    <xf numFmtId="0" fontId="27" fillId="0" borderId="321" xfId="0" applyFont="1" applyBorder="1" applyAlignment="1">
      <alignment horizontal="left" vertical="center"/>
    </xf>
    <xf numFmtId="3" fontId="27" fillId="0" borderId="284" xfId="0" applyNumberFormat="1" applyFont="1" applyFill="1" applyBorder="1" applyAlignment="1">
      <alignment horizontal="center" vertical="center"/>
    </xf>
    <xf numFmtId="0" fontId="27" fillId="33" borderId="296" xfId="0" applyFont="1" applyFill="1" applyBorder="1" applyAlignment="1">
      <alignment horizontal="left" vertical="center"/>
    </xf>
    <xf numFmtId="0" fontId="27" fillId="33" borderId="284" xfId="0" applyFont="1" applyFill="1" applyBorder="1" applyAlignment="1">
      <alignment horizontal="left" vertical="center"/>
    </xf>
    <xf numFmtId="0" fontId="27" fillId="33" borderId="238" xfId="0" applyFont="1" applyFill="1" applyBorder="1" applyAlignment="1">
      <alignment vertical="center"/>
    </xf>
    <xf numFmtId="0" fontId="27" fillId="33" borderId="239" xfId="0" applyFont="1" applyFill="1" applyBorder="1" applyAlignment="1">
      <alignment vertical="center"/>
    </xf>
    <xf numFmtId="165" fontId="27" fillId="0" borderId="239" xfId="0" applyNumberFormat="1" applyFont="1" applyBorder="1" applyAlignment="1">
      <alignment horizontal="center" vertical="center"/>
    </xf>
    <xf numFmtId="165" fontId="27" fillId="0" borderId="110" xfId="0" applyNumberFormat="1" applyFont="1" applyBorder="1" applyAlignment="1">
      <alignment horizontal="center" vertical="center"/>
    </xf>
    <xf numFmtId="0" fontId="34" fillId="0" borderId="12" xfId="0" applyFont="1" applyFill="1" applyBorder="1" applyAlignment="1">
      <alignment vertical="center" wrapText="1"/>
    </xf>
    <xf numFmtId="0" fontId="34" fillId="0" borderId="0" xfId="0" applyFont="1" applyFill="1" applyBorder="1" applyAlignment="1">
      <alignment vertical="center" wrapText="1"/>
    </xf>
    <xf numFmtId="0" fontId="34" fillId="0" borderId="162" xfId="0" applyFont="1" applyFill="1" applyBorder="1" applyAlignment="1">
      <alignment vertical="center" wrapText="1"/>
    </xf>
    <xf numFmtId="0" fontId="27" fillId="0" borderId="273" xfId="0" applyFont="1" applyBorder="1" applyAlignment="1">
      <alignment vertical="center" wrapText="1"/>
    </xf>
    <xf numFmtId="0" fontId="27" fillId="0" borderId="320" xfId="0" applyFont="1" applyBorder="1" applyAlignment="1">
      <alignment vertical="center"/>
    </xf>
    <xf numFmtId="0" fontId="27" fillId="0" borderId="321" xfId="0" applyFont="1" applyBorder="1" applyAlignment="1">
      <alignment vertical="center"/>
    </xf>
    <xf numFmtId="0" fontId="64" fillId="41" borderId="0" xfId="35" applyFont="1" applyFill="1" applyBorder="1" applyAlignment="1" applyProtection="1">
      <alignment horizontal="center" vertical="center"/>
    </xf>
    <xf numFmtId="0" fontId="64" fillId="41" borderId="13" xfId="35" applyFont="1" applyFill="1" applyBorder="1" applyAlignment="1" applyProtection="1">
      <alignment horizontal="center" vertical="center"/>
    </xf>
    <xf numFmtId="165" fontId="27" fillId="0" borderId="262" xfId="0" applyNumberFormat="1" applyFont="1" applyFill="1" applyBorder="1" applyAlignment="1">
      <alignment horizontal="center" vertical="center"/>
    </xf>
    <xf numFmtId="165" fontId="27" fillId="0" borderId="263" xfId="0" applyNumberFormat="1" applyFont="1" applyFill="1" applyBorder="1" applyAlignment="1">
      <alignment horizontal="center" vertical="center"/>
    </xf>
    <xf numFmtId="165" fontId="27" fillId="0" borderId="274" xfId="0" applyNumberFormat="1" applyFont="1" applyFill="1" applyBorder="1" applyAlignment="1">
      <alignment horizontal="center" vertical="center"/>
    </xf>
    <xf numFmtId="3" fontId="27" fillId="0" borderId="273" xfId="0" applyNumberFormat="1" applyFont="1" applyFill="1" applyBorder="1" applyAlignment="1">
      <alignment horizontal="center" vertical="center"/>
    </xf>
    <xf numFmtId="0" fontId="34" fillId="41" borderId="332" xfId="0" applyFont="1" applyFill="1" applyBorder="1" applyAlignment="1">
      <alignment vertical="center"/>
    </xf>
    <xf numFmtId="0" fontId="34" fillId="41" borderId="170" xfId="0" applyFont="1" applyFill="1" applyBorder="1" applyAlignment="1">
      <alignment vertical="center"/>
    </xf>
    <xf numFmtId="0" fontId="27" fillId="35" borderId="273" xfId="0" applyFont="1" applyFill="1" applyBorder="1" applyAlignment="1">
      <alignment horizontal="center" vertical="center" wrapText="1"/>
    </xf>
    <xf numFmtId="165" fontId="27" fillId="0" borderId="273" xfId="0" applyNumberFormat="1" applyFont="1" applyFill="1" applyBorder="1" applyAlignment="1">
      <alignment horizontal="center" vertical="center"/>
    </xf>
    <xf numFmtId="0" fontId="28" fillId="41" borderId="262" xfId="0" applyFont="1" applyFill="1" applyBorder="1" applyAlignment="1">
      <alignment vertical="center"/>
    </xf>
    <xf numFmtId="0" fontId="28" fillId="41" borderId="263" xfId="0" applyFont="1" applyFill="1" applyBorder="1" applyAlignment="1">
      <alignment vertical="center"/>
    </xf>
    <xf numFmtId="0" fontId="28" fillId="41" borderId="274" xfId="0" applyFont="1" applyFill="1" applyBorder="1" applyAlignment="1">
      <alignment vertical="center"/>
    </xf>
    <xf numFmtId="0" fontId="27" fillId="27" borderId="12" xfId="0" applyFont="1" applyFill="1" applyBorder="1" applyAlignment="1">
      <alignment vertical="center" wrapText="1"/>
    </xf>
    <xf numFmtId="0" fontId="1" fillId="0" borderId="0" xfId="0" applyFont="1" applyBorder="1" applyAlignment="1">
      <alignment vertical="center" wrapText="1"/>
    </xf>
    <xf numFmtId="0" fontId="1" fillId="0" borderId="13" xfId="0" applyFont="1" applyBorder="1" applyAlignment="1">
      <alignment vertical="center" wrapText="1"/>
    </xf>
    <xf numFmtId="0" fontId="27" fillId="0" borderId="69" xfId="0" applyFont="1" applyBorder="1" applyAlignment="1">
      <alignment horizontal="left" vertical="center"/>
    </xf>
    <xf numFmtId="0" fontId="27" fillId="0" borderId="70" xfId="0" applyFont="1" applyBorder="1" applyAlignment="1">
      <alignment horizontal="left" vertical="center"/>
    </xf>
    <xf numFmtId="0" fontId="27" fillId="0" borderId="76" xfId="0" applyFont="1" applyBorder="1" applyAlignment="1">
      <alignment horizontal="left" vertical="center"/>
    </xf>
    <xf numFmtId="0" fontId="27" fillId="0" borderId="100" xfId="0" applyFont="1" applyBorder="1" applyAlignment="1">
      <alignment horizontal="left" vertical="center"/>
    </xf>
    <xf numFmtId="0" fontId="27" fillId="0" borderId="95" xfId="0" applyFont="1" applyBorder="1" applyAlignment="1">
      <alignment horizontal="left" vertical="center"/>
    </xf>
    <xf numFmtId="0" fontId="27" fillId="0" borderId="96" xfId="0" applyFont="1" applyBorder="1" applyAlignment="1">
      <alignment horizontal="left" vertical="center"/>
    </xf>
    <xf numFmtId="0" fontId="27" fillId="0" borderId="10" xfId="0" applyFont="1" applyBorder="1" applyAlignment="1">
      <alignment horizontal="left" vertical="center"/>
    </xf>
    <xf numFmtId="0" fontId="27" fillId="0" borderId="17" xfId="0" applyFont="1" applyBorder="1" applyAlignment="1">
      <alignment horizontal="left" vertical="center"/>
    </xf>
    <xf numFmtId="0" fontId="27" fillId="0" borderId="36" xfId="0" applyFont="1" applyBorder="1" applyAlignment="1">
      <alignment horizontal="left" vertical="center"/>
    </xf>
    <xf numFmtId="165" fontId="27" fillId="0" borderId="8" xfId="0" applyNumberFormat="1" applyFont="1" applyBorder="1" applyAlignment="1">
      <alignment horizontal="center" vertical="center" wrapText="1"/>
    </xf>
    <xf numFmtId="3" fontId="27" fillId="0" borderId="8" xfId="0" applyNumberFormat="1" applyFont="1" applyBorder="1" applyAlignment="1">
      <alignment horizontal="center" vertical="center" wrapText="1"/>
    </xf>
    <xf numFmtId="1" fontId="38" fillId="0" borderId="8" xfId="0" applyNumberFormat="1" applyFont="1" applyBorder="1" applyAlignment="1">
      <alignment horizontal="center" vertical="center" wrapText="1"/>
    </xf>
    <xf numFmtId="0" fontId="27" fillId="0" borderId="8" xfId="0" applyFont="1" applyBorder="1" applyAlignment="1">
      <alignment vertical="center"/>
    </xf>
    <xf numFmtId="0" fontId="27" fillId="37" borderId="8" xfId="0" applyFont="1" applyFill="1" applyBorder="1" applyAlignment="1">
      <alignment horizontal="center" vertical="center" wrapText="1"/>
    </xf>
    <xf numFmtId="0" fontId="27" fillId="41" borderId="8" xfId="0" applyFont="1" applyFill="1" applyBorder="1" applyAlignment="1">
      <alignment horizontal="center" vertical="center" wrapText="1"/>
    </xf>
    <xf numFmtId="0" fontId="27" fillId="0" borderId="262" xfId="0" applyFont="1" applyBorder="1" applyAlignment="1">
      <alignment horizontal="left" vertical="center" wrapText="1"/>
    </xf>
    <xf numFmtId="0" fontId="27" fillId="0" borderId="263" xfId="0" applyFont="1" applyBorder="1" applyAlignment="1">
      <alignment horizontal="left" vertical="center" wrapText="1"/>
    </xf>
    <xf numFmtId="0" fontId="27" fillId="0" borderId="274" xfId="0" applyFont="1" applyBorder="1" applyAlignment="1">
      <alignment horizontal="left" vertical="center" wrapText="1"/>
    </xf>
    <xf numFmtId="0" fontId="34" fillId="0" borderId="67" xfId="0" applyFont="1" applyFill="1" applyBorder="1" applyAlignment="1">
      <alignment vertical="center" wrapText="1"/>
    </xf>
    <xf numFmtId="0" fontId="34" fillId="0" borderId="68" xfId="0" applyFont="1" applyFill="1" applyBorder="1" applyAlignment="1">
      <alignment vertical="center" wrapText="1"/>
    </xf>
    <xf numFmtId="0" fontId="27" fillId="0" borderId="109" xfId="0" applyFont="1" applyBorder="1" applyAlignment="1">
      <alignment vertical="center"/>
    </xf>
    <xf numFmtId="0" fontId="27" fillId="0" borderId="110" xfId="0" applyFont="1" applyBorder="1" applyAlignment="1">
      <alignment vertical="center"/>
    </xf>
    <xf numFmtId="0" fontId="64" fillId="41" borderId="271" xfId="35" applyFont="1" applyFill="1" applyBorder="1" applyAlignment="1" applyProtection="1">
      <alignment horizontal="center" vertical="center"/>
    </xf>
    <xf numFmtId="0" fontId="64" fillId="41" borderId="272" xfId="35" applyFont="1" applyFill="1" applyBorder="1" applyAlignment="1" applyProtection="1">
      <alignment horizontal="center" vertical="center"/>
    </xf>
    <xf numFmtId="0" fontId="34" fillId="0" borderId="70" xfId="0" applyFont="1" applyFill="1" applyBorder="1" applyAlignment="1">
      <alignment vertical="center" wrapText="1"/>
    </xf>
    <xf numFmtId="0" fontId="34" fillId="0" borderId="76" xfId="0" applyFont="1" applyFill="1" applyBorder="1" applyAlignment="1">
      <alignment vertical="center" wrapText="1"/>
    </xf>
    <xf numFmtId="0" fontId="34" fillId="0" borderId="67" xfId="0" applyFont="1" applyFill="1" applyBorder="1" applyAlignment="1">
      <alignment horizontal="left" vertical="center" wrapText="1"/>
    </xf>
    <xf numFmtId="0" fontId="34" fillId="0" borderId="68" xfId="0" applyFont="1" applyFill="1" applyBorder="1" applyAlignment="1">
      <alignment horizontal="left" vertical="center" wrapText="1"/>
    </xf>
    <xf numFmtId="0" fontId="27" fillId="0" borderId="8" xfId="0" applyFont="1" applyBorder="1" applyAlignment="1">
      <alignment horizontal="center" vertical="center" wrapText="1"/>
    </xf>
    <xf numFmtId="0" fontId="40" fillId="0" borderId="69" xfId="0" applyFont="1" applyBorder="1" applyAlignment="1">
      <alignment horizontal="left" vertical="center" wrapText="1"/>
    </xf>
    <xf numFmtId="0" fontId="40" fillId="0" borderId="70" xfId="0" applyFont="1" applyBorder="1" applyAlignment="1">
      <alignment horizontal="left" vertical="center" wrapText="1"/>
    </xf>
    <xf numFmtId="0" fontId="40" fillId="0" borderId="76" xfId="0" applyFont="1" applyBorder="1" applyAlignment="1">
      <alignment horizontal="left" vertical="center" wrapText="1"/>
    </xf>
    <xf numFmtId="3" fontId="34" fillId="0" borderId="8" xfId="0" applyNumberFormat="1" applyFont="1" applyBorder="1" applyAlignment="1">
      <alignment horizontal="center" vertical="center" wrapText="1"/>
    </xf>
    <xf numFmtId="165" fontId="34" fillId="0" borderId="8" xfId="0" applyNumberFormat="1" applyFont="1" applyBorder="1" applyAlignment="1">
      <alignment horizontal="center" vertical="center" wrapText="1"/>
    </xf>
    <xf numFmtId="0" fontId="37" fillId="41" borderId="377" xfId="0" applyFont="1" applyFill="1" applyBorder="1" applyAlignment="1">
      <alignment vertical="center"/>
    </xf>
    <xf numFmtId="0" fontId="37" fillId="41" borderId="378" xfId="0" applyFont="1" applyFill="1" applyBorder="1" applyAlignment="1">
      <alignment vertical="center"/>
    </xf>
    <xf numFmtId="0" fontId="64" fillId="41" borderId="378" xfId="35" applyFont="1" applyFill="1" applyBorder="1" applyAlignment="1" applyProtection="1">
      <alignment horizontal="center" vertical="center"/>
    </xf>
    <xf numFmtId="0" fontId="64" fillId="41" borderId="379" xfId="35" applyFont="1" applyFill="1" applyBorder="1" applyAlignment="1" applyProtection="1">
      <alignment horizontal="center" vertical="center"/>
    </xf>
    <xf numFmtId="0" fontId="89" fillId="41" borderId="74" xfId="0" applyFont="1" applyFill="1" applyBorder="1" applyAlignment="1">
      <alignment vertical="center"/>
    </xf>
    <xf numFmtId="0" fontId="89" fillId="41" borderId="75" xfId="0" applyFont="1" applyFill="1" applyBorder="1" applyAlignment="1">
      <alignment vertical="center"/>
    </xf>
    <xf numFmtId="0" fontId="64" fillId="41" borderId="64" xfId="35" applyFont="1" applyFill="1" applyBorder="1" applyAlignment="1" applyProtection="1">
      <alignment horizontal="center" vertical="center"/>
    </xf>
    <xf numFmtId="0" fontId="64" fillId="41" borderId="65" xfId="35" applyFont="1" applyFill="1" applyBorder="1" applyAlignment="1" applyProtection="1">
      <alignment horizontal="center" vertical="center"/>
    </xf>
    <xf numFmtId="0" fontId="28" fillId="41" borderId="21" xfId="0" applyFont="1" applyFill="1" applyBorder="1" applyAlignment="1">
      <alignment vertical="center"/>
    </xf>
    <xf numFmtId="0" fontId="28" fillId="41" borderId="27" xfId="0" applyFont="1" applyFill="1" applyBorder="1" applyAlignment="1">
      <alignment vertical="center"/>
    </xf>
    <xf numFmtId="0" fontId="64" fillId="41" borderId="27" xfId="35" applyFont="1" applyFill="1" applyBorder="1" applyAlignment="1" applyProtection="1">
      <alignment horizontal="center" vertical="center"/>
    </xf>
    <xf numFmtId="0" fontId="64" fillId="41" borderId="63" xfId="35" applyFont="1" applyFill="1" applyBorder="1" applyAlignment="1" applyProtection="1">
      <alignment horizontal="center" vertical="center"/>
    </xf>
    <xf numFmtId="0" fontId="30" fillId="41" borderId="266" xfId="0" applyFont="1" applyFill="1" applyBorder="1" applyAlignment="1">
      <alignment horizontal="left" vertical="center" wrapText="1"/>
    </xf>
    <xf numFmtId="0" fontId="30" fillId="41" borderId="267" xfId="0" applyFont="1" applyFill="1" applyBorder="1" applyAlignment="1">
      <alignment horizontal="left" vertical="center" wrapText="1"/>
    </xf>
    <xf numFmtId="0" fontId="30" fillId="41" borderId="12" xfId="0" applyFont="1" applyFill="1" applyBorder="1" applyAlignment="1">
      <alignment horizontal="left" vertical="center" wrapText="1"/>
    </xf>
    <xf numFmtId="0" fontId="30" fillId="41" borderId="18" xfId="0" applyFont="1" applyFill="1" applyBorder="1" applyAlignment="1">
      <alignment horizontal="left" vertical="center" wrapText="1"/>
    </xf>
    <xf numFmtId="0" fontId="34" fillId="0" borderId="10" xfId="0" applyFont="1" applyFill="1" applyBorder="1" applyAlignment="1">
      <alignment vertical="center" wrapText="1"/>
    </xf>
    <xf numFmtId="0" fontId="34" fillId="0" borderId="17" xfId="0" applyFont="1" applyFill="1" applyBorder="1" applyAlignment="1">
      <alignment vertical="center" wrapText="1"/>
    </xf>
    <xf numFmtId="0" fontId="34" fillId="0" borderId="36" xfId="0" applyFont="1" applyFill="1" applyBorder="1" applyAlignment="1">
      <alignment vertical="center" wrapText="1"/>
    </xf>
    <xf numFmtId="0" fontId="27" fillId="0" borderId="79" xfId="0" applyFont="1" applyBorder="1" applyAlignment="1">
      <alignment vertical="center" wrapText="1"/>
    </xf>
    <xf numFmtId="0" fontId="27" fillId="0" borderId="80" xfId="0" applyFont="1" applyBorder="1" applyAlignment="1">
      <alignment vertical="center" wrapText="1"/>
    </xf>
    <xf numFmtId="165" fontId="38" fillId="0" borderId="8" xfId="0" applyNumberFormat="1" applyFont="1" applyBorder="1" applyAlignment="1">
      <alignment horizontal="center" vertical="center" wrapText="1"/>
    </xf>
    <xf numFmtId="0" fontId="34" fillId="0" borderId="10" xfId="0" applyFont="1" applyFill="1" applyBorder="1" applyAlignment="1">
      <alignment horizontal="left" vertical="center" wrapText="1"/>
    </xf>
    <xf numFmtId="0" fontId="34" fillId="0" borderId="17" xfId="0" applyFont="1" applyFill="1" applyBorder="1" applyAlignment="1">
      <alignment horizontal="left" vertical="center" wrapText="1"/>
    </xf>
    <xf numFmtId="0" fontId="29" fillId="34" borderId="10" xfId="0" applyFont="1" applyFill="1" applyBorder="1" applyAlignment="1">
      <alignment horizontal="left" vertical="center" wrapText="1"/>
    </xf>
    <xf numFmtId="0" fontId="29" fillId="34" borderId="17" xfId="0" applyFont="1" applyFill="1" applyBorder="1" applyAlignment="1">
      <alignment horizontal="left" vertical="center" wrapText="1"/>
    </xf>
    <xf numFmtId="0" fontId="106" fillId="0" borderId="73" xfId="0" applyFont="1" applyBorder="1" applyAlignment="1">
      <alignment vertical="center" wrapText="1"/>
    </xf>
    <xf numFmtId="0" fontId="38" fillId="0" borderId="73" xfId="0" applyFont="1" applyBorder="1" applyAlignment="1">
      <alignment vertical="center" wrapText="1"/>
    </xf>
    <xf numFmtId="0" fontId="38" fillId="0" borderId="81" xfId="0" applyFont="1" applyBorder="1" applyAlignment="1">
      <alignment vertical="center" wrapText="1"/>
    </xf>
    <xf numFmtId="165" fontId="36" fillId="27" borderId="8" xfId="0" applyNumberFormat="1" applyFont="1" applyFill="1" applyBorder="1" applyAlignment="1">
      <alignment horizontal="center" vertical="center" wrapText="1"/>
    </xf>
    <xf numFmtId="165" fontId="36" fillId="27" borderId="8" xfId="0" applyNumberFormat="1" applyFont="1" applyFill="1" applyBorder="1" applyAlignment="1">
      <alignment vertical="center" wrapText="1"/>
    </xf>
    <xf numFmtId="0" fontId="27" fillId="35" borderId="8" xfId="0" applyFont="1" applyFill="1" applyBorder="1" applyAlignment="1">
      <alignment horizontal="center" vertical="center" wrapText="1"/>
    </xf>
    <xf numFmtId="0" fontId="27" fillId="41" borderId="77" xfId="0" applyFont="1" applyFill="1" applyBorder="1" applyAlignment="1">
      <alignment horizontal="left" vertical="center" wrapText="1"/>
    </xf>
    <xf numFmtId="0" fontId="27" fillId="41" borderId="78" xfId="0" applyFont="1" applyFill="1" applyBorder="1" applyAlignment="1">
      <alignment horizontal="left" vertical="center" wrapText="1"/>
    </xf>
    <xf numFmtId="0" fontId="38" fillId="0" borderId="69" xfId="0" applyFont="1" applyBorder="1" applyAlignment="1">
      <alignment horizontal="left" vertical="center"/>
    </xf>
    <xf numFmtId="0" fontId="38" fillId="0" borderId="70" xfId="0" applyFont="1" applyBorder="1" applyAlignment="1">
      <alignment horizontal="left" vertical="center"/>
    </xf>
    <xf numFmtId="0" fontId="38" fillId="0" borderId="71" xfId="0" applyFont="1" applyBorder="1" applyAlignment="1">
      <alignment horizontal="left" vertical="center"/>
    </xf>
    <xf numFmtId="0" fontId="40" fillId="41" borderId="8" xfId="0" applyFont="1" applyFill="1" applyBorder="1" applyAlignment="1">
      <alignment horizontal="left" vertical="center" wrapText="1"/>
    </xf>
    <xf numFmtId="0" fontId="27" fillId="0" borderId="179" xfId="0" applyFont="1" applyBorder="1" applyAlignment="1">
      <alignment vertical="center" wrapText="1"/>
    </xf>
    <xf numFmtId="0" fontId="27" fillId="0" borderId="180" xfId="0" applyFont="1" applyBorder="1" applyAlignment="1">
      <alignment vertical="center" wrapText="1"/>
    </xf>
    <xf numFmtId="0" fontId="27" fillId="0" borderId="181" xfId="0" applyFont="1" applyBorder="1" applyAlignment="1">
      <alignment vertical="center" wrapText="1"/>
    </xf>
    <xf numFmtId="0" fontId="27" fillId="44" borderId="8" xfId="0" applyFont="1" applyFill="1" applyBorder="1" applyAlignment="1">
      <alignment horizontal="center" vertical="center" wrapText="1"/>
    </xf>
    <xf numFmtId="0" fontId="28" fillId="41" borderId="63" xfId="0" applyFont="1" applyFill="1" applyBorder="1" applyAlignment="1">
      <alignment vertical="center"/>
    </xf>
    <xf numFmtId="0" fontId="28" fillId="41" borderId="33" xfId="0" applyFont="1" applyFill="1" applyBorder="1" applyAlignment="1">
      <alignment vertical="center"/>
    </xf>
    <xf numFmtId="0" fontId="28" fillId="41" borderId="73" xfId="0" applyFont="1" applyFill="1" applyBorder="1" applyAlignment="1">
      <alignment vertical="center"/>
    </xf>
    <xf numFmtId="0" fontId="28" fillId="41" borderId="11" xfId="0" applyFont="1" applyFill="1" applyBorder="1" applyAlignment="1">
      <alignment vertical="center"/>
    </xf>
    <xf numFmtId="0" fontId="28" fillId="41" borderId="19" xfId="0" applyFont="1" applyFill="1" applyBorder="1" applyAlignment="1">
      <alignment vertical="center"/>
    </xf>
    <xf numFmtId="0" fontId="28" fillId="41" borderId="30" xfId="0" applyFont="1" applyFill="1" applyBorder="1" applyAlignment="1">
      <alignment vertical="center"/>
    </xf>
    <xf numFmtId="0" fontId="28" fillId="41" borderId="17" xfId="0" applyFont="1" applyFill="1" applyBorder="1" applyAlignment="1">
      <alignment vertical="center"/>
    </xf>
    <xf numFmtId="0" fontId="29" fillId="41" borderId="262" xfId="0" applyFont="1" applyFill="1" applyBorder="1" applyAlignment="1">
      <alignment horizontal="left" vertical="center" wrapText="1"/>
    </xf>
    <xf numFmtId="0" fontId="29" fillId="41" borderId="263" xfId="0" applyFont="1" applyFill="1" applyBorder="1" applyAlignment="1">
      <alignment horizontal="left" vertical="center" wrapText="1"/>
    </xf>
    <xf numFmtId="0" fontId="29" fillId="41" borderId="274" xfId="0" applyFont="1" applyFill="1" applyBorder="1" applyAlignment="1">
      <alignment horizontal="left" vertical="center" wrapText="1"/>
    </xf>
    <xf numFmtId="0" fontId="36" fillId="27" borderId="262" xfId="0" applyFont="1" applyFill="1" applyBorder="1" applyAlignment="1">
      <alignment horizontal="left" vertical="center" wrapText="1"/>
    </xf>
    <xf numFmtId="0" fontId="36" fillId="27" borderId="263" xfId="0" applyFont="1" applyFill="1" applyBorder="1" applyAlignment="1">
      <alignment horizontal="left" vertical="center" wrapText="1"/>
    </xf>
    <xf numFmtId="1" fontId="27" fillId="0" borderId="8" xfId="0" applyNumberFormat="1" applyFont="1" applyBorder="1" applyAlignment="1">
      <alignment horizontal="center" vertical="center" wrapText="1"/>
    </xf>
    <xf numFmtId="0" fontId="34" fillId="41" borderId="16" xfId="0" applyFont="1" applyFill="1" applyBorder="1" applyAlignment="1">
      <alignment vertical="center" wrapText="1"/>
    </xf>
    <xf numFmtId="0" fontId="27" fillId="0" borderId="16" xfId="0" applyFont="1" applyBorder="1" applyAlignment="1">
      <alignment vertical="center" wrapText="1"/>
    </xf>
    <xf numFmtId="0" fontId="34" fillId="27" borderId="16" xfId="0" applyFont="1" applyFill="1" applyBorder="1" applyAlignment="1">
      <alignment vertical="center" wrapText="1"/>
    </xf>
    <xf numFmtId="0" fontId="29" fillId="41" borderId="16" xfId="0" applyFont="1" applyFill="1" applyBorder="1" applyAlignment="1">
      <alignment horizontal="left" vertical="center" wrapText="1"/>
    </xf>
    <xf numFmtId="0" fontId="40" fillId="0" borderId="100" xfId="0" applyFont="1" applyBorder="1" applyAlignment="1">
      <alignment horizontal="left" vertical="center" wrapText="1"/>
    </xf>
    <xf numFmtId="0" fontId="40" fillId="0" borderId="95" xfId="0" applyFont="1" applyBorder="1" applyAlignment="1">
      <alignment horizontal="left" vertical="center" wrapText="1"/>
    </xf>
    <xf numFmtId="0" fontId="40" fillId="0" borderId="96" xfId="0" applyFont="1" applyBorder="1" applyAlignment="1">
      <alignment horizontal="left" vertical="center" wrapText="1"/>
    </xf>
    <xf numFmtId="0" fontId="38" fillId="0" borderId="92" xfId="0" applyFont="1" applyBorder="1" applyAlignment="1">
      <alignment horizontal="left" vertical="center"/>
    </xf>
    <xf numFmtId="0" fontId="38" fillId="0" borderId="93" xfId="0" applyFont="1" applyBorder="1" applyAlignment="1">
      <alignment horizontal="left" vertical="center"/>
    </xf>
    <xf numFmtId="0" fontId="38" fillId="0" borderId="94" xfId="0" applyFont="1" applyBorder="1" applyAlignment="1">
      <alignment horizontal="left" vertical="center"/>
    </xf>
    <xf numFmtId="0" fontId="34" fillId="0" borderId="16" xfId="0" applyFont="1" applyFill="1" applyBorder="1" applyAlignment="1">
      <alignment vertical="center" wrapText="1"/>
    </xf>
    <xf numFmtId="0" fontId="34" fillId="24" borderId="105" xfId="0" applyFont="1" applyFill="1" applyBorder="1" applyAlignment="1">
      <alignment vertical="center" wrapText="1"/>
    </xf>
    <xf numFmtId="0" fontId="30" fillId="41" borderId="8" xfId="0" applyFont="1" applyFill="1" applyBorder="1" applyAlignment="1">
      <alignment horizontal="left" vertical="center" wrapText="1"/>
    </xf>
    <xf numFmtId="0" fontId="34" fillId="0" borderId="36" xfId="0" applyFont="1" applyFill="1" applyBorder="1" applyAlignment="1">
      <alignment horizontal="left" vertical="center" wrapText="1"/>
    </xf>
    <xf numFmtId="0" fontId="30" fillId="41" borderId="8" xfId="0" applyFont="1" applyFill="1" applyBorder="1" applyAlignment="1">
      <alignment vertical="center" wrapText="1"/>
    </xf>
    <xf numFmtId="0" fontId="27" fillId="0" borderId="112" xfId="0" applyFont="1" applyFill="1" applyBorder="1" applyAlignment="1">
      <alignment vertical="center" wrapText="1"/>
    </xf>
    <xf numFmtId="0" fontId="27" fillId="0" borderId="113" xfId="0" applyFont="1" applyBorder="1" applyAlignment="1">
      <alignment vertical="center"/>
    </xf>
    <xf numFmtId="0" fontId="27" fillId="0" borderId="114" xfId="0" applyFont="1" applyBorder="1" applyAlignment="1">
      <alignment vertical="center"/>
    </xf>
    <xf numFmtId="0" fontId="27" fillId="0" borderId="270" xfId="0" applyFont="1" applyBorder="1" applyAlignment="1">
      <alignment vertical="center" wrapText="1"/>
    </xf>
    <xf numFmtId="0" fontId="27" fillId="0" borderId="271" xfId="0" applyFont="1" applyBorder="1" applyAlignment="1">
      <alignment vertical="center" wrapText="1"/>
    </xf>
    <xf numFmtId="0" fontId="27" fillId="0" borderId="272" xfId="0" applyFont="1" applyBorder="1" applyAlignment="1">
      <alignment vertical="center" wrapText="1"/>
    </xf>
    <xf numFmtId="0" fontId="38" fillId="0" borderId="133" xfId="0" applyFont="1" applyBorder="1" applyAlignment="1">
      <alignment vertical="center" wrapText="1"/>
    </xf>
    <xf numFmtId="0" fontId="38" fillId="0" borderId="134" xfId="0" applyFont="1" applyBorder="1" applyAlignment="1">
      <alignment vertical="center" wrapText="1"/>
    </xf>
    <xf numFmtId="0" fontId="38" fillId="0" borderId="135" xfId="0" applyFont="1" applyBorder="1" applyAlignment="1">
      <alignment vertical="center" wrapText="1"/>
    </xf>
    <xf numFmtId="2" fontId="27" fillId="33" borderId="12" xfId="0" applyNumberFormat="1" applyFont="1" applyFill="1" applyBorder="1" applyAlignment="1">
      <alignment horizontal="center" vertical="center"/>
    </xf>
    <xf numFmtId="2" fontId="27" fillId="33" borderId="0" xfId="0" applyNumberFormat="1" applyFont="1" applyFill="1" applyBorder="1" applyAlignment="1">
      <alignment horizontal="center" vertical="center"/>
    </xf>
    <xf numFmtId="2" fontId="27" fillId="33" borderId="13" xfId="0" applyNumberFormat="1" applyFont="1" applyFill="1" applyBorder="1" applyAlignment="1">
      <alignment horizontal="center" vertical="center"/>
    </xf>
    <xf numFmtId="2" fontId="27" fillId="0" borderId="11" xfId="0" applyNumberFormat="1" applyFont="1" applyFill="1" applyBorder="1" applyAlignment="1">
      <alignment horizontal="center" vertical="center"/>
    </xf>
    <xf numFmtId="2" fontId="27" fillId="0" borderId="19" xfId="0" applyNumberFormat="1" applyFont="1" applyFill="1" applyBorder="1" applyAlignment="1">
      <alignment horizontal="center" vertical="center"/>
    </xf>
    <xf numFmtId="2" fontId="27" fillId="0" borderId="22" xfId="0" applyNumberFormat="1" applyFont="1" applyFill="1" applyBorder="1" applyAlignment="1">
      <alignment horizontal="center" vertical="center"/>
    </xf>
    <xf numFmtId="0" fontId="27" fillId="24" borderId="106" xfId="0" applyFont="1" applyFill="1" applyBorder="1" applyAlignment="1">
      <alignment vertical="center" wrapText="1"/>
    </xf>
    <xf numFmtId="0" fontId="27" fillId="0" borderId="107" xfId="0" applyFont="1" applyBorder="1" applyAlignment="1">
      <alignment vertical="center"/>
    </xf>
    <xf numFmtId="0" fontId="27" fillId="0" borderId="108" xfId="0" applyFont="1" applyBorder="1" applyAlignment="1">
      <alignment vertical="center"/>
    </xf>
    <xf numFmtId="0" fontId="34" fillId="0" borderId="21" xfId="0" applyFont="1" applyBorder="1" applyAlignment="1">
      <alignment horizontal="left" vertical="center"/>
    </xf>
    <xf numFmtId="0" fontId="34" fillId="0" borderId="27" xfId="0" applyFont="1" applyBorder="1" applyAlignment="1">
      <alignment horizontal="left" vertical="center"/>
    </xf>
    <xf numFmtId="0" fontId="34" fillId="0" borderId="21" xfId="0" applyFont="1" applyBorder="1" applyAlignment="1">
      <alignment vertical="center"/>
    </xf>
    <xf numFmtId="0" fontId="34" fillId="0" borderId="27" xfId="0" applyFont="1" applyBorder="1" applyAlignment="1">
      <alignment vertical="center"/>
    </xf>
    <xf numFmtId="0" fontId="27" fillId="0" borderId="97" xfId="0" applyFont="1" applyBorder="1" applyAlignment="1">
      <alignment vertical="center" wrapText="1"/>
    </xf>
    <xf numFmtId="0" fontId="27" fillId="0" borderId="98" xfId="0" applyFont="1" applyBorder="1" applyAlignment="1">
      <alignment vertical="center" wrapText="1"/>
    </xf>
    <xf numFmtId="0" fontId="27" fillId="0" borderId="99" xfId="0" applyFont="1" applyBorder="1" applyAlignment="1">
      <alignment vertical="center" wrapText="1"/>
    </xf>
    <xf numFmtId="0" fontId="34" fillId="33" borderId="21" xfId="0" applyFont="1" applyFill="1" applyBorder="1" applyAlignment="1">
      <alignment horizontal="left" vertical="center"/>
    </xf>
    <xf numFmtId="0" fontId="34" fillId="33" borderId="27" xfId="0" applyFont="1" applyFill="1" applyBorder="1" applyAlignment="1">
      <alignment horizontal="left" vertical="center"/>
    </xf>
    <xf numFmtId="165" fontId="27" fillId="33" borderId="32" xfId="0" applyNumberFormat="1" applyFont="1" applyFill="1" applyBorder="1" applyAlignment="1">
      <alignment horizontal="center" vertical="center"/>
    </xf>
    <xf numFmtId="165" fontId="27" fillId="33" borderId="0" xfId="0" applyNumberFormat="1" applyFont="1" applyFill="1" applyBorder="1" applyAlignment="1">
      <alignment horizontal="center" vertical="center"/>
    </xf>
    <xf numFmtId="165" fontId="27" fillId="33" borderId="13" xfId="0" applyNumberFormat="1" applyFont="1" applyFill="1" applyBorder="1" applyAlignment="1">
      <alignment horizontal="center" vertical="center"/>
    </xf>
    <xf numFmtId="3" fontId="55" fillId="0" borderId="57" xfId="0" applyNumberFormat="1" applyFont="1" applyFill="1" applyBorder="1" applyAlignment="1">
      <alignment horizontal="center" vertical="center" wrapText="1"/>
    </xf>
    <xf numFmtId="3" fontId="55" fillId="0" borderId="58" xfId="0" applyNumberFormat="1" applyFont="1" applyFill="1" applyBorder="1" applyAlignment="1">
      <alignment horizontal="center" vertical="center" wrapText="1"/>
    </xf>
    <xf numFmtId="3" fontId="55" fillId="0" borderId="59" xfId="0" applyNumberFormat="1" applyFont="1" applyFill="1" applyBorder="1" applyAlignment="1">
      <alignment horizontal="center" vertical="center" wrapText="1"/>
    </xf>
    <xf numFmtId="3" fontId="34" fillId="0" borderId="57" xfId="0" applyNumberFormat="1" applyFont="1" applyFill="1" applyBorder="1" applyAlignment="1">
      <alignment horizontal="center" vertical="center" wrapText="1"/>
    </xf>
    <xf numFmtId="3" fontId="34" fillId="0" borderId="58" xfId="0" applyNumberFormat="1" applyFont="1" applyFill="1" applyBorder="1" applyAlignment="1">
      <alignment horizontal="center" vertical="center" wrapText="1"/>
    </xf>
    <xf numFmtId="3" fontId="34" fillId="0" borderId="59" xfId="0" applyNumberFormat="1" applyFont="1" applyFill="1" applyBorder="1" applyAlignment="1">
      <alignment horizontal="center" vertical="center" wrapText="1"/>
    </xf>
    <xf numFmtId="3" fontId="27" fillId="33" borderId="52" xfId="0" applyNumberFormat="1" applyFont="1" applyFill="1" applyBorder="1" applyAlignment="1">
      <alignment horizontal="center" vertical="center" wrapText="1"/>
    </xf>
    <xf numFmtId="3" fontId="27" fillId="33" borderId="273" xfId="0" applyNumberFormat="1" applyFont="1" applyFill="1" applyBorder="1" applyAlignment="1">
      <alignment horizontal="center" vertical="center" wrapText="1"/>
    </xf>
    <xf numFmtId="3" fontId="27" fillId="33" borderId="262" xfId="0" applyNumberFormat="1" applyFont="1" applyFill="1" applyBorder="1" applyAlignment="1">
      <alignment horizontal="center" vertical="center" wrapText="1"/>
    </xf>
    <xf numFmtId="0" fontId="27" fillId="35" borderId="16" xfId="0" applyFont="1" applyFill="1" applyBorder="1" applyAlignment="1">
      <alignment horizontal="center" vertical="center" wrapText="1"/>
    </xf>
    <xf numFmtId="0" fontId="27" fillId="44" borderId="16" xfId="0" applyFont="1" applyFill="1" applyBorder="1" applyAlignment="1">
      <alignment horizontal="center" vertical="center"/>
    </xf>
    <xf numFmtId="0" fontId="27" fillId="39" borderId="16" xfId="0" applyFont="1" applyFill="1" applyBorder="1" applyAlignment="1">
      <alignment horizontal="center" vertical="center"/>
    </xf>
    <xf numFmtId="0" fontId="27" fillId="39" borderId="169" xfId="0" applyFont="1" applyFill="1" applyBorder="1" applyAlignment="1">
      <alignment horizontal="center" vertical="center"/>
    </xf>
    <xf numFmtId="0" fontId="27" fillId="0" borderId="106" xfId="0" applyFont="1" applyBorder="1" applyAlignment="1">
      <alignment vertical="center" wrapText="1"/>
    </xf>
    <xf numFmtId="0" fontId="27" fillId="0" borderId="107" xfId="0" applyFont="1" applyBorder="1" applyAlignment="1">
      <alignment vertical="center" wrapText="1"/>
    </xf>
    <xf numFmtId="0" fontId="27" fillId="0" borderId="108" xfId="0" applyFont="1" applyBorder="1" applyAlignment="1">
      <alignment vertical="center" wrapText="1"/>
    </xf>
    <xf numFmtId="0" fontId="34" fillId="0" borderId="74" xfId="0" applyFont="1" applyBorder="1" applyAlignment="1">
      <alignment horizontal="left" vertical="center"/>
    </xf>
    <xf numFmtId="0" fontId="34" fillId="0" borderId="75" xfId="0" applyFont="1" applyBorder="1" applyAlignment="1">
      <alignment horizontal="left" vertical="center"/>
    </xf>
    <xf numFmtId="2" fontId="40" fillId="33" borderId="12" xfId="0" applyNumberFormat="1" applyFont="1" applyFill="1" applyBorder="1" applyAlignment="1">
      <alignment horizontal="center" vertical="center" wrapText="1"/>
    </xf>
    <xf numFmtId="2" fontId="40" fillId="33" borderId="0" xfId="0" applyNumberFormat="1" applyFont="1" applyFill="1" applyBorder="1" applyAlignment="1">
      <alignment horizontal="center" vertical="center" wrapText="1"/>
    </xf>
    <xf numFmtId="2" fontId="40" fillId="33" borderId="13" xfId="0" applyNumberFormat="1" applyFont="1" applyFill="1" applyBorder="1" applyAlignment="1">
      <alignment horizontal="center" vertical="center" wrapText="1"/>
    </xf>
    <xf numFmtId="0" fontId="72" fillId="33" borderId="262" xfId="0" applyFont="1" applyFill="1" applyBorder="1" applyAlignment="1">
      <alignment horizontal="left" vertical="center" wrapText="1"/>
    </xf>
    <xf numFmtId="0" fontId="72" fillId="33" borderId="263" xfId="0" applyFont="1" applyFill="1" applyBorder="1" applyAlignment="1">
      <alignment horizontal="left" vertical="center" wrapText="1"/>
    </xf>
    <xf numFmtId="0" fontId="27" fillId="27" borderId="29" xfId="0" applyFont="1" applyFill="1" applyBorder="1" applyAlignment="1">
      <alignment vertical="center"/>
    </xf>
    <xf numFmtId="0" fontId="27" fillId="27" borderId="19" xfId="0" applyFont="1" applyFill="1" applyBorder="1" applyAlignment="1">
      <alignment vertical="center"/>
    </xf>
    <xf numFmtId="0" fontId="27" fillId="27" borderId="20" xfId="0" applyFont="1" applyFill="1" applyBorder="1" applyAlignment="1">
      <alignment vertical="center"/>
    </xf>
    <xf numFmtId="0" fontId="28" fillId="41" borderId="265" xfId="0" applyFont="1" applyFill="1" applyBorder="1" applyAlignment="1">
      <alignment vertical="center"/>
    </xf>
    <xf numFmtId="0" fontId="28" fillId="41" borderId="260" xfId="0" applyFont="1" applyFill="1" applyBorder="1" applyAlignment="1">
      <alignment vertical="center"/>
    </xf>
    <xf numFmtId="0" fontId="38" fillId="0" borderId="133" xfId="0" applyFont="1" applyBorder="1" applyAlignment="1">
      <alignment vertical="center"/>
    </xf>
    <xf numFmtId="0" fontId="38" fillId="0" borderId="134" xfId="0" applyFont="1" applyBorder="1" applyAlignment="1">
      <alignment vertical="center"/>
    </xf>
    <xf numFmtId="0" fontId="38" fillId="0" borderId="135" xfId="0" applyFont="1" applyBorder="1" applyAlignment="1">
      <alignment vertical="center"/>
    </xf>
    <xf numFmtId="0" fontId="38" fillId="0" borderId="136" xfId="0" applyFont="1" applyBorder="1" applyAlignment="1">
      <alignment vertical="center"/>
    </xf>
    <xf numFmtId="0" fontId="38" fillId="0" borderId="137" xfId="0" applyFont="1" applyBorder="1" applyAlignment="1">
      <alignment vertical="center"/>
    </xf>
    <xf numFmtId="0" fontId="38" fillId="0" borderId="138" xfId="0" applyFont="1" applyBorder="1" applyAlignment="1">
      <alignment vertical="center"/>
    </xf>
    <xf numFmtId="0" fontId="27" fillId="0" borderId="300" xfId="0" applyFont="1" applyFill="1" applyBorder="1" applyAlignment="1">
      <alignment horizontal="left" vertical="center"/>
    </xf>
    <xf numFmtId="0" fontId="27" fillId="0" borderId="27" xfId="0" applyFont="1" applyFill="1" applyBorder="1" applyAlignment="1">
      <alignment horizontal="left" vertical="center"/>
    </xf>
    <xf numFmtId="0" fontId="27" fillId="0" borderId="63" xfId="0" applyFont="1" applyFill="1" applyBorder="1" applyAlignment="1">
      <alignment horizontal="left" vertical="center"/>
    </xf>
    <xf numFmtId="0" fontId="28" fillId="41" borderId="348" xfId="0" applyFont="1" applyFill="1" applyBorder="1" applyAlignment="1">
      <alignment vertical="center"/>
    </xf>
    <xf numFmtId="0" fontId="28" fillId="41" borderId="16" xfId="0" applyFont="1" applyFill="1" applyBorder="1" applyAlignment="1">
      <alignment vertical="center"/>
    </xf>
    <xf numFmtId="0" fontId="28" fillId="41" borderId="349" xfId="0" applyFont="1" applyFill="1" applyBorder="1" applyAlignment="1">
      <alignment vertical="center"/>
    </xf>
    <xf numFmtId="165" fontId="34" fillId="0" borderId="57" xfId="0" applyNumberFormat="1" applyFont="1" applyFill="1" applyBorder="1" applyAlignment="1">
      <alignment horizontal="center" vertical="center" wrapText="1"/>
    </xf>
    <xf numFmtId="165" fontId="34" fillId="0" borderId="58" xfId="0" applyNumberFormat="1" applyFont="1" applyFill="1" applyBorder="1" applyAlignment="1">
      <alignment horizontal="center" vertical="center" wrapText="1"/>
    </xf>
    <xf numFmtId="165" fontId="34" fillId="0" borderId="59" xfId="0" applyNumberFormat="1" applyFont="1" applyFill="1" applyBorder="1" applyAlignment="1">
      <alignment horizontal="center" vertical="center" wrapText="1"/>
    </xf>
    <xf numFmtId="3" fontId="34" fillId="0" borderId="400" xfId="0" applyNumberFormat="1" applyFont="1" applyFill="1" applyBorder="1" applyAlignment="1">
      <alignment horizontal="center" vertical="center" wrapText="1"/>
    </xf>
    <xf numFmtId="3" fontId="34" fillId="0" borderId="401" xfId="0" applyNumberFormat="1" applyFont="1" applyFill="1" applyBorder="1" applyAlignment="1">
      <alignment horizontal="center" vertical="center" wrapText="1"/>
    </xf>
    <xf numFmtId="3" fontId="34" fillId="0" borderId="402" xfId="0" applyNumberFormat="1" applyFont="1" applyFill="1" applyBorder="1" applyAlignment="1">
      <alignment horizontal="center" vertical="center" wrapText="1"/>
    </xf>
    <xf numFmtId="3" fontId="34" fillId="0" borderId="395" xfId="0" applyNumberFormat="1" applyFont="1" applyFill="1" applyBorder="1" applyAlignment="1">
      <alignment horizontal="center" vertical="center" wrapText="1"/>
    </xf>
    <xf numFmtId="3" fontId="34" fillId="0" borderId="378" xfId="0" applyNumberFormat="1" applyFont="1" applyFill="1" applyBorder="1" applyAlignment="1">
      <alignment horizontal="center" vertical="center" wrapText="1"/>
    </xf>
    <xf numFmtId="3" fontId="34" fillId="0" borderId="394" xfId="0" applyNumberFormat="1" applyFont="1" applyFill="1" applyBorder="1" applyAlignment="1">
      <alignment horizontal="center" vertical="center" wrapText="1"/>
    </xf>
    <xf numFmtId="0" fontId="29" fillId="41" borderId="121" xfId="0" applyFont="1" applyFill="1" applyBorder="1" applyAlignment="1">
      <alignment horizontal="center" vertical="center" wrapText="1"/>
    </xf>
    <xf numFmtId="0" fontId="29" fillId="41" borderId="122" xfId="0" applyFont="1" applyFill="1" applyBorder="1" applyAlignment="1">
      <alignment horizontal="center" vertical="center" wrapText="1"/>
    </xf>
    <xf numFmtId="0" fontId="29" fillId="41" borderId="123" xfId="0" applyFont="1" applyFill="1" applyBorder="1" applyAlignment="1">
      <alignment horizontal="center" vertical="center" wrapText="1"/>
    </xf>
    <xf numFmtId="3" fontId="27" fillId="33" borderId="11" xfId="0" applyNumberFormat="1" applyFont="1" applyFill="1" applyBorder="1" applyAlignment="1">
      <alignment horizontal="center" vertical="center" wrapText="1"/>
    </xf>
    <xf numFmtId="3" fontId="27" fillId="33" borderId="16" xfId="0" applyNumberFormat="1" applyFont="1" applyFill="1" applyBorder="1" applyAlignment="1">
      <alignment horizontal="center" vertical="center" wrapText="1"/>
    </xf>
    <xf numFmtId="3" fontId="27" fillId="33" borderId="169" xfId="0" applyNumberFormat="1" applyFont="1" applyFill="1" applyBorder="1" applyAlignment="1">
      <alignment horizontal="center" vertical="center" wrapText="1"/>
    </xf>
    <xf numFmtId="3" fontId="55" fillId="0" borderId="116" xfId="0" applyNumberFormat="1" applyFont="1" applyFill="1" applyBorder="1" applyAlignment="1">
      <alignment horizontal="center" vertical="center" wrapText="1"/>
    </xf>
    <xf numFmtId="0" fontId="38" fillId="0" borderId="116" xfId="0" applyFont="1" applyBorder="1" applyAlignment="1">
      <alignment vertical="center"/>
    </xf>
    <xf numFmtId="0" fontId="38" fillId="0" borderId="153" xfId="0" applyFont="1" applyBorder="1" applyAlignment="1">
      <alignment vertical="center"/>
    </xf>
    <xf numFmtId="0" fontId="27" fillId="0" borderId="58" xfId="0" applyFont="1" applyBorder="1" applyAlignment="1">
      <alignment vertical="center"/>
    </xf>
    <xf numFmtId="0" fontId="27" fillId="0" borderId="406" xfId="0" applyFont="1" applyBorder="1" applyAlignment="1">
      <alignment vertical="center"/>
    </xf>
    <xf numFmtId="165" fontId="34" fillId="0" borderId="116" xfId="0" applyNumberFormat="1" applyFont="1" applyFill="1" applyBorder="1" applyAlignment="1">
      <alignment horizontal="center" vertical="center" wrapText="1"/>
    </xf>
    <xf numFmtId="165" fontId="27" fillId="0" borderId="116" xfId="0" applyNumberFormat="1" applyFont="1" applyBorder="1" applyAlignment="1">
      <alignment vertical="center"/>
    </xf>
    <xf numFmtId="165" fontId="27" fillId="0" borderId="153" xfId="0" applyNumberFormat="1" applyFont="1" applyBorder="1" applyAlignment="1">
      <alignment vertical="center"/>
    </xf>
    <xf numFmtId="0" fontId="40" fillId="0" borderId="115" xfId="0" applyFont="1" applyFill="1" applyBorder="1" applyAlignment="1">
      <alignment horizontal="right" vertical="center" wrapText="1"/>
    </xf>
    <xf numFmtId="0" fontId="34" fillId="0" borderId="115" xfId="0" applyFont="1" applyBorder="1" applyAlignment="1">
      <alignment vertical="center"/>
    </xf>
    <xf numFmtId="0" fontId="40" fillId="0" borderId="405" xfId="0" applyFont="1" applyFill="1" applyBorder="1" applyAlignment="1">
      <alignment horizontal="right" vertical="center" wrapText="1"/>
    </xf>
    <xf numFmtId="0" fontId="34" fillId="0" borderId="405" xfId="0" applyFont="1" applyBorder="1" applyAlignment="1">
      <alignment vertical="center"/>
    </xf>
    <xf numFmtId="0" fontId="30" fillId="41" borderId="383" xfId="0" applyFont="1" applyFill="1" applyBorder="1" applyAlignment="1">
      <alignment horizontal="left" vertical="center" wrapText="1"/>
    </xf>
    <xf numFmtId="0" fontId="30" fillId="41" borderId="273" xfId="0" applyFont="1" applyFill="1" applyBorder="1" applyAlignment="1">
      <alignment horizontal="left" vertical="center" wrapText="1"/>
    </xf>
    <xf numFmtId="0" fontId="34" fillId="0" borderId="262" xfId="0" applyFont="1" applyFill="1" applyBorder="1" applyAlignment="1">
      <alignment horizontal="left" vertical="center" wrapText="1"/>
    </xf>
    <xf numFmtId="0" fontId="34" fillId="0" borderId="263" xfId="0" applyFont="1" applyFill="1" applyBorder="1" applyAlignment="1">
      <alignment horizontal="left" vertical="center" wrapText="1"/>
    </xf>
    <xf numFmtId="0" fontId="34" fillId="0" borderId="384" xfId="0" applyFont="1" applyFill="1" applyBorder="1" applyAlignment="1">
      <alignment horizontal="left" vertical="center" wrapText="1"/>
    </xf>
    <xf numFmtId="0" fontId="40" fillId="41" borderId="383" xfId="0" applyFont="1" applyFill="1" applyBorder="1" applyAlignment="1">
      <alignment vertical="center" wrapText="1"/>
    </xf>
    <xf numFmtId="0" fontId="30" fillId="41" borderId="273" xfId="0" applyFont="1" applyFill="1" applyBorder="1" applyAlignment="1">
      <alignment vertical="center" wrapText="1"/>
    </xf>
    <xf numFmtId="0" fontId="34" fillId="0" borderId="262" xfId="0" applyFont="1" applyFill="1" applyBorder="1" applyAlignment="1">
      <alignment vertical="center" wrapText="1"/>
    </xf>
    <xf numFmtId="0" fontId="34" fillId="0" borderId="263" xfId="0" applyFont="1" applyFill="1" applyBorder="1" applyAlignment="1">
      <alignment vertical="center" wrapText="1"/>
    </xf>
    <xf numFmtId="0" fontId="34" fillId="0" borderId="384" xfId="0" applyFont="1" applyFill="1" applyBorder="1" applyAlignment="1">
      <alignment vertical="center" wrapText="1"/>
    </xf>
    <xf numFmtId="0" fontId="34" fillId="39" borderId="273" xfId="0" applyFont="1" applyFill="1" applyBorder="1" applyAlignment="1">
      <alignment horizontal="center" vertical="center"/>
    </xf>
    <xf numFmtId="0" fontId="34" fillId="39" borderId="358" xfId="0" applyFont="1" applyFill="1" applyBorder="1" applyAlignment="1">
      <alignment horizontal="center" vertical="center"/>
    </xf>
    <xf numFmtId="0" fontId="40" fillId="0" borderId="147" xfId="0" applyFont="1" applyFill="1" applyBorder="1" applyAlignment="1">
      <alignment horizontal="right" vertical="center" wrapText="1"/>
    </xf>
    <xf numFmtId="0" fontId="34" fillId="0" borderId="147" xfId="0" applyFont="1" applyBorder="1" applyAlignment="1">
      <alignment vertical="center"/>
    </xf>
    <xf numFmtId="3" fontId="55" fillId="0" borderId="118" xfId="0" applyNumberFormat="1" applyFont="1" applyFill="1" applyBorder="1" applyAlignment="1">
      <alignment horizontal="center" vertical="center" wrapText="1"/>
    </xf>
    <xf numFmtId="3" fontId="55" fillId="0" borderId="119" xfId="0" applyNumberFormat="1" applyFont="1" applyFill="1" applyBorder="1" applyAlignment="1">
      <alignment horizontal="center" vertical="center" wrapText="1"/>
    </xf>
    <xf numFmtId="3" fontId="55" fillId="0" borderId="120" xfId="0" applyNumberFormat="1" applyFont="1" applyFill="1" applyBorder="1" applyAlignment="1">
      <alignment horizontal="center" vertical="center" wrapText="1"/>
    </xf>
    <xf numFmtId="0" fontId="36" fillId="0" borderId="271" xfId="0" applyFont="1" applyFill="1" applyBorder="1" applyAlignment="1">
      <alignment horizontal="left" vertical="center" wrapText="1"/>
    </xf>
    <xf numFmtId="0" fontId="36" fillId="0" borderId="355" xfId="0" applyFont="1" applyFill="1" applyBorder="1" applyAlignment="1">
      <alignment horizontal="left" vertical="center" wrapText="1"/>
    </xf>
    <xf numFmtId="0" fontId="36" fillId="0" borderId="19" xfId="0" applyFont="1" applyFill="1" applyBorder="1" applyAlignment="1">
      <alignment horizontal="left" vertical="center" wrapText="1"/>
    </xf>
    <xf numFmtId="0" fontId="36" fillId="0" borderId="356" xfId="0" applyFont="1" applyFill="1" applyBorder="1" applyAlignment="1">
      <alignment horizontal="left" vertical="center" wrapText="1"/>
    </xf>
    <xf numFmtId="0" fontId="27" fillId="44" borderId="262" xfId="0" applyFont="1" applyFill="1" applyBorder="1" applyAlignment="1">
      <alignment horizontal="center" vertical="center"/>
    </xf>
    <xf numFmtId="0" fontId="27" fillId="44" borderId="263" xfId="0" applyFont="1" applyFill="1" applyBorder="1" applyAlignment="1">
      <alignment horizontal="center" vertical="center"/>
    </xf>
    <xf numFmtId="0" fontId="27" fillId="44" borderId="274" xfId="0" applyFont="1" applyFill="1" applyBorder="1" applyAlignment="1">
      <alignment horizontal="center" vertical="center"/>
    </xf>
    <xf numFmtId="0" fontId="27" fillId="46" borderId="52" xfId="0" applyFont="1" applyFill="1" applyBorder="1" applyAlignment="1">
      <alignment horizontal="center" vertical="center" wrapText="1"/>
    </xf>
    <xf numFmtId="0" fontId="27" fillId="46" borderId="52" xfId="0" applyFont="1" applyFill="1" applyBorder="1" applyAlignment="1">
      <alignment vertical="center" wrapText="1"/>
    </xf>
    <xf numFmtId="0" fontId="40" fillId="0" borderId="116" xfId="0" applyFont="1" applyFill="1" applyBorder="1" applyAlignment="1">
      <alignment horizontal="right" vertical="center" wrapText="1"/>
    </xf>
    <xf numFmtId="0" fontId="34" fillId="0" borderId="116" xfId="0" applyFont="1" applyBorder="1" applyAlignment="1">
      <alignment vertical="center"/>
    </xf>
    <xf numFmtId="165" fontId="27" fillId="0" borderId="29" xfId="0" applyNumberFormat="1" applyFont="1" applyFill="1" applyBorder="1" applyAlignment="1">
      <alignment horizontal="center" vertical="center"/>
    </xf>
    <xf numFmtId="165" fontId="27" fillId="0" borderId="19" xfId="0" applyNumberFormat="1" applyFont="1" applyFill="1" applyBorder="1" applyAlignment="1">
      <alignment horizontal="center" vertical="center"/>
    </xf>
    <xf numFmtId="165" fontId="27" fillId="0" borderId="22" xfId="0" applyNumberFormat="1" applyFont="1" applyFill="1" applyBorder="1" applyAlignment="1">
      <alignment horizontal="center" vertical="center"/>
    </xf>
    <xf numFmtId="0" fontId="34" fillId="0" borderId="21" xfId="0" applyFont="1" applyFill="1" applyBorder="1" applyAlignment="1">
      <alignment horizontal="left" vertical="center" wrapText="1"/>
    </xf>
    <xf numFmtId="0" fontId="34" fillId="0" borderId="27" xfId="0" applyFont="1" applyFill="1" applyBorder="1" applyAlignment="1">
      <alignment horizontal="left" vertical="center" wrapText="1"/>
    </xf>
    <xf numFmtId="0" fontId="34" fillId="0" borderId="63" xfId="0" applyFont="1" applyFill="1" applyBorder="1" applyAlignment="1">
      <alignment horizontal="left" vertical="center" wrapText="1"/>
    </xf>
    <xf numFmtId="0" fontId="29" fillId="0" borderId="385" xfId="0" applyFont="1" applyFill="1" applyBorder="1" applyAlignment="1">
      <alignment horizontal="left" vertical="center" wrapText="1"/>
    </xf>
    <xf numFmtId="0" fontId="27" fillId="0" borderId="271" xfId="0" applyFont="1" applyBorder="1" applyAlignment="1">
      <alignment horizontal="left" vertical="center" wrapText="1"/>
    </xf>
    <xf numFmtId="0" fontId="27" fillId="0" borderId="271" xfId="0" applyFont="1" applyBorder="1" applyAlignment="1">
      <alignment vertical="center"/>
    </xf>
    <xf numFmtId="0" fontId="27" fillId="0" borderId="62" xfId="0" applyFont="1" applyBorder="1" applyAlignment="1">
      <alignment horizontal="left" vertical="center" wrapText="1"/>
    </xf>
    <xf numFmtId="0" fontId="27" fillId="0" borderId="0" xfId="0" applyFont="1" applyBorder="1" applyAlignment="1">
      <alignment horizontal="left" vertical="center" wrapText="1"/>
    </xf>
    <xf numFmtId="0" fontId="27" fillId="0" borderId="0" xfId="0" applyFont="1" applyBorder="1" applyAlignment="1">
      <alignment vertical="center"/>
    </xf>
    <xf numFmtId="0" fontId="27" fillId="0" borderId="131" xfId="0" applyFont="1" applyBorder="1" applyAlignment="1">
      <alignment horizontal="left" vertical="center" wrapText="1"/>
    </xf>
    <xf numFmtId="0" fontId="27" fillId="0" borderId="132" xfId="0" applyFont="1" applyBorder="1" applyAlignment="1">
      <alignment horizontal="left" vertical="center" wrapText="1"/>
    </xf>
    <xf numFmtId="0" fontId="27" fillId="0" borderId="132" xfId="0" applyFont="1" applyBorder="1" applyAlignment="1">
      <alignment vertical="center"/>
    </xf>
    <xf numFmtId="0" fontId="40" fillId="0" borderId="408" xfId="0" applyFont="1" applyFill="1" applyBorder="1" applyAlignment="1">
      <alignment horizontal="right" vertical="center" wrapText="1"/>
    </xf>
    <xf numFmtId="0" fontId="34" fillId="0" borderId="392" xfId="0" applyFont="1" applyBorder="1" applyAlignment="1">
      <alignment vertical="center"/>
    </xf>
    <xf numFmtId="0" fontId="34" fillId="0" borderId="409" xfId="0" applyFont="1" applyBorder="1" applyAlignment="1">
      <alignment vertical="center"/>
    </xf>
    <xf numFmtId="0" fontId="34" fillId="0" borderId="62" xfId="0" applyFont="1" applyFill="1" applyBorder="1" applyAlignment="1">
      <alignment horizontal="left" vertical="center" wrapText="1"/>
    </xf>
    <xf numFmtId="0" fontId="40" fillId="24" borderId="146" xfId="0" applyFont="1" applyFill="1" applyBorder="1" applyAlignment="1">
      <alignment horizontal="left" vertical="center" wrapText="1"/>
    </xf>
    <xf numFmtId="0" fontId="40" fillId="24" borderId="122" xfId="0" applyFont="1" applyFill="1" applyBorder="1" applyAlignment="1">
      <alignment horizontal="left" vertical="center" wrapText="1"/>
    </xf>
    <xf numFmtId="0" fontId="40" fillId="24" borderId="123" xfId="0" applyFont="1" applyFill="1" applyBorder="1" applyAlignment="1">
      <alignment horizontal="left" vertical="center" wrapText="1"/>
    </xf>
    <xf numFmtId="0" fontId="29" fillId="0" borderId="396" xfId="0" applyFont="1" applyFill="1" applyBorder="1" applyAlignment="1">
      <alignment horizontal="left" vertical="center" wrapText="1"/>
    </xf>
    <xf numFmtId="0" fontId="27" fillId="0" borderId="397" xfId="0" applyFont="1" applyBorder="1" applyAlignment="1">
      <alignment horizontal="left" vertical="center" wrapText="1"/>
    </xf>
    <xf numFmtId="0" fontId="27" fillId="0" borderId="397" xfId="0" applyFont="1" applyBorder="1" applyAlignment="1">
      <alignment vertical="center"/>
    </xf>
    <xf numFmtId="0" fontId="40" fillId="41" borderId="385" xfId="0" applyFont="1" applyFill="1" applyBorder="1" applyAlignment="1">
      <alignment horizontal="left" vertical="center" wrapText="1"/>
    </xf>
    <xf numFmtId="0" fontId="40" fillId="41" borderId="272" xfId="0" applyFont="1" applyFill="1" applyBorder="1" applyAlignment="1">
      <alignment horizontal="left" vertical="center" wrapText="1"/>
    </xf>
    <xf numFmtId="0" fontId="40" fillId="41" borderId="62" xfId="0" applyFont="1" applyFill="1" applyBorder="1" applyAlignment="1">
      <alignment horizontal="left" vertical="center" wrapText="1"/>
    </xf>
    <xf numFmtId="0" fontId="40" fillId="41" borderId="13" xfId="0" applyFont="1" applyFill="1" applyBorder="1" applyAlignment="1">
      <alignment horizontal="left" vertical="center" wrapText="1"/>
    </xf>
    <xf numFmtId="0" fontId="27" fillId="41" borderId="389" xfId="0" applyFont="1" applyFill="1" applyBorder="1" applyAlignment="1">
      <alignment horizontal="left" vertical="center" wrapText="1"/>
    </xf>
    <xf numFmtId="0" fontId="27" fillId="41" borderId="81" xfId="0" applyFont="1" applyFill="1" applyBorder="1" applyAlignment="1">
      <alignment horizontal="left" vertical="center" wrapText="1"/>
    </xf>
    <xf numFmtId="3" fontId="34" fillId="0" borderId="116" xfId="0" applyNumberFormat="1" applyFont="1" applyFill="1" applyBorder="1" applyAlignment="1">
      <alignment horizontal="center" vertical="center" wrapText="1"/>
    </xf>
    <xf numFmtId="0" fontId="27" fillId="0" borderId="116" xfId="0" applyFont="1" applyBorder="1" applyAlignment="1">
      <alignment vertical="center"/>
    </xf>
    <xf numFmtId="0" fontId="27" fillId="0" borderId="153" xfId="0" applyFont="1" applyBorder="1" applyAlignment="1">
      <alignment vertical="center"/>
    </xf>
    <xf numFmtId="3" fontId="55" fillId="0" borderId="148" xfId="0" applyNumberFormat="1" applyFont="1" applyFill="1" applyBorder="1" applyAlignment="1">
      <alignment horizontal="center" vertical="center" wrapText="1"/>
    </xf>
    <xf numFmtId="3" fontId="55" fillId="0" borderId="149" xfId="0" applyNumberFormat="1" applyFont="1" applyFill="1" applyBorder="1" applyAlignment="1">
      <alignment horizontal="center" vertical="center" wrapText="1"/>
    </xf>
    <xf numFmtId="3" fontId="55" fillId="0" borderId="150" xfId="0" applyNumberFormat="1" applyFont="1" applyFill="1" applyBorder="1" applyAlignment="1">
      <alignment horizontal="center" vertical="center" wrapText="1"/>
    </xf>
    <xf numFmtId="3" fontId="55" fillId="0" borderId="115" xfId="0" applyNumberFormat="1" applyFont="1" applyFill="1" applyBorder="1" applyAlignment="1">
      <alignment horizontal="center" vertical="center" wrapText="1"/>
    </xf>
    <xf numFmtId="0" fontId="38" fillId="0" borderId="115" xfId="0" applyFont="1" applyBorder="1" applyAlignment="1">
      <alignment vertical="center"/>
    </xf>
    <xf numFmtId="0" fontId="38" fillId="0" borderId="412" xfId="0" applyFont="1" applyBorder="1" applyAlignment="1">
      <alignment vertical="center"/>
    </xf>
    <xf numFmtId="3" fontId="34" fillId="0" borderId="399" xfId="0" applyNumberFormat="1" applyFont="1" applyFill="1" applyBorder="1" applyAlignment="1">
      <alignment horizontal="center" vertical="center" wrapText="1"/>
    </xf>
    <xf numFmtId="0" fontId="27" fillId="0" borderId="399" xfId="0" applyFont="1" applyBorder="1" applyAlignment="1">
      <alignment vertical="center"/>
    </xf>
    <xf numFmtId="0" fontId="27" fillId="0" borderId="411" xfId="0" applyFont="1" applyBorder="1" applyAlignment="1">
      <alignment vertical="center"/>
    </xf>
    <xf numFmtId="0" fontId="27" fillId="0" borderId="16" xfId="0" applyFont="1" applyFill="1" applyBorder="1" applyAlignment="1">
      <alignment horizontal="left" vertical="center" wrapText="1"/>
    </xf>
    <xf numFmtId="0" fontId="27" fillId="0" borderId="317" xfId="0" applyFont="1" applyFill="1" applyBorder="1" applyAlignment="1">
      <alignment vertical="center" wrapText="1"/>
    </xf>
    <xf numFmtId="0" fontId="27" fillId="0" borderId="318" xfId="0" applyFont="1" applyFill="1" applyBorder="1" applyAlignment="1">
      <alignment vertical="center" wrapText="1"/>
    </xf>
    <xf numFmtId="0" fontId="27" fillId="0" borderId="386" xfId="0" applyFont="1" applyFill="1" applyBorder="1" applyAlignment="1">
      <alignment vertical="center" wrapText="1"/>
    </xf>
    <xf numFmtId="0" fontId="27" fillId="41" borderId="125" xfId="0" applyFont="1" applyFill="1" applyBorder="1" applyAlignment="1">
      <alignment horizontal="left" vertical="center" wrapText="1"/>
    </xf>
    <xf numFmtId="0" fontId="27" fillId="41" borderId="22" xfId="0" applyFont="1" applyFill="1" applyBorder="1" applyAlignment="1">
      <alignment horizontal="left" vertical="center" wrapText="1"/>
    </xf>
    <xf numFmtId="0" fontId="79" fillId="0" borderId="62" xfId="0" applyFont="1" applyFill="1" applyBorder="1" applyAlignment="1">
      <alignment horizontal="left" vertical="center" wrapText="1"/>
    </xf>
    <xf numFmtId="0" fontId="34" fillId="0" borderId="385" xfId="0" applyFont="1" applyFill="1" applyBorder="1" applyAlignment="1">
      <alignment horizontal="left" vertical="center" wrapText="1"/>
    </xf>
    <xf numFmtId="0" fontId="27" fillId="33" borderId="186" xfId="40" applyFont="1" applyFill="1" applyBorder="1" applyAlignment="1">
      <alignment horizontal="center"/>
    </xf>
    <xf numFmtId="0" fontId="27" fillId="0" borderId="187" xfId="0" applyFont="1" applyBorder="1" applyAlignment="1">
      <alignment horizontal="center"/>
    </xf>
    <xf numFmtId="164" fontId="27" fillId="33" borderId="233" xfId="40" applyNumberFormat="1" applyFont="1" applyFill="1" applyBorder="1" applyAlignment="1">
      <alignment horizontal="center" vertical="top" wrapText="1"/>
    </xf>
    <xf numFmtId="3" fontId="34" fillId="27" borderId="116" xfId="0" applyNumberFormat="1" applyFont="1" applyFill="1" applyBorder="1" applyAlignment="1">
      <alignment horizontal="center" vertical="center" wrapText="1"/>
    </xf>
    <xf numFmtId="0" fontId="27" fillId="27" borderId="116" xfId="0" applyFont="1" applyFill="1" applyBorder="1" applyAlignment="1">
      <alignment vertical="center"/>
    </xf>
    <xf numFmtId="0" fontId="27" fillId="27" borderId="153" xfId="0" applyFont="1" applyFill="1" applyBorder="1" applyAlignment="1">
      <alignment vertical="center"/>
    </xf>
    <xf numFmtId="164" fontId="34" fillId="33" borderId="186" xfId="41" applyNumberFormat="1" applyFont="1" applyFill="1" applyBorder="1" applyAlignment="1">
      <alignment horizontal="center"/>
    </xf>
    <xf numFmtId="164" fontId="27" fillId="37" borderId="127" xfId="40" applyNumberFormat="1" applyFont="1" applyFill="1" applyBorder="1" applyAlignment="1">
      <alignment horizontal="center"/>
    </xf>
    <xf numFmtId="0" fontId="27" fillId="37" borderId="127" xfId="0" applyFont="1" applyFill="1" applyBorder="1" applyAlignment="1">
      <alignment horizontal="center"/>
    </xf>
    <xf numFmtId="164" fontId="51" fillId="45" borderId="186" xfId="40" applyNumberFormat="1" applyFont="1" applyFill="1" applyBorder="1" applyAlignment="1">
      <alignment horizontal="center"/>
    </xf>
    <xf numFmtId="0" fontId="51" fillId="45" borderId="186" xfId="0" applyFont="1" applyFill="1" applyBorder="1" applyAlignment="1">
      <alignment horizontal="center"/>
    </xf>
    <xf numFmtId="164" fontId="27" fillId="44" borderId="186" xfId="40" applyNumberFormat="1" applyFont="1" applyFill="1" applyBorder="1" applyAlignment="1">
      <alignment horizontal="center"/>
    </xf>
    <xf numFmtId="0" fontId="27" fillId="44" borderId="186" xfId="0" applyFont="1" applyFill="1" applyBorder="1" applyAlignment="1">
      <alignment horizontal="center"/>
    </xf>
    <xf numFmtId="164" fontId="27" fillId="33" borderId="186" xfId="40" applyNumberFormat="1" applyFont="1" applyFill="1" applyBorder="1" applyAlignment="1">
      <alignment horizontal="center"/>
    </xf>
    <xf numFmtId="0" fontId="27" fillId="0" borderId="186" xfId="0" applyFont="1" applyBorder="1" applyAlignment="1">
      <alignment horizontal="center"/>
    </xf>
    <xf numFmtId="164" fontId="51" fillId="45" borderId="186" xfId="41" applyNumberFormat="1" applyFont="1" applyFill="1" applyBorder="1" applyAlignment="1">
      <alignment horizontal="center"/>
    </xf>
    <xf numFmtId="164" fontId="34" fillId="44" borderId="186" xfId="41" applyNumberFormat="1" applyFont="1" applyFill="1" applyBorder="1" applyAlignment="1">
      <alignment horizontal="center"/>
    </xf>
    <xf numFmtId="0" fontId="27" fillId="33" borderId="233" xfId="40" applyFont="1" applyFill="1" applyBorder="1" applyAlignment="1">
      <alignment horizontal="center" vertical="top" wrapText="1"/>
    </xf>
    <xf numFmtId="0" fontId="27" fillId="33" borderId="234" xfId="40" applyFont="1" applyFill="1" applyBorder="1" applyAlignment="1">
      <alignment horizontal="center" vertical="top" wrapText="1"/>
    </xf>
    <xf numFmtId="0" fontId="27" fillId="37" borderId="127" xfId="40" applyFont="1" applyFill="1" applyBorder="1" applyAlignment="1">
      <alignment horizontal="center"/>
    </xf>
    <xf numFmtId="0" fontId="27" fillId="37" borderId="128" xfId="0" applyFont="1" applyFill="1" applyBorder="1" applyAlignment="1">
      <alignment horizontal="center"/>
    </xf>
    <xf numFmtId="0" fontId="51" fillId="45" borderId="186" xfId="40" applyFont="1" applyFill="1" applyBorder="1" applyAlignment="1">
      <alignment horizontal="center"/>
    </xf>
    <xf numFmtId="0" fontId="51" fillId="45" borderId="187" xfId="0" applyFont="1" applyFill="1" applyBorder="1" applyAlignment="1">
      <alignment horizontal="center"/>
    </xf>
    <xf numFmtId="0" fontId="27" fillId="44" borderId="186" xfId="40" applyFont="1" applyFill="1" applyBorder="1" applyAlignment="1">
      <alignment horizontal="center"/>
    </xf>
    <xf numFmtId="0" fontId="27" fillId="44" borderId="187" xfId="0" applyFont="1" applyFill="1" applyBorder="1" applyAlignment="1">
      <alignment horizontal="center"/>
    </xf>
    <xf numFmtId="164" fontId="34" fillId="37" borderId="127" xfId="41" applyNumberFormat="1" applyFont="1" applyFill="1" applyBorder="1" applyAlignment="1">
      <alignment horizontal="center"/>
    </xf>
    <xf numFmtId="0" fontId="27" fillId="33" borderId="185" xfId="40" applyFont="1" applyFill="1" applyBorder="1" applyAlignment="1">
      <alignment horizontal="left"/>
    </xf>
    <xf numFmtId="0" fontId="27" fillId="33" borderId="186" xfId="40" applyFont="1" applyFill="1" applyBorder="1" applyAlignment="1">
      <alignment horizontal="left"/>
    </xf>
    <xf numFmtId="3" fontId="27" fillId="33" borderId="233" xfId="40" applyNumberFormat="1" applyFont="1" applyFill="1" applyBorder="1" applyAlignment="1">
      <alignment horizontal="center" vertical="top" wrapText="1"/>
    </xf>
    <xf numFmtId="3" fontId="27" fillId="37" borderId="127" xfId="0" applyNumberFormat="1" applyFont="1" applyFill="1" applyBorder="1" applyAlignment="1">
      <alignment horizontal="center"/>
    </xf>
    <xf numFmtId="3" fontId="51" fillId="45" borderId="186" xfId="0" applyNumberFormat="1" applyFont="1" applyFill="1" applyBorder="1" applyAlignment="1">
      <alignment horizontal="center"/>
    </xf>
    <xf numFmtId="3" fontId="27" fillId="44" borderId="186" xfId="0" applyNumberFormat="1" applyFont="1" applyFill="1" applyBorder="1" applyAlignment="1">
      <alignment horizontal="center"/>
    </xf>
    <xf numFmtId="3" fontId="27" fillId="0" borderId="186" xfId="0" applyNumberFormat="1" applyFont="1" applyBorder="1" applyAlignment="1">
      <alignment horizontal="center"/>
    </xf>
    <xf numFmtId="0" fontId="27" fillId="0" borderId="209" xfId="40" applyFont="1" applyFill="1" applyBorder="1" applyAlignment="1">
      <alignment horizontal="left" vertical="center" wrapText="1"/>
    </xf>
    <xf numFmtId="0" fontId="27" fillId="0" borderId="210" xfId="40" applyFont="1" applyFill="1" applyBorder="1" applyAlignment="1">
      <alignment horizontal="left" vertical="center" wrapText="1"/>
    </xf>
    <xf numFmtId="0" fontId="34" fillId="37" borderId="126" xfId="41" applyFont="1" applyFill="1" applyBorder="1" applyAlignment="1">
      <alignment horizontal="left"/>
    </xf>
    <xf numFmtId="0" fontId="34" fillId="37" borderId="127" xfId="41" applyFont="1" applyFill="1" applyBorder="1" applyAlignment="1">
      <alignment horizontal="left"/>
    </xf>
    <xf numFmtId="0" fontId="51" fillId="45" borderId="185" xfId="41" applyFont="1" applyFill="1" applyBorder="1" applyAlignment="1">
      <alignment horizontal="left"/>
    </xf>
    <xf numFmtId="0" fontId="51" fillId="45" borderId="186" xfId="41" applyFont="1" applyFill="1" applyBorder="1" applyAlignment="1">
      <alignment horizontal="left"/>
    </xf>
    <xf numFmtId="0" fontId="34" fillId="44" borderId="185" xfId="41" applyFont="1" applyFill="1" applyBorder="1" applyAlignment="1">
      <alignment horizontal="left"/>
    </xf>
    <xf numFmtId="0" fontId="34" fillId="44" borderId="186" xfId="41" applyFont="1" applyFill="1" applyBorder="1" applyAlignment="1">
      <alignment horizontal="left"/>
    </xf>
    <xf numFmtId="0" fontId="28" fillId="41" borderId="346" xfId="0" applyFont="1" applyFill="1" applyBorder="1" applyAlignment="1">
      <alignment vertical="center"/>
    </xf>
    <xf numFmtId="0" fontId="28" fillId="41" borderId="242" xfId="0" applyFont="1" applyFill="1" applyBorder="1" applyAlignment="1">
      <alignment vertical="center"/>
    </xf>
    <xf numFmtId="0" fontId="28" fillId="41" borderId="347" xfId="0" applyFont="1" applyFill="1" applyBorder="1" applyAlignment="1">
      <alignment vertical="center"/>
    </xf>
    <xf numFmtId="0" fontId="29" fillId="35" borderId="12" xfId="0" applyFont="1" applyFill="1" applyBorder="1" applyAlignment="1">
      <alignment horizontal="center" vertical="center" wrapText="1"/>
    </xf>
    <xf numFmtId="0" fontId="27" fillId="35" borderId="0" xfId="0" applyFont="1" applyFill="1" applyBorder="1" applyAlignment="1">
      <alignment vertical="center" wrapText="1"/>
    </xf>
    <xf numFmtId="0" fontId="27" fillId="35" borderId="157" xfId="0" applyFont="1" applyFill="1" applyBorder="1" applyAlignment="1">
      <alignment vertical="center" wrapText="1"/>
    </xf>
    <xf numFmtId="3" fontId="34" fillId="0" borderId="379" xfId="0" applyNumberFormat="1" applyFont="1" applyFill="1" applyBorder="1" applyAlignment="1">
      <alignment horizontal="center" vertical="center" wrapText="1"/>
    </xf>
    <xf numFmtId="0" fontId="40" fillId="27" borderId="147" xfId="0" applyFont="1" applyFill="1" applyBorder="1" applyAlignment="1">
      <alignment horizontal="right" vertical="center" wrapText="1"/>
    </xf>
    <xf numFmtId="0" fontId="34" fillId="27" borderId="147" xfId="0" applyFont="1" applyFill="1" applyBorder="1" applyAlignment="1">
      <alignment vertical="center"/>
    </xf>
    <xf numFmtId="0" fontId="40" fillId="27" borderId="116" xfId="0" applyFont="1" applyFill="1" applyBorder="1" applyAlignment="1">
      <alignment horizontal="right" vertical="center" wrapText="1"/>
    </xf>
    <xf numFmtId="0" fontId="34" fillId="27" borderId="116" xfId="0" applyFont="1" applyFill="1" applyBorder="1" applyAlignment="1">
      <alignment vertical="center"/>
    </xf>
    <xf numFmtId="0" fontId="40" fillId="27" borderId="115" xfId="0" applyFont="1" applyFill="1" applyBorder="1" applyAlignment="1">
      <alignment horizontal="right" vertical="center" wrapText="1"/>
    </xf>
    <xf numFmtId="0" fontId="34" fillId="27" borderId="115" xfId="0" applyFont="1" applyFill="1" applyBorder="1" applyAlignment="1">
      <alignment vertical="center"/>
    </xf>
    <xf numFmtId="0" fontId="34" fillId="27" borderId="62" xfId="0" applyFont="1" applyFill="1" applyBorder="1" applyAlignment="1">
      <alignment horizontal="left" vertical="center" wrapText="1"/>
    </xf>
    <xf numFmtId="0" fontId="27" fillId="27" borderId="0" xfId="0" applyFont="1" applyFill="1" applyBorder="1" applyAlignment="1">
      <alignment horizontal="left" vertical="center" wrapText="1"/>
    </xf>
    <xf numFmtId="0" fontId="27" fillId="27" borderId="0" xfId="0" applyFont="1" applyFill="1" applyBorder="1" applyAlignment="1">
      <alignment vertical="center"/>
    </xf>
    <xf numFmtId="0" fontId="27" fillId="27" borderId="62" xfId="0" applyFont="1" applyFill="1" applyBorder="1" applyAlignment="1">
      <alignment horizontal="left" vertical="center" wrapText="1"/>
    </xf>
    <xf numFmtId="0" fontId="27" fillId="27" borderId="131" xfId="0" applyFont="1" applyFill="1" applyBorder="1" applyAlignment="1">
      <alignment horizontal="left" vertical="center" wrapText="1"/>
    </xf>
    <xf numFmtId="0" fontId="27" fillId="27" borderId="132" xfId="0" applyFont="1" applyFill="1" applyBorder="1" applyAlignment="1">
      <alignment horizontal="left" vertical="center" wrapText="1"/>
    </xf>
    <xf numFmtId="0" fontId="27" fillId="27" borderId="132" xfId="0" applyFont="1" applyFill="1" applyBorder="1" applyAlignment="1">
      <alignment vertical="center"/>
    </xf>
    <xf numFmtId="0" fontId="36" fillId="35" borderId="52" xfId="0" applyFont="1" applyFill="1" applyBorder="1" applyAlignment="1">
      <alignment horizontal="center" vertical="center" wrapText="1"/>
    </xf>
    <xf numFmtId="0" fontId="37" fillId="41" borderId="265" xfId="0" applyFont="1" applyFill="1" applyBorder="1" applyAlignment="1">
      <alignment vertical="center" wrapText="1"/>
    </xf>
    <xf numFmtId="0" fontId="37" fillId="41" borderId="260" xfId="0" applyFont="1" applyFill="1" applyBorder="1" applyAlignment="1">
      <alignment vertical="center" wrapText="1"/>
    </xf>
    <xf numFmtId="0" fontId="37" fillId="41" borderId="264" xfId="0" applyFont="1" applyFill="1" applyBorder="1" applyAlignment="1">
      <alignment vertical="center" wrapText="1"/>
    </xf>
    <xf numFmtId="3" fontId="27" fillId="0" borderId="273" xfId="0" applyNumberFormat="1" applyFont="1" applyBorder="1" applyAlignment="1">
      <alignment horizontal="center" vertical="center" wrapText="1"/>
    </xf>
    <xf numFmtId="0" fontId="36" fillId="37" borderId="52" xfId="0" applyFont="1" applyFill="1" applyBorder="1" applyAlignment="1">
      <alignment horizontal="center" vertical="center"/>
    </xf>
    <xf numFmtId="0" fontId="33" fillId="0" borderId="262" xfId="0" applyFont="1" applyBorder="1" applyAlignment="1">
      <alignment horizontal="left" vertical="center" wrapText="1"/>
    </xf>
    <xf numFmtId="0" fontId="33" fillId="0" borderId="263" xfId="0" applyFont="1" applyBorder="1" applyAlignment="1">
      <alignment horizontal="left" vertical="center" wrapText="1"/>
    </xf>
    <xf numFmtId="0" fontId="33" fillId="0" borderId="330" xfId="0" applyFont="1" applyBorder="1" applyAlignment="1">
      <alignment horizontal="left" vertical="center" wrapText="1"/>
    </xf>
    <xf numFmtId="165" fontId="27" fillId="0" borderId="273" xfId="0" applyNumberFormat="1" applyFont="1" applyBorder="1" applyAlignment="1">
      <alignment horizontal="center" vertical="center" wrapText="1"/>
    </xf>
    <xf numFmtId="0" fontId="36" fillId="44" borderId="52" xfId="0" applyFont="1" applyFill="1" applyBorder="1" applyAlignment="1">
      <alignment horizontal="center" vertical="center"/>
    </xf>
    <xf numFmtId="0" fontId="36" fillId="0" borderId="170" xfId="0" applyFont="1" applyFill="1" applyBorder="1" applyAlignment="1">
      <alignment vertical="center" wrapText="1"/>
    </xf>
    <xf numFmtId="0" fontId="36" fillId="0" borderId="16" xfId="0" applyFont="1" applyFill="1" applyBorder="1" applyAlignment="1">
      <alignment vertical="center" wrapText="1"/>
    </xf>
    <xf numFmtId="0" fontId="36" fillId="0" borderId="169" xfId="0" applyFont="1" applyFill="1" applyBorder="1" applyAlignment="1">
      <alignment vertical="center" wrapText="1"/>
    </xf>
    <xf numFmtId="0" fontId="36" fillId="0" borderId="11" xfId="0" applyFont="1" applyFill="1" applyBorder="1" applyAlignment="1">
      <alignment horizontal="left" vertical="center"/>
    </xf>
    <xf numFmtId="0" fontId="36" fillId="0" borderId="19" xfId="0" applyFont="1" applyFill="1" applyBorder="1" applyAlignment="1">
      <alignment horizontal="left" vertical="center"/>
    </xf>
    <xf numFmtId="0" fontId="36" fillId="0" borderId="22" xfId="0" applyFont="1" applyFill="1" applyBorder="1" applyAlignment="1">
      <alignment horizontal="left" vertical="center"/>
    </xf>
    <xf numFmtId="0" fontId="36" fillId="41" borderId="52" xfId="0" applyFont="1" applyFill="1" applyBorder="1" applyAlignment="1">
      <alignment horizontal="center" vertical="center" wrapText="1"/>
    </xf>
    <xf numFmtId="3" fontId="27" fillId="27" borderId="262" xfId="0" applyNumberFormat="1" applyFont="1" applyFill="1" applyBorder="1" applyAlignment="1">
      <alignment horizontal="center" vertical="center"/>
    </xf>
    <xf numFmtId="3" fontId="27" fillId="27" borderId="274" xfId="0" applyNumberFormat="1" applyFont="1" applyFill="1" applyBorder="1" applyAlignment="1">
      <alignment horizontal="center" vertical="center"/>
    </xf>
    <xf numFmtId="3" fontId="55" fillId="0" borderId="243" xfId="0" applyNumberFormat="1" applyFont="1" applyFill="1" applyBorder="1" applyAlignment="1">
      <alignment horizontal="center" vertical="center" wrapText="1"/>
    </xf>
    <xf numFmtId="0" fontId="38" fillId="0" borderId="243" xfId="0" applyFont="1" applyBorder="1" applyAlignment="1">
      <alignment vertical="center"/>
    </xf>
    <xf numFmtId="0" fontId="38" fillId="0" borderId="407" xfId="0" applyFont="1" applyBorder="1" applyAlignment="1">
      <alignment vertical="center"/>
    </xf>
    <xf numFmtId="0" fontId="94" fillId="0" borderId="154" xfId="0" applyFont="1" applyBorder="1" applyAlignment="1">
      <alignment vertical="center" wrapText="1"/>
    </xf>
    <xf numFmtId="0" fontId="94" fillId="0" borderId="155" xfId="0" applyFont="1" applyBorder="1" applyAlignment="1">
      <alignment vertical="center" wrapText="1"/>
    </xf>
    <xf numFmtId="0" fontId="94" fillId="0" borderId="388" xfId="0" applyFont="1" applyBorder="1" applyAlignment="1">
      <alignment vertical="center" wrapText="1"/>
    </xf>
    <xf numFmtId="0" fontId="40" fillId="0" borderId="399" xfId="0" applyFont="1" applyFill="1" applyBorder="1" applyAlignment="1">
      <alignment horizontal="right" vertical="center" wrapText="1"/>
    </xf>
    <xf numFmtId="0" fontId="34" fillId="0" borderId="399" xfId="0" applyFont="1" applyBorder="1" applyAlignment="1">
      <alignment vertical="center"/>
    </xf>
    <xf numFmtId="0" fontId="34" fillId="35" borderId="12" xfId="0" applyFont="1" applyFill="1" applyBorder="1" applyAlignment="1">
      <alignment horizontal="center" vertical="center" wrapText="1"/>
    </xf>
    <xf numFmtId="0" fontId="95" fillId="0" borderId="154" xfId="0" applyFont="1" applyFill="1" applyBorder="1" applyAlignment="1">
      <alignment vertical="center" wrapText="1"/>
    </xf>
    <xf numFmtId="0" fontId="95" fillId="0" borderId="155" xfId="0" applyFont="1" applyFill="1" applyBorder="1" applyAlignment="1">
      <alignment vertical="center" wrapText="1"/>
    </xf>
    <xf numFmtId="0" fontId="95" fillId="0" borderId="156" xfId="0" applyFont="1" applyFill="1" applyBorder="1" applyAlignment="1">
      <alignment vertical="center" wrapText="1"/>
    </xf>
    <xf numFmtId="0" fontId="27" fillId="0" borderId="157" xfId="0" applyFont="1" applyBorder="1" applyAlignment="1">
      <alignment horizontal="left" vertical="center" wrapText="1"/>
    </xf>
    <xf numFmtId="0" fontId="27" fillId="0" borderId="390" xfId="0" applyFont="1" applyBorder="1" applyAlignment="1">
      <alignment horizontal="left" vertical="center" wrapText="1"/>
    </xf>
    <xf numFmtId="0" fontId="29" fillId="35" borderId="151" xfId="0" applyFont="1" applyFill="1" applyBorder="1" applyAlignment="1">
      <alignment horizontal="center" vertical="center" wrapText="1"/>
    </xf>
    <xf numFmtId="0" fontId="27" fillId="35" borderId="151" xfId="0" applyFont="1" applyFill="1" applyBorder="1" applyAlignment="1">
      <alignment vertical="center" wrapText="1"/>
    </xf>
    <xf numFmtId="0" fontId="27" fillId="35" borderId="152" xfId="0" applyFont="1" applyFill="1" applyBorder="1" applyAlignment="1">
      <alignment vertical="center" wrapText="1"/>
    </xf>
    <xf numFmtId="0" fontId="40" fillId="41" borderId="346" xfId="0" applyFont="1" applyFill="1" applyBorder="1" applyAlignment="1">
      <alignment vertical="center"/>
    </xf>
    <xf numFmtId="0" fontId="40" fillId="41" borderId="242" xfId="0" applyFont="1" applyFill="1" applyBorder="1" applyAlignment="1">
      <alignment vertical="center"/>
    </xf>
    <xf numFmtId="0" fontId="40" fillId="41" borderId="347" xfId="0" applyFont="1" applyFill="1" applyBorder="1" applyAlignment="1">
      <alignment vertical="center"/>
    </xf>
    <xf numFmtId="0" fontId="40" fillId="41" borderId="131" xfId="0" applyFont="1" applyFill="1" applyBorder="1" applyAlignment="1">
      <alignment horizontal="left" vertical="center" wrapText="1"/>
    </xf>
    <xf numFmtId="0" fontId="40" fillId="41" borderId="132" xfId="0" applyFont="1" applyFill="1" applyBorder="1" applyAlignment="1">
      <alignment horizontal="left" vertical="center" wrapText="1"/>
    </xf>
    <xf numFmtId="0" fontId="40" fillId="41" borderId="158" xfId="0" applyFont="1" applyFill="1" applyBorder="1" applyAlignment="1">
      <alignment horizontal="left" vertical="center" wrapText="1"/>
    </xf>
    <xf numFmtId="0" fontId="34" fillId="41" borderId="159" xfId="0" applyFont="1" applyFill="1" applyBorder="1" applyAlignment="1">
      <alignment horizontal="center" vertical="center" wrapText="1"/>
    </xf>
    <xf numFmtId="0" fontId="34" fillId="41" borderId="132" xfId="0" applyFont="1" applyFill="1" applyBorder="1" applyAlignment="1">
      <alignment horizontal="center" vertical="center" wrapText="1"/>
    </xf>
    <xf numFmtId="0" fontId="34" fillId="41" borderId="158" xfId="0" applyFont="1" applyFill="1" applyBorder="1" applyAlignment="1">
      <alignment horizontal="center" vertical="center" wrapText="1"/>
    </xf>
    <xf numFmtId="0" fontId="27" fillId="0" borderId="378" xfId="0" applyFont="1" applyBorder="1" applyAlignment="1">
      <alignment vertical="center"/>
    </xf>
    <xf numFmtId="0" fontId="27" fillId="0" borderId="379" xfId="0" applyFont="1" applyBorder="1" applyAlignment="1">
      <alignment vertical="center"/>
    </xf>
    <xf numFmtId="0" fontId="94" fillId="0" borderId="109" xfId="0" applyFont="1" applyBorder="1" applyAlignment="1">
      <alignment vertical="center" wrapText="1"/>
    </xf>
    <xf numFmtId="0" fontId="94" fillId="0" borderId="110" xfId="0" applyFont="1" applyBorder="1" applyAlignment="1">
      <alignment vertical="center" wrapText="1"/>
    </xf>
    <xf numFmtId="0" fontId="94" fillId="0" borderId="387" xfId="0" applyFont="1" applyBorder="1" applyAlignment="1">
      <alignment vertical="center" wrapText="1"/>
    </xf>
    <xf numFmtId="0" fontId="30" fillId="24" borderId="21" xfId="0" applyFont="1" applyFill="1" applyBorder="1" applyAlignment="1">
      <alignment horizontal="center" vertical="center"/>
    </xf>
    <xf numFmtId="0" fontId="30" fillId="24" borderId="27" xfId="0" applyFont="1" applyFill="1" applyBorder="1" applyAlignment="1">
      <alignment horizontal="center" vertical="center"/>
    </xf>
    <xf numFmtId="0" fontId="30" fillId="24" borderId="63" xfId="0" applyFont="1" applyFill="1" applyBorder="1" applyAlignment="1">
      <alignment horizontal="center" vertical="center"/>
    </xf>
    <xf numFmtId="0" fontId="27" fillId="0" borderId="31" xfId="0" applyFont="1" applyBorder="1" applyAlignment="1">
      <alignment vertical="center" wrapText="1"/>
    </xf>
    <xf numFmtId="0" fontId="27" fillId="0" borderId="235" xfId="0" applyFont="1" applyBorder="1" applyAlignment="1">
      <alignment vertical="center" wrapText="1"/>
    </xf>
    <xf numFmtId="0" fontId="27" fillId="0" borderId="267" xfId="0" applyFont="1" applyBorder="1" applyAlignment="1">
      <alignment vertical="center" wrapText="1"/>
    </xf>
    <xf numFmtId="0" fontId="27" fillId="0" borderId="33" xfId="0" applyFont="1" applyBorder="1" applyAlignment="1">
      <alignment vertical="center" wrapText="1"/>
    </xf>
    <xf numFmtId="0" fontId="27" fillId="0" borderId="73" xfId="0" applyFont="1" applyBorder="1" applyAlignment="1">
      <alignment vertical="center" wrapText="1"/>
    </xf>
    <xf numFmtId="0" fontId="27" fillId="0" borderId="28" xfId="0" applyFont="1" applyBorder="1" applyAlignment="1">
      <alignment vertical="center" wrapText="1"/>
    </xf>
    <xf numFmtId="0" fontId="34" fillId="41" borderId="31" xfId="0" applyFont="1" applyFill="1" applyBorder="1" applyAlignment="1">
      <alignment horizontal="left" vertical="center" wrapText="1"/>
    </xf>
    <xf numFmtId="0" fontId="34" fillId="41" borderId="267" xfId="0" applyFont="1" applyFill="1" applyBorder="1" applyAlignment="1">
      <alignment horizontal="left" vertical="center" wrapText="1"/>
    </xf>
    <xf numFmtId="0" fontId="27" fillId="41" borderId="32" xfId="0" applyFont="1" applyFill="1" applyBorder="1" applyAlignment="1">
      <alignment horizontal="left" vertical="center" wrapText="1"/>
    </xf>
    <xf numFmtId="0" fontId="27" fillId="41" borderId="18" xfId="0" applyFont="1" applyFill="1" applyBorder="1" applyAlignment="1">
      <alignment horizontal="left" vertical="center" wrapText="1"/>
    </xf>
    <xf numFmtId="0" fontId="27" fillId="0" borderId="209" xfId="0" applyFont="1" applyFill="1" applyBorder="1" applyAlignment="1">
      <alignment vertical="center"/>
    </xf>
    <xf numFmtId="0" fontId="27" fillId="0" borderId="210" xfId="0" applyFont="1" applyFill="1" applyBorder="1" applyAlignment="1">
      <alignment vertical="center"/>
    </xf>
    <xf numFmtId="0" fontId="27" fillId="0" borderId="211" xfId="0" applyFont="1" applyFill="1" applyBorder="1" applyAlignment="1">
      <alignment vertical="center"/>
    </xf>
    <xf numFmtId="0" fontId="34" fillId="41" borderId="350" xfId="0" applyFont="1" applyFill="1" applyBorder="1" applyAlignment="1">
      <alignment vertical="center" wrapText="1"/>
    </xf>
    <xf numFmtId="0" fontId="27" fillId="41" borderId="78" xfId="0" applyFont="1" applyFill="1" applyBorder="1" applyAlignment="1">
      <alignment vertical="center" wrapText="1"/>
    </xf>
    <xf numFmtId="0" fontId="27" fillId="41" borderId="350" xfId="0" applyFont="1" applyFill="1" applyBorder="1" applyAlignment="1">
      <alignment horizontal="left" vertical="center" wrapText="1"/>
    </xf>
    <xf numFmtId="0" fontId="95" fillId="0" borderId="109" xfId="0" applyFont="1" applyFill="1" applyBorder="1" applyAlignment="1">
      <alignment vertical="center" wrapText="1"/>
    </xf>
    <xf numFmtId="0" fontId="95" fillId="0" borderId="110" xfId="0" applyFont="1" applyFill="1" applyBorder="1" applyAlignment="1">
      <alignment vertical="center" wrapText="1"/>
    </xf>
    <xf numFmtId="0" fontId="95" fillId="0" borderId="111" xfId="0" applyFont="1" applyFill="1" applyBorder="1" applyAlignment="1">
      <alignment vertical="center" wrapText="1"/>
    </xf>
    <xf numFmtId="0" fontId="28" fillId="41" borderId="21" xfId="0" applyFont="1" applyFill="1" applyBorder="1" applyAlignment="1">
      <alignment vertical="center" wrapText="1"/>
    </xf>
    <xf numFmtId="0" fontId="28" fillId="41" borderId="27" xfId="0" applyFont="1" applyFill="1" applyBorder="1" applyAlignment="1">
      <alignment vertical="center" wrapText="1"/>
    </xf>
    <xf numFmtId="0" fontId="27" fillId="0" borderId="126" xfId="0" applyFont="1" applyFill="1" applyBorder="1" applyAlignment="1">
      <alignment vertical="center" wrapText="1"/>
    </xf>
    <xf numFmtId="0" fontId="27" fillId="0" borderId="127" xfId="0" applyFont="1" applyFill="1" applyBorder="1" applyAlignment="1">
      <alignment vertical="center" wrapText="1"/>
    </xf>
    <xf numFmtId="0" fontId="27" fillId="0" borderId="128" xfId="0" applyFont="1" applyFill="1" applyBorder="1" applyAlignment="1">
      <alignment vertical="center" wrapText="1"/>
    </xf>
    <xf numFmtId="0" fontId="30" fillId="0" borderId="361" xfId="0" applyFont="1" applyBorder="1" applyAlignment="1">
      <alignment vertical="center"/>
    </xf>
    <xf numFmtId="0" fontId="30" fillId="0" borderId="130" xfId="0" applyFont="1" applyBorder="1" applyAlignment="1">
      <alignment vertical="center"/>
    </xf>
    <xf numFmtId="0" fontId="30" fillId="0" borderId="362" xfId="0" applyFont="1" applyBorder="1" applyAlignment="1">
      <alignment vertical="center"/>
    </xf>
    <xf numFmtId="0" fontId="27" fillId="41" borderId="16" xfId="0" applyFont="1" applyFill="1" applyBorder="1" applyAlignment="1">
      <alignment horizontal="left" vertical="center" wrapText="1"/>
    </xf>
    <xf numFmtId="0" fontId="27" fillId="41" borderId="16" xfId="0" applyFont="1" applyFill="1" applyBorder="1" applyAlignment="1">
      <alignment vertical="center" wrapText="1"/>
    </xf>
    <xf numFmtId="0" fontId="27" fillId="0" borderId="185" xfId="0" applyFont="1" applyFill="1" applyBorder="1" applyAlignment="1">
      <alignment vertical="center" wrapText="1"/>
    </xf>
    <xf numFmtId="0" fontId="27" fillId="0" borderId="186" xfId="0" applyFont="1" applyFill="1" applyBorder="1" applyAlignment="1">
      <alignment vertical="center" wrapText="1"/>
    </xf>
    <xf numFmtId="0" fontId="27" fillId="0" borderId="187" xfId="0" applyFont="1" applyFill="1" applyBorder="1" applyAlignment="1">
      <alignment vertical="center" wrapText="1"/>
    </xf>
    <xf numFmtId="0" fontId="34" fillId="0" borderId="21" xfId="0" applyFont="1" applyFill="1" applyBorder="1" applyAlignment="1">
      <alignment vertical="center" wrapText="1"/>
    </xf>
    <xf numFmtId="0" fontId="34" fillId="0" borderId="27" xfId="0" applyFont="1" applyFill="1" applyBorder="1" applyAlignment="1">
      <alignment vertical="center" wrapText="1"/>
    </xf>
    <xf numFmtId="0" fontId="34" fillId="0" borderId="63" xfId="0" applyFont="1" applyFill="1" applyBorder="1" applyAlignment="1">
      <alignment vertical="center" wrapText="1"/>
    </xf>
    <xf numFmtId="0" fontId="40" fillId="41" borderId="380" xfId="0" applyFont="1" applyFill="1" applyBorder="1" applyAlignment="1">
      <alignment vertical="center"/>
    </xf>
    <xf numFmtId="0" fontId="40" fillId="41" borderId="381" xfId="0" applyFont="1" applyFill="1" applyBorder="1" applyAlignment="1">
      <alignment vertical="center"/>
    </xf>
    <xf numFmtId="0" fontId="40" fillId="41" borderId="382" xfId="0" applyFont="1" applyFill="1" applyBorder="1" applyAlignment="1">
      <alignment vertical="center"/>
    </xf>
    <xf numFmtId="0" fontId="28" fillId="33" borderId="31" xfId="0" applyFont="1" applyFill="1" applyBorder="1" applyAlignment="1">
      <alignment horizontal="center" vertical="center" wrapText="1"/>
    </xf>
    <xf numFmtId="0" fontId="28" fillId="33" borderId="235" xfId="0" applyFont="1" applyFill="1" applyBorder="1" applyAlignment="1">
      <alignment horizontal="center" vertical="center" wrapText="1"/>
    </xf>
    <xf numFmtId="0" fontId="28" fillId="33" borderId="267" xfId="0" applyFont="1" applyFill="1" applyBorder="1" applyAlignment="1">
      <alignment horizontal="center" vertical="center" wrapText="1"/>
    </xf>
    <xf numFmtId="0" fontId="27" fillId="0" borderId="33" xfId="0" applyFont="1" applyBorder="1" applyAlignment="1">
      <alignment horizontal="center" vertical="center" wrapText="1"/>
    </xf>
    <xf numFmtId="0" fontId="27" fillId="0" borderId="73" xfId="0" applyFont="1" applyBorder="1" applyAlignment="1">
      <alignment horizontal="center" vertical="center" wrapText="1"/>
    </xf>
    <xf numFmtId="0" fontId="27" fillId="0" borderId="28" xfId="0" applyFont="1" applyBorder="1" applyAlignment="1">
      <alignment horizontal="center" vertical="center" wrapText="1"/>
    </xf>
    <xf numFmtId="0" fontId="27" fillId="0" borderId="112" xfId="0" applyFont="1" applyBorder="1" applyAlignment="1">
      <alignment vertical="center" wrapText="1"/>
    </xf>
    <xf numFmtId="0" fontId="27" fillId="0" borderId="113" xfId="0" applyFont="1" applyBorder="1" applyAlignment="1">
      <alignment vertical="center" wrapText="1"/>
    </xf>
    <xf numFmtId="0" fontId="27" fillId="0" borderId="114" xfId="0" applyFont="1" applyBorder="1" applyAlignment="1">
      <alignment vertical="center" wrapText="1"/>
    </xf>
    <xf numFmtId="0" fontId="27" fillId="0" borderId="109" xfId="0" applyFont="1" applyBorder="1" applyAlignment="1">
      <alignment vertical="center" wrapText="1"/>
    </xf>
    <xf numFmtId="0" fontId="27" fillId="0" borderId="110" xfId="0" applyFont="1" applyBorder="1" applyAlignment="1">
      <alignment vertical="center" wrapText="1"/>
    </xf>
    <xf numFmtId="0" fontId="27" fillId="0" borderId="111" xfId="0" applyFont="1" applyBorder="1" applyAlignment="1">
      <alignment vertical="center" wrapText="1"/>
    </xf>
    <xf numFmtId="0" fontId="27" fillId="33" borderId="32" xfId="0" applyFont="1" applyFill="1" applyBorder="1" applyAlignment="1">
      <alignment horizontal="left" vertical="center" wrapText="1"/>
    </xf>
    <xf numFmtId="0" fontId="27" fillId="33" borderId="0" xfId="0" applyFont="1" applyFill="1" applyBorder="1" applyAlignment="1">
      <alignment horizontal="left" vertical="center" wrapText="1"/>
    </xf>
    <xf numFmtId="0" fontId="27" fillId="27" borderId="18" xfId="0" applyFont="1" applyFill="1" applyBorder="1" applyAlignment="1">
      <alignment horizontal="left" vertical="center" wrapText="1"/>
    </xf>
    <xf numFmtId="0" fontId="27" fillId="27" borderId="31" xfId="0" applyFont="1" applyFill="1" applyBorder="1" applyAlignment="1">
      <alignment horizontal="left" vertical="center" wrapText="1"/>
    </xf>
    <xf numFmtId="0" fontId="27" fillId="27" borderId="64" xfId="0" applyFont="1" applyFill="1" applyBorder="1" applyAlignment="1">
      <alignment horizontal="left" vertical="center" wrapText="1"/>
    </xf>
    <xf numFmtId="0" fontId="27" fillId="27" borderId="65" xfId="0" applyFont="1" applyFill="1" applyBorder="1" applyAlignment="1">
      <alignment horizontal="left" vertical="center" wrapText="1"/>
    </xf>
    <xf numFmtId="0" fontId="34" fillId="34" borderId="109" xfId="0" applyFont="1" applyFill="1" applyBorder="1" applyAlignment="1">
      <alignment vertical="center" wrapText="1"/>
    </xf>
    <xf numFmtId="0" fontId="27" fillId="34" borderId="110" xfId="0" applyFont="1" applyFill="1" applyBorder="1" applyAlignment="1">
      <alignment vertical="center"/>
    </xf>
    <xf numFmtId="0" fontId="27" fillId="34" borderId="111" xfId="0" applyFont="1" applyFill="1" applyBorder="1" applyAlignment="1">
      <alignment vertical="center"/>
    </xf>
    <xf numFmtId="0" fontId="27" fillId="24" borderId="109" xfId="0" applyFont="1" applyFill="1" applyBorder="1" applyAlignment="1">
      <alignment vertical="center" wrapText="1"/>
    </xf>
    <xf numFmtId="0" fontId="27" fillId="0" borderId="111" xfId="0" applyFont="1" applyBorder="1" applyAlignment="1">
      <alignment vertical="center"/>
    </xf>
    <xf numFmtId="0" fontId="28" fillId="41" borderId="273" xfId="0" applyFont="1" applyFill="1" applyBorder="1" applyAlignment="1">
      <alignment vertical="center"/>
    </xf>
    <xf numFmtId="0" fontId="57" fillId="33" borderId="16" xfId="0" applyFont="1" applyFill="1" applyBorder="1" applyAlignment="1">
      <alignment horizontal="left" vertical="center"/>
    </xf>
    <xf numFmtId="0" fontId="57" fillId="33" borderId="262" xfId="0" applyFont="1" applyFill="1" applyBorder="1" applyAlignment="1">
      <alignment vertical="center" wrapText="1"/>
    </xf>
    <xf numFmtId="0" fontId="57" fillId="33" borderId="263" xfId="0" applyFont="1" applyFill="1" applyBorder="1" applyAlignment="1">
      <alignment vertical="center" wrapText="1"/>
    </xf>
    <xf numFmtId="0" fontId="57" fillId="33" borderId="274" xfId="0" applyFont="1" applyFill="1" applyBorder="1" applyAlignment="1">
      <alignment vertical="center" wrapText="1"/>
    </xf>
    <xf numFmtId="0" fontId="38" fillId="0" borderId="85" xfId="0" applyFont="1" applyBorder="1" applyAlignment="1">
      <alignment horizontal="left" vertical="center"/>
    </xf>
    <xf numFmtId="0" fontId="38" fillId="0" borderId="86" xfId="0" applyFont="1" applyBorder="1" applyAlignment="1">
      <alignment horizontal="left" vertical="center"/>
    </xf>
    <xf numFmtId="0" fontId="38" fillId="0" borderId="87" xfId="0" applyFont="1" applyBorder="1" applyAlignment="1">
      <alignment horizontal="left" vertical="center"/>
    </xf>
    <xf numFmtId="0" fontId="34" fillId="0" borderId="139" xfId="0" applyFont="1" applyFill="1" applyBorder="1" applyAlignment="1">
      <alignment horizontal="left" vertical="center" wrapText="1"/>
    </xf>
    <xf numFmtId="0" fontId="28" fillId="41" borderId="140" xfId="0" applyFont="1" applyFill="1" applyBorder="1" applyAlignment="1">
      <alignment vertical="center" wrapText="1"/>
    </xf>
    <xf numFmtId="0" fontId="37" fillId="41" borderId="141" xfId="0" applyFont="1" applyFill="1" applyBorder="1" applyAlignment="1">
      <alignment vertical="center" wrapText="1"/>
    </xf>
    <xf numFmtId="0" fontId="34" fillId="0" borderId="142" xfId="0" applyFont="1" applyFill="1" applyBorder="1" applyAlignment="1">
      <alignment vertical="center" wrapText="1"/>
    </xf>
    <xf numFmtId="0" fontId="34" fillId="0" borderId="55" xfId="0" applyFont="1" applyFill="1" applyBorder="1" applyAlignment="1">
      <alignment vertical="center" wrapText="1"/>
    </xf>
    <xf numFmtId="0" fontId="34" fillId="0" borderId="42" xfId="0" applyFont="1" applyFill="1" applyBorder="1" applyAlignment="1">
      <alignment vertical="center" wrapText="1"/>
    </xf>
    <xf numFmtId="3" fontId="27" fillId="0" borderId="273" xfId="0" applyNumberFormat="1" applyFont="1" applyFill="1" applyBorder="1" applyAlignment="1">
      <alignment horizontal="center" vertical="center" wrapText="1"/>
    </xf>
    <xf numFmtId="0" fontId="27" fillId="0" borderId="85" xfId="0" applyFont="1" applyBorder="1" applyAlignment="1">
      <alignment horizontal="left" vertical="center"/>
    </xf>
    <xf numFmtId="0" fontId="27" fillId="0" borderId="86" xfId="0" applyFont="1" applyBorder="1" applyAlignment="1">
      <alignment horizontal="left" vertical="center"/>
    </xf>
    <xf numFmtId="0" fontId="27" fillId="0" borderId="88" xfId="0" applyFont="1" applyBorder="1" applyAlignment="1">
      <alignment horizontal="left" vertical="center"/>
    </xf>
    <xf numFmtId="49" fontId="27" fillId="33" borderId="262" xfId="0" applyNumberFormat="1" applyFont="1" applyFill="1" applyBorder="1" applyAlignment="1">
      <alignment horizontal="left" vertical="center"/>
    </xf>
    <xf numFmtId="49" fontId="27" fillId="33" borderId="263" xfId="0" applyNumberFormat="1" applyFont="1" applyFill="1" applyBorder="1" applyAlignment="1">
      <alignment horizontal="left" vertical="center"/>
    </xf>
    <xf numFmtId="3" fontId="27" fillId="33" borderId="273" xfId="0" applyNumberFormat="1" applyFont="1" applyFill="1" applyBorder="1" applyAlignment="1">
      <alignment horizontal="center" vertical="center"/>
    </xf>
    <xf numFmtId="49" fontId="27" fillId="36" borderId="262" xfId="0" applyNumberFormat="1" applyFont="1" applyFill="1" applyBorder="1" applyAlignment="1">
      <alignment horizontal="left" vertical="center"/>
    </xf>
    <xf numFmtId="0" fontId="27" fillId="0" borderId="268" xfId="0" applyFont="1" applyBorder="1" applyAlignment="1">
      <alignment vertical="center" wrapText="1"/>
    </xf>
    <xf numFmtId="3" fontId="36" fillId="27" borderId="8" xfId="0" applyNumberFormat="1" applyFont="1" applyFill="1" applyBorder="1" applyAlignment="1">
      <alignment horizontal="center" vertical="center" wrapText="1"/>
    </xf>
    <xf numFmtId="3" fontId="36" fillId="27" borderId="8" xfId="0" applyNumberFormat="1" applyFont="1" applyFill="1" applyBorder="1" applyAlignment="1">
      <alignment vertical="center" wrapText="1"/>
    </xf>
    <xf numFmtId="0" fontId="27" fillId="33" borderId="214" xfId="0" applyFont="1" applyFill="1" applyBorder="1" applyAlignment="1">
      <alignment horizontal="left" vertical="center" wrapText="1"/>
    </xf>
    <xf numFmtId="0" fontId="27" fillId="33" borderId="15" xfId="0" applyFont="1" applyFill="1" applyBorder="1" applyAlignment="1"/>
    <xf numFmtId="0" fontId="27" fillId="33" borderId="53" xfId="0" applyFont="1" applyFill="1" applyBorder="1" applyAlignment="1"/>
    <xf numFmtId="0" fontId="27" fillId="33" borderId="0" xfId="0" applyFont="1" applyFill="1" applyBorder="1" applyAlignment="1"/>
    <xf numFmtId="0" fontId="27" fillId="33" borderId="13" xfId="0" applyFont="1" applyFill="1" applyBorder="1" applyAlignment="1"/>
    <xf numFmtId="0" fontId="27" fillId="33" borderId="32" xfId="0" applyFont="1" applyFill="1" applyBorder="1" applyAlignment="1"/>
    <xf numFmtId="0" fontId="27" fillId="33" borderId="0" xfId="0" applyFont="1" applyFill="1" applyAlignment="1"/>
    <xf numFmtId="0" fontId="27" fillId="33" borderId="33" xfId="0" applyFont="1" applyFill="1" applyBorder="1" applyAlignment="1"/>
    <xf numFmtId="0" fontId="27" fillId="33" borderId="73" xfId="0" applyFont="1" applyFill="1" applyBorder="1" applyAlignment="1"/>
    <xf numFmtId="0" fontId="27" fillId="33" borderId="81" xfId="0" applyFont="1" applyFill="1" applyBorder="1" applyAlignment="1"/>
    <xf numFmtId="0" fontId="34" fillId="24" borderId="10" xfId="0" applyFont="1" applyFill="1" applyBorder="1" applyAlignment="1">
      <alignment horizontal="left" vertical="center"/>
    </xf>
    <xf numFmtId="0" fontId="34" fillId="24" borderId="17" xfId="0" applyFont="1" applyFill="1" applyBorder="1" applyAlignment="1">
      <alignment horizontal="left" vertical="center"/>
    </xf>
    <xf numFmtId="0" fontId="38" fillId="0" borderId="76" xfId="0" applyFont="1" applyBorder="1" applyAlignment="1">
      <alignment horizontal="left" vertical="center"/>
    </xf>
    <xf numFmtId="0" fontId="40" fillId="0" borderId="85" xfId="0" applyFont="1" applyBorder="1" applyAlignment="1">
      <alignment horizontal="left" vertical="center" wrapText="1"/>
    </xf>
    <xf numFmtId="0" fontId="40" fillId="0" borderId="86" xfId="0" applyFont="1" applyBorder="1" applyAlignment="1">
      <alignment horizontal="left" vertical="center" wrapText="1"/>
    </xf>
    <xf numFmtId="0" fontId="40" fillId="0" borderId="88" xfId="0" applyFont="1" applyBorder="1" applyAlignment="1">
      <alignment horizontal="left" vertical="center" wrapText="1"/>
    </xf>
    <xf numFmtId="0" fontId="34" fillId="0" borderId="98" xfId="0" applyFont="1" applyFill="1" applyBorder="1" applyAlignment="1">
      <alignment horizontal="left" vertical="center" wrapText="1"/>
    </xf>
    <xf numFmtId="0" fontId="34" fillId="0" borderId="99" xfId="0" applyFont="1" applyFill="1" applyBorder="1" applyAlignment="1">
      <alignment horizontal="left" vertical="center" wrapText="1"/>
    </xf>
    <xf numFmtId="0" fontId="40" fillId="41" borderId="165" xfId="0" applyFont="1" applyFill="1" applyBorder="1" applyAlignment="1">
      <alignment horizontal="left" vertical="center" wrapText="1"/>
    </xf>
    <xf numFmtId="0" fontId="34" fillId="33" borderId="30" xfId="0" applyFont="1" applyFill="1" applyBorder="1" applyAlignment="1">
      <alignment horizontal="left" vertical="center"/>
    </xf>
    <xf numFmtId="0" fontId="34" fillId="33" borderId="17" xfId="0" applyFont="1" applyFill="1" applyBorder="1" applyAlignment="1">
      <alignment horizontal="left" vertical="center"/>
    </xf>
    <xf numFmtId="0" fontId="34" fillId="33" borderId="36" xfId="0" applyFont="1" applyFill="1" applyBorder="1" applyAlignment="1">
      <alignment horizontal="left" vertical="center"/>
    </xf>
    <xf numFmtId="0" fontId="40" fillId="0" borderId="166" xfId="0" applyFont="1" applyBorder="1" applyAlignment="1">
      <alignment horizontal="left" vertical="center" wrapText="1"/>
    </xf>
    <xf numFmtId="0" fontId="40" fillId="0" borderId="167" xfId="0" applyFont="1" applyBorder="1" applyAlignment="1">
      <alignment horizontal="left" vertical="center" wrapText="1"/>
    </xf>
    <xf numFmtId="0" fontId="40" fillId="0" borderId="168" xfId="0" applyFont="1" applyBorder="1" applyAlignment="1">
      <alignment horizontal="left" vertical="center" wrapText="1"/>
    </xf>
    <xf numFmtId="0" fontId="38" fillId="0" borderId="82" xfId="0" applyFont="1" applyBorder="1" applyAlignment="1">
      <alignment horizontal="left" vertical="center"/>
    </xf>
    <xf numFmtId="0" fontId="38" fillId="0" borderId="83" xfId="0" applyFont="1" applyBorder="1" applyAlignment="1">
      <alignment horizontal="left" vertical="center"/>
    </xf>
    <xf numFmtId="0" fontId="38" fillId="0" borderId="84" xfId="0" applyFont="1" applyBorder="1" applyAlignment="1">
      <alignment horizontal="left" vertical="center"/>
    </xf>
    <xf numFmtId="0" fontId="34" fillId="0" borderId="70" xfId="0" applyFont="1" applyFill="1" applyBorder="1" applyAlignment="1">
      <alignment horizontal="left" vertical="center" wrapText="1"/>
    </xf>
    <xf numFmtId="0" fontId="34" fillId="34" borderId="10" xfId="0" applyFont="1" applyFill="1" applyBorder="1" applyAlignment="1">
      <alignment horizontal="left" vertical="center" wrapText="1"/>
    </xf>
    <xf numFmtId="0" fontId="34" fillId="34" borderId="17" xfId="0" applyFont="1" applyFill="1" applyBorder="1" applyAlignment="1">
      <alignment horizontal="left" vertical="center" wrapText="1"/>
    </xf>
    <xf numFmtId="0" fontId="36" fillId="44" borderId="8" xfId="0" applyFont="1" applyFill="1" applyBorder="1" applyAlignment="1">
      <alignment horizontal="center" vertical="center" wrapText="1"/>
    </xf>
    <xf numFmtId="0" fontId="29" fillId="0" borderId="129" xfId="0" applyFont="1" applyFill="1" applyBorder="1" applyAlignment="1">
      <alignment horizontal="left" vertical="center" wrapText="1"/>
    </xf>
    <xf numFmtId="0" fontId="29" fillId="0" borderId="130" xfId="0" applyFont="1" applyFill="1" applyBorder="1" applyAlignment="1">
      <alignment horizontal="left" vertical="center" wrapText="1"/>
    </xf>
    <xf numFmtId="0" fontId="29" fillId="0" borderId="124" xfId="0" applyFont="1" applyFill="1" applyBorder="1" applyAlignment="1">
      <alignment horizontal="left" vertical="center" wrapText="1"/>
    </xf>
    <xf numFmtId="0" fontId="29" fillId="0" borderId="207" xfId="0" applyFont="1" applyFill="1" applyBorder="1" applyAlignment="1">
      <alignment horizontal="left" vertical="center" wrapText="1"/>
    </xf>
    <xf numFmtId="0" fontId="30" fillId="27" borderId="12" xfId="0" applyFont="1" applyFill="1" applyBorder="1" applyAlignment="1">
      <alignment horizontal="left" vertical="center" wrapText="1"/>
    </xf>
    <xf numFmtId="0" fontId="30" fillId="27" borderId="0" xfId="0" applyFont="1" applyFill="1" applyBorder="1" applyAlignment="1">
      <alignment horizontal="left" vertical="center" wrapText="1"/>
    </xf>
    <xf numFmtId="0" fontId="30" fillId="27" borderId="13" xfId="0" applyFont="1" applyFill="1" applyBorder="1" applyAlignment="1">
      <alignment horizontal="left" vertical="center" wrapText="1"/>
    </xf>
    <xf numFmtId="0" fontId="30" fillId="27" borderId="11" xfId="0" applyFont="1" applyFill="1" applyBorder="1" applyAlignment="1">
      <alignment horizontal="left" vertical="center" wrapText="1"/>
    </xf>
    <xf numFmtId="0" fontId="30" fillId="27" borderId="19" xfId="0" applyFont="1" applyFill="1" applyBorder="1" applyAlignment="1">
      <alignment horizontal="left" vertical="center" wrapText="1"/>
    </xf>
    <xf numFmtId="0" fontId="30" fillId="27" borderId="22" xfId="0" applyFont="1" applyFill="1" applyBorder="1" applyAlignment="1">
      <alignment horizontal="left" vertical="center" wrapText="1"/>
    </xf>
    <xf numFmtId="49" fontId="34" fillId="0" borderId="19" xfId="0" applyNumberFormat="1" applyFont="1" applyBorder="1" applyAlignment="1">
      <alignment horizontal="left" vertical="center" wrapText="1"/>
    </xf>
    <xf numFmtId="49" fontId="27" fillId="0" borderId="19" xfId="0" applyNumberFormat="1" applyFont="1" applyBorder="1" applyAlignment="1">
      <alignment horizontal="left" vertical="center" wrapText="1"/>
    </xf>
    <xf numFmtId="49" fontId="27" fillId="0" borderId="22" xfId="0" applyNumberFormat="1" applyFont="1" applyBorder="1" applyAlignment="1">
      <alignment horizontal="left" vertical="center" wrapText="1"/>
    </xf>
    <xf numFmtId="0" fontId="36" fillId="37" borderId="8" xfId="0" applyFont="1" applyFill="1" applyBorder="1" applyAlignment="1">
      <alignment horizontal="center" vertical="center" wrapText="1"/>
    </xf>
    <xf numFmtId="0" fontId="27" fillId="27" borderId="262" xfId="0" applyFont="1" applyFill="1" applyBorder="1" applyAlignment="1">
      <alignment vertical="center" wrapText="1"/>
    </xf>
    <xf numFmtId="0" fontId="27" fillId="0" borderId="263" xfId="0" applyFont="1" applyBorder="1" applyAlignment="1">
      <alignment vertical="center" wrapText="1"/>
    </xf>
    <xf numFmtId="0" fontId="27" fillId="0" borderId="274" xfId="0" applyFont="1" applyBorder="1" applyAlignment="1">
      <alignment vertical="center" wrapText="1"/>
    </xf>
    <xf numFmtId="0" fontId="34" fillId="0" borderId="52" xfId="0" applyFont="1" applyFill="1" applyBorder="1" applyAlignment="1">
      <alignment vertical="center" wrapText="1"/>
    </xf>
    <xf numFmtId="0" fontId="27" fillId="41" borderId="273" xfId="0" applyFont="1" applyFill="1" applyBorder="1" applyAlignment="1">
      <alignment horizontal="center" vertical="center" wrapText="1"/>
    </xf>
    <xf numFmtId="0" fontId="40" fillId="0" borderId="19" xfId="0" applyFont="1" applyFill="1" applyBorder="1" applyAlignment="1">
      <alignment horizontal="left" vertical="center" wrapText="1"/>
    </xf>
    <xf numFmtId="49" fontId="34" fillId="0" borderId="19" xfId="0" applyNumberFormat="1" applyFont="1" applyFill="1" applyBorder="1" applyAlignment="1">
      <alignment horizontal="left" vertical="center" wrapText="1"/>
    </xf>
    <xf numFmtId="49" fontId="27" fillId="0" borderId="19" xfId="0" applyNumberFormat="1" applyFont="1" applyFill="1" applyBorder="1" applyAlignment="1">
      <alignment horizontal="left" vertical="center" wrapText="1"/>
    </xf>
    <xf numFmtId="49" fontId="27" fillId="0" borderId="19" xfId="0" applyNumberFormat="1" applyFont="1" applyFill="1" applyBorder="1" applyAlignment="1">
      <alignment vertical="center"/>
    </xf>
    <xf numFmtId="0" fontId="34" fillId="36" borderId="273" xfId="0" applyFont="1" applyFill="1" applyBorder="1" applyAlignment="1">
      <alignment vertical="center"/>
    </xf>
    <xf numFmtId="0" fontId="34" fillId="27" borderId="274" xfId="0" applyFont="1" applyFill="1" applyBorder="1" applyAlignment="1">
      <alignment vertical="center" wrapText="1"/>
    </xf>
    <xf numFmtId="0" fontId="34" fillId="27" borderId="273" xfId="0" applyFont="1" applyFill="1" applyBorder="1" applyAlignment="1">
      <alignment vertical="center" wrapText="1"/>
    </xf>
    <xf numFmtId="0" fontId="27" fillId="44" borderId="273" xfId="0" applyFont="1" applyFill="1" applyBorder="1" applyAlignment="1">
      <alignment horizontal="center" vertical="center" wrapText="1"/>
    </xf>
    <xf numFmtId="0" fontId="30" fillId="41" borderId="165" xfId="0" applyFont="1" applyFill="1" applyBorder="1" applyAlignment="1">
      <alignment horizontal="left" vertical="center" wrapText="1"/>
    </xf>
    <xf numFmtId="0" fontId="27" fillId="0" borderId="227" xfId="35" applyFont="1" applyBorder="1" applyAlignment="1" applyProtection="1">
      <alignment vertical="center"/>
    </xf>
    <xf numFmtId="0" fontId="27" fillId="0" borderId="228" xfId="35" applyFont="1" applyBorder="1" applyAlignment="1" applyProtection="1">
      <alignment vertical="center"/>
    </xf>
    <xf numFmtId="0" fontId="27" fillId="0" borderId="229" xfId="35" applyFont="1" applyBorder="1" applyAlignment="1" applyProtection="1">
      <alignment vertical="center"/>
    </xf>
    <xf numFmtId="0" fontId="34" fillId="41" borderId="216" xfId="0" applyFont="1" applyFill="1" applyBorder="1" applyAlignment="1">
      <alignment vertical="center" wrapText="1"/>
    </xf>
    <xf numFmtId="0" fontId="34" fillId="41" borderId="217" xfId="0" applyFont="1" applyFill="1" applyBorder="1" applyAlignment="1">
      <alignment vertical="center" wrapText="1"/>
    </xf>
    <xf numFmtId="0" fontId="34" fillId="41" borderId="218" xfId="0" applyFont="1" applyFill="1" applyBorder="1" applyAlignment="1">
      <alignment vertical="center" wrapText="1"/>
    </xf>
    <xf numFmtId="0" fontId="27" fillId="24" borderId="10" xfId="0" applyFont="1" applyFill="1" applyBorder="1" applyAlignment="1">
      <alignment horizontal="left" vertical="center" wrapText="1"/>
    </xf>
    <xf numFmtId="0" fontId="27" fillId="24" borderId="17" xfId="0" applyFont="1" applyFill="1" applyBorder="1" applyAlignment="1">
      <alignment horizontal="left" vertical="center" wrapText="1"/>
    </xf>
    <xf numFmtId="0" fontId="38" fillId="0" borderId="88" xfId="0" applyFont="1" applyBorder="1" applyAlignment="1">
      <alignment horizontal="left" vertical="center"/>
    </xf>
    <xf numFmtId="0" fontId="40" fillId="0" borderId="89" xfId="0" applyFont="1" applyBorder="1" applyAlignment="1">
      <alignment horizontal="left" vertical="center" wrapText="1"/>
    </xf>
    <xf numFmtId="0" fontId="40" fillId="0" borderId="90" xfId="0" applyFont="1" applyBorder="1" applyAlignment="1">
      <alignment horizontal="left" vertical="center" wrapText="1"/>
    </xf>
    <xf numFmtId="0" fontId="40" fillId="0" borderId="91" xfId="0" applyFont="1" applyBorder="1" applyAlignment="1">
      <alignment horizontal="left" vertical="center" wrapText="1"/>
    </xf>
    <xf numFmtId="0" fontId="27" fillId="0" borderId="244" xfId="0" applyFont="1" applyBorder="1" applyAlignment="1">
      <alignment vertical="center" wrapText="1"/>
    </xf>
    <xf numFmtId="0" fontId="27" fillId="0" borderId="245" xfId="0" applyFont="1" applyBorder="1" applyAlignment="1">
      <alignment vertical="center" wrapText="1"/>
    </xf>
    <xf numFmtId="0" fontId="27" fillId="0" borderId="245" xfId="0" applyFont="1" applyBorder="1" applyAlignment="1">
      <alignment vertical="center"/>
    </xf>
    <xf numFmtId="0" fontId="27" fillId="0" borderId="246" xfId="0" applyFont="1" applyBorder="1" applyAlignment="1">
      <alignment vertical="center"/>
    </xf>
    <xf numFmtId="3" fontId="27" fillId="33" borderId="289" xfId="0" applyNumberFormat="1" applyFont="1" applyFill="1" applyBorder="1" applyAlignment="1">
      <alignment horizontal="center" vertical="center"/>
    </xf>
    <xf numFmtId="3" fontId="27" fillId="33" borderId="290" xfId="0" applyNumberFormat="1" applyFont="1" applyFill="1" applyBorder="1" applyAlignment="1">
      <alignment horizontal="center" vertical="center"/>
    </xf>
    <xf numFmtId="3" fontId="36" fillId="33" borderId="236" xfId="0" applyNumberFormat="1" applyFont="1" applyFill="1" applyBorder="1" applyAlignment="1">
      <alignment horizontal="left" vertical="center" wrapText="1"/>
    </xf>
    <xf numFmtId="3" fontId="36" fillId="33" borderId="256" xfId="0" applyNumberFormat="1" applyFont="1" applyFill="1" applyBorder="1" applyAlignment="1">
      <alignment horizontal="left" vertical="center" wrapText="1"/>
    </xf>
    <xf numFmtId="0" fontId="37" fillId="35" borderId="236" xfId="0" applyFont="1" applyFill="1" applyBorder="1" applyAlignment="1">
      <alignment horizontal="center" vertical="center" wrapText="1"/>
    </xf>
    <xf numFmtId="0" fontId="37" fillId="35" borderId="256" xfId="0" applyFont="1" applyFill="1" applyBorder="1" applyAlignment="1">
      <alignment horizontal="center" vertical="center" wrapText="1"/>
    </xf>
    <xf numFmtId="0" fontId="40" fillId="41" borderId="165" xfId="0" applyFont="1" applyFill="1" applyBorder="1" applyAlignment="1">
      <alignment vertical="center" wrapText="1"/>
    </xf>
    <xf numFmtId="0" fontId="27" fillId="44" borderId="301" xfId="0" applyFont="1" applyFill="1" applyBorder="1" applyAlignment="1">
      <alignment horizontal="center" vertical="center"/>
    </xf>
    <xf numFmtId="0" fontId="27" fillId="44" borderId="302" xfId="0" applyFont="1" applyFill="1" applyBorder="1" applyAlignment="1">
      <alignment vertical="center"/>
    </xf>
    <xf numFmtId="0" fontId="34" fillId="37" borderId="262" xfId="0" applyFont="1" applyFill="1" applyBorder="1" applyAlignment="1">
      <alignment horizontal="center" vertical="center" wrapText="1"/>
    </xf>
    <xf numFmtId="0" fontId="34" fillId="37" borderId="274" xfId="0" applyFont="1" applyFill="1" applyBorder="1" applyAlignment="1">
      <alignment horizontal="center" vertical="center" wrapText="1"/>
    </xf>
    <xf numFmtId="0" fontId="36" fillId="27" borderId="247" xfId="0" applyFont="1" applyFill="1" applyBorder="1" applyAlignment="1">
      <alignment vertical="center"/>
    </xf>
    <xf numFmtId="0" fontId="36" fillId="0" borderId="67" xfId="0" applyFont="1" applyBorder="1" applyAlignment="1">
      <alignment vertical="center"/>
    </xf>
    <xf numFmtId="0" fontId="36" fillId="0" borderId="178" xfId="0" applyFont="1" applyBorder="1" applyAlignment="1">
      <alignment vertical="center"/>
    </xf>
    <xf numFmtId="3" fontId="27" fillId="33" borderId="292" xfId="0" applyNumberFormat="1" applyFont="1" applyFill="1" applyBorder="1" applyAlignment="1">
      <alignment horizontal="center" vertical="center"/>
    </xf>
    <xf numFmtId="3" fontId="27" fillId="33" borderId="285" xfId="0" applyNumberFormat="1" applyFont="1" applyFill="1" applyBorder="1" applyAlignment="1">
      <alignment horizontal="center" vertical="center"/>
    </xf>
    <xf numFmtId="3" fontId="27" fillId="33" borderId="283" xfId="0" applyNumberFormat="1" applyFont="1" applyFill="1" applyBorder="1" applyAlignment="1">
      <alignment horizontal="center" vertical="center"/>
    </xf>
    <xf numFmtId="0" fontId="37" fillId="41" borderId="236" xfId="0" applyFont="1" applyFill="1" applyBorder="1" applyAlignment="1">
      <alignment horizontal="center" vertical="center" wrapText="1"/>
    </xf>
    <xf numFmtId="165" fontId="27" fillId="33" borderId="273" xfId="0" applyNumberFormat="1" applyFont="1" applyFill="1" applyBorder="1" applyAlignment="1">
      <alignment horizontal="center" vertical="center"/>
    </xf>
    <xf numFmtId="165" fontId="27" fillId="33" borderId="262" xfId="0" applyNumberFormat="1" applyFont="1" applyFill="1" applyBorder="1" applyAlignment="1">
      <alignment horizontal="center" vertical="center"/>
    </xf>
    <xf numFmtId="0" fontId="27" fillId="27" borderId="273" xfId="0" applyFont="1" applyFill="1" applyBorder="1" applyAlignment="1">
      <alignment vertical="center" wrapText="1"/>
    </xf>
    <xf numFmtId="0" fontId="27" fillId="35" borderId="262" xfId="0" applyFont="1" applyFill="1" applyBorder="1" applyAlignment="1">
      <alignment horizontal="center" vertical="center" wrapText="1"/>
    </xf>
    <xf numFmtId="0" fontId="27" fillId="35" borderId="263" xfId="0" applyFont="1" applyFill="1" applyBorder="1" applyAlignment="1">
      <alignment horizontal="center" vertical="center" wrapText="1"/>
    </xf>
    <xf numFmtId="0" fontId="27" fillId="35" borderId="274" xfId="0" applyFont="1" applyFill="1" applyBorder="1" applyAlignment="1">
      <alignment horizontal="center" vertical="center" wrapText="1"/>
    </xf>
    <xf numFmtId="0" fontId="27" fillId="33" borderId="297" xfId="0" applyFont="1" applyFill="1" applyBorder="1" applyAlignment="1">
      <alignment horizontal="left" vertical="center"/>
    </xf>
    <xf numFmtId="0" fontId="27" fillId="33" borderId="292" xfId="0" applyFont="1" applyFill="1" applyBorder="1" applyAlignment="1">
      <alignment horizontal="left" vertical="center"/>
    </xf>
    <xf numFmtId="0" fontId="40" fillId="41" borderId="247" xfId="0" applyFont="1" applyFill="1" applyBorder="1" applyAlignment="1">
      <alignment vertical="center"/>
    </xf>
    <xf numFmtId="0" fontId="34" fillId="41" borderId="67" xfId="0" applyFont="1" applyFill="1" applyBorder="1" applyAlignment="1">
      <alignment vertical="center"/>
    </xf>
    <xf numFmtId="0" fontId="27" fillId="41" borderId="67" xfId="0" applyFont="1" applyFill="1" applyBorder="1" applyAlignment="1">
      <alignment vertical="center"/>
    </xf>
    <xf numFmtId="0" fontId="27" fillId="41" borderId="248" xfId="0" applyFont="1" applyFill="1" applyBorder="1" applyAlignment="1">
      <alignment vertical="center"/>
    </xf>
    <xf numFmtId="0" fontId="40" fillId="0" borderId="171" xfId="0" applyFont="1" applyBorder="1" applyAlignment="1">
      <alignment horizontal="center" vertical="center" wrapText="1"/>
    </xf>
    <xf numFmtId="0" fontId="40" fillId="0" borderId="172" xfId="0" applyFont="1" applyBorder="1" applyAlignment="1">
      <alignment horizontal="center" vertical="center" wrapText="1"/>
    </xf>
    <xf numFmtId="0" fontId="34" fillId="0" borderId="173" xfId="0" applyFont="1" applyBorder="1" applyAlignment="1">
      <alignment horizontal="center" vertical="center"/>
    </xf>
    <xf numFmtId="0" fontId="27" fillId="0" borderId="171" xfId="0" applyFont="1" applyBorder="1" applyAlignment="1">
      <alignment vertical="center" wrapText="1"/>
    </xf>
    <xf numFmtId="0" fontId="27" fillId="0" borderId="171" xfId="0" applyFont="1" applyBorder="1" applyAlignment="1">
      <alignment vertical="center"/>
    </xf>
    <xf numFmtId="0" fontId="27" fillId="0" borderId="272" xfId="0" applyFont="1" applyBorder="1" applyAlignment="1">
      <alignment horizontal="left" vertical="center" wrapText="1"/>
    </xf>
    <xf numFmtId="0" fontId="27" fillId="0" borderId="13" xfId="0" applyFont="1" applyBorder="1" applyAlignment="1">
      <alignment horizontal="left" vertical="center" wrapText="1"/>
    </xf>
    <xf numFmtId="0" fontId="27" fillId="0" borderId="270" xfId="0" applyFont="1" applyBorder="1" applyAlignment="1">
      <alignment horizontal="center" vertical="center" wrapText="1"/>
    </xf>
    <xf numFmtId="0" fontId="27" fillId="0" borderId="271" xfId="0" applyFont="1" applyBorder="1" applyAlignment="1">
      <alignment horizontal="center" vertical="center" wrapText="1"/>
    </xf>
    <xf numFmtId="0" fontId="27" fillId="0" borderId="12" xfId="0" applyFont="1" applyBorder="1" applyAlignment="1">
      <alignment horizontal="center" vertical="center" wrapText="1"/>
    </xf>
    <xf numFmtId="0" fontId="27" fillId="0" borderId="0" xfId="0" applyFont="1" applyBorder="1" applyAlignment="1">
      <alignment horizontal="center" vertical="center" wrapText="1"/>
    </xf>
    <xf numFmtId="0" fontId="27" fillId="0" borderId="11" xfId="0" applyFont="1" applyBorder="1" applyAlignment="1">
      <alignment horizontal="center" vertical="center" wrapText="1"/>
    </xf>
    <xf numFmtId="0" fontId="27" fillId="0" borderId="19" xfId="0" applyFont="1" applyBorder="1" applyAlignment="1">
      <alignment horizontal="center" vertical="center" wrapText="1"/>
    </xf>
    <xf numFmtId="0" fontId="27" fillId="0" borderId="19" xfId="0" applyFont="1" applyBorder="1" applyAlignment="1">
      <alignment horizontal="left" vertical="center" wrapText="1"/>
    </xf>
    <xf numFmtId="0" fontId="27" fillId="0" borderId="22" xfId="0" applyFont="1" applyBorder="1" applyAlignment="1">
      <alignment horizontal="left" vertical="center" wrapText="1"/>
    </xf>
    <xf numFmtId="0" fontId="38" fillId="0" borderId="0" xfId="0" applyFont="1" applyBorder="1" applyAlignment="1">
      <alignment vertical="center" wrapText="1"/>
    </xf>
    <xf numFmtId="0" fontId="38" fillId="0" borderId="13" xfId="0" applyFont="1" applyBorder="1" applyAlignment="1">
      <alignment vertical="center" wrapText="1"/>
    </xf>
    <xf numFmtId="0" fontId="27" fillId="0" borderId="182" xfId="35" applyFont="1" applyBorder="1" applyAlignment="1" applyProtection="1">
      <alignment vertical="center" wrapText="1"/>
    </xf>
    <xf numFmtId="0" fontId="27" fillId="0" borderId="183" xfId="35" applyFont="1" applyBorder="1" applyAlignment="1" applyProtection="1">
      <alignment vertical="center" wrapText="1"/>
    </xf>
    <xf numFmtId="0" fontId="27" fillId="0" borderId="183" xfId="35" applyFont="1" applyBorder="1" applyAlignment="1" applyProtection="1">
      <alignment vertical="center"/>
    </xf>
    <xf numFmtId="0" fontId="27" fillId="0" borderId="184" xfId="35" applyFont="1" applyBorder="1" applyAlignment="1" applyProtection="1">
      <alignment vertical="center"/>
    </xf>
    <xf numFmtId="0" fontId="35" fillId="28" borderId="14" xfId="0" applyFont="1" applyFill="1" applyBorder="1" applyAlignment="1">
      <alignment vertical="center" wrapText="1"/>
    </xf>
    <xf numFmtId="0" fontId="35" fillId="28" borderId="15" xfId="0" applyFont="1" applyFill="1" applyBorder="1" applyAlignment="1">
      <alignment vertical="center" wrapText="1"/>
    </xf>
    <xf numFmtId="0" fontId="35" fillId="28" borderId="53" xfId="0" applyFont="1" applyFill="1" applyBorder="1" applyAlignment="1">
      <alignment vertical="center" wrapText="1"/>
    </xf>
    <xf numFmtId="0" fontId="34" fillId="0" borderId="194" xfId="0" applyFont="1" applyFill="1" applyBorder="1" applyAlignment="1">
      <alignment horizontal="left" vertical="center" wrapText="1"/>
    </xf>
    <xf numFmtId="0" fontId="34" fillId="0" borderId="195" xfId="0" applyFont="1" applyFill="1" applyBorder="1" applyAlignment="1">
      <alignment horizontal="left" vertical="center" wrapText="1"/>
    </xf>
    <xf numFmtId="0" fontId="40" fillId="41" borderId="10" xfId="0" applyFont="1" applyFill="1" applyBorder="1" applyAlignment="1">
      <alignment horizontal="left" vertical="center" wrapText="1"/>
    </xf>
    <xf numFmtId="0" fontId="40" fillId="41" borderId="17" xfId="0" applyFont="1" applyFill="1" applyBorder="1" applyAlignment="1">
      <alignment horizontal="left" vertical="center" wrapText="1"/>
    </xf>
    <xf numFmtId="0" fontId="40" fillId="41" borderId="36" xfId="0" applyFont="1" applyFill="1" applyBorder="1" applyAlignment="1">
      <alignment horizontal="left" vertical="center" wrapText="1"/>
    </xf>
    <xf numFmtId="0" fontId="34" fillId="41" borderId="188" xfId="0" applyFont="1" applyFill="1" applyBorder="1" applyAlignment="1">
      <alignment horizontal="left" vertical="center" wrapText="1"/>
    </xf>
    <xf numFmtId="0" fontId="34" fillId="41" borderId="189" xfId="0" applyFont="1" applyFill="1" applyBorder="1" applyAlignment="1">
      <alignment horizontal="left" vertical="center" wrapText="1"/>
    </xf>
    <xf numFmtId="0" fontId="34" fillId="41" borderId="190" xfId="0" applyFont="1" applyFill="1" applyBorder="1" applyAlignment="1">
      <alignment horizontal="left" vertical="center" wrapText="1"/>
    </xf>
    <xf numFmtId="0" fontId="34" fillId="41" borderId="191" xfId="0" applyFont="1" applyFill="1" applyBorder="1" applyAlignment="1">
      <alignment horizontal="left" vertical="center" wrapText="1"/>
    </xf>
    <xf numFmtId="0" fontId="27" fillId="41" borderId="192" xfId="0" applyFont="1" applyFill="1" applyBorder="1" applyAlignment="1">
      <alignment horizontal="left" vertical="center" wrapText="1"/>
    </xf>
    <xf numFmtId="0" fontId="27" fillId="41" borderId="193" xfId="0" applyFont="1" applyFill="1" applyBorder="1" applyAlignment="1">
      <alignment horizontal="left" vertical="center" wrapText="1"/>
    </xf>
    <xf numFmtId="0" fontId="27" fillId="0" borderId="102" xfId="0" applyFont="1" applyBorder="1" applyAlignment="1">
      <alignment vertical="center" wrapText="1"/>
    </xf>
    <xf numFmtId="0" fontId="27" fillId="0" borderId="103" xfId="0" applyFont="1" applyBorder="1" applyAlignment="1">
      <alignment vertical="center" wrapText="1"/>
    </xf>
    <xf numFmtId="0" fontId="85" fillId="27" borderId="262" xfId="0" applyFont="1" applyFill="1" applyBorder="1" applyAlignment="1">
      <alignment horizontal="center" vertical="center"/>
    </xf>
    <xf numFmtId="0" fontId="84" fillId="0" borderId="263" xfId="0" applyFont="1" applyBorder="1" applyAlignment="1">
      <alignment horizontal="center" vertical="center"/>
    </xf>
    <xf numFmtId="0" fontId="1" fillId="0" borderId="263" xfId="0" applyFont="1" applyBorder="1" applyAlignment="1">
      <alignment vertical="center"/>
    </xf>
    <xf numFmtId="0" fontId="1" fillId="0" borderId="274" xfId="0" applyFont="1" applyBorder="1" applyAlignment="1">
      <alignment vertical="center"/>
    </xf>
    <xf numFmtId="0" fontId="38" fillId="27" borderId="262" xfId="0" applyFont="1" applyFill="1" applyBorder="1" applyAlignment="1">
      <alignment vertical="center" wrapText="1"/>
    </xf>
    <xf numFmtId="0" fontId="0" fillId="0" borderId="263" xfId="0" applyBorder="1" applyAlignment="1">
      <alignment vertical="center" wrapText="1"/>
    </xf>
    <xf numFmtId="0" fontId="0" fillId="0" borderId="274" xfId="0" applyBorder="1" applyAlignment="1">
      <alignment vertical="center" wrapText="1"/>
    </xf>
    <xf numFmtId="0" fontId="27" fillId="41" borderId="262" xfId="0" applyFont="1" applyFill="1" applyBorder="1" applyAlignment="1">
      <alignment horizontal="center" vertical="center" wrapText="1"/>
    </xf>
    <xf numFmtId="0" fontId="27" fillId="41" borderId="263" xfId="0" applyFont="1" applyFill="1" applyBorder="1" applyAlignment="1">
      <alignment horizontal="center" vertical="center" wrapText="1"/>
    </xf>
    <xf numFmtId="0" fontId="0" fillId="0" borderId="274" xfId="0" applyBorder="1" applyAlignment="1">
      <alignment horizontal="center" vertical="center" wrapText="1"/>
    </xf>
    <xf numFmtId="0" fontId="27" fillId="27" borderId="262" xfId="0" applyFont="1" applyFill="1" applyBorder="1" applyAlignment="1">
      <alignment horizontal="center" vertical="center"/>
    </xf>
    <xf numFmtId="0" fontId="0" fillId="0" borderId="263" xfId="0" applyBorder="1" applyAlignment="1">
      <alignment horizontal="center" vertical="center"/>
    </xf>
    <xf numFmtId="0" fontId="0" fillId="0" borderId="274" xfId="0" applyBorder="1" applyAlignment="1">
      <alignment horizontal="center" vertical="center"/>
    </xf>
    <xf numFmtId="0" fontId="86" fillId="0" borderId="52" xfId="0" applyFont="1" applyBorder="1" applyAlignment="1">
      <alignment vertical="center" wrapText="1"/>
    </xf>
    <xf numFmtId="0" fontId="0" fillId="0" borderId="52" xfId="0" applyBorder="1" applyAlignment="1">
      <alignment vertical="center"/>
    </xf>
    <xf numFmtId="0" fontId="0" fillId="0" borderId="273" xfId="0" applyBorder="1" applyAlignment="1">
      <alignment vertical="center"/>
    </xf>
    <xf numFmtId="0" fontId="27" fillId="0" borderId="173" xfId="0" applyFont="1" applyBorder="1" applyAlignment="1">
      <alignment vertical="center" wrapText="1"/>
    </xf>
    <xf numFmtId="0" fontId="27" fillId="0" borderId="173" xfId="0" applyFont="1" applyBorder="1" applyAlignment="1">
      <alignment vertical="center"/>
    </xf>
    <xf numFmtId="0" fontId="27" fillId="0" borderId="172" xfId="0" applyFont="1" applyBorder="1" applyAlignment="1">
      <alignment vertical="center" wrapText="1"/>
    </xf>
    <xf numFmtId="0" fontId="57" fillId="35" borderId="273" xfId="0" applyFont="1" applyFill="1" applyBorder="1" applyAlignment="1">
      <alignment horizontal="center" vertical="center" wrapText="1"/>
    </xf>
    <xf numFmtId="0" fontId="27" fillId="0" borderId="321" xfId="0" applyFont="1" applyBorder="1" applyAlignment="1">
      <alignment horizontal="left" vertical="center" wrapText="1"/>
    </xf>
    <xf numFmtId="0" fontId="27" fillId="0" borderId="322" xfId="0" applyFont="1" applyBorder="1" applyAlignment="1">
      <alignment vertical="center"/>
    </xf>
    <xf numFmtId="0" fontId="28" fillId="41" borderId="12" xfId="0" applyFont="1" applyFill="1" applyBorder="1" applyAlignment="1">
      <alignment vertical="center"/>
    </xf>
    <xf numFmtId="0" fontId="29" fillId="41" borderId="0" xfId="0" applyFont="1" applyFill="1" applyBorder="1" applyAlignment="1">
      <alignment vertical="center"/>
    </xf>
    <xf numFmtId="0" fontId="27" fillId="41" borderId="0" xfId="0" applyFont="1" applyFill="1" applyBorder="1" applyAlignment="1">
      <alignment vertical="center"/>
    </xf>
    <xf numFmtId="0" fontId="27" fillId="41" borderId="13" xfId="0" applyFont="1" applyFill="1" applyBorder="1" applyAlignment="1">
      <alignment vertical="center"/>
    </xf>
    <xf numFmtId="0" fontId="27" fillId="33" borderId="273" xfId="0" applyFont="1" applyFill="1" applyBorder="1" applyAlignment="1">
      <alignment vertical="center"/>
    </xf>
    <xf numFmtId="0" fontId="28" fillId="41" borderId="270" xfId="0" applyFont="1" applyFill="1" applyBorder="1" applyAlignment="1">
      <alignment horizontal="left" vertical="center"/>
    </xf>
    <xf numFmtId="0" fontId="27" fillId="41" borderId="272" xfId="0" applyFont="1" applyFill="1" applyBorder="1" applyAlignment="1">
      <alignment horizontal="left" vertical="center"/>
    </xf>
    <xf numFmtId="0" fontId="58" fillId="30" borderId="262" xfId="0" applyFont="1" applyFill="1" applyBorder="1" applyAlignment="1">
      <alignment horizontal="center" vertical="center" wrapText="1"/>
    </xf>
    <xf numFmtId="0" fontId="58" fillId="30" borderId="263" xfId="0" applyFont="1" applyFill="1" applyBorder="1" applyAlignment="1">
      <alignment horizontal="center" vertical="center" wrapText="1"/>
    </xf>
    <xf numFmtId="0" fontId="58" fillId="30" borderId="274" xfId="0" applyFont="1" applyFill="1" applyBorder="1" applyAlignment="1">
      <alignment horizontal="center" vertical="center" wrapText="1"/>
    </xf>
    <xf numFmtId="0" fontId="27" fillId="0" borderId="320" xfId="0" applyFont="1" applyBorder="1" applyAlignment="1">
      <alignment horizontal="left" vertical="center" wrapText="1"/>
    </xf>
    <xf numFmtId="0" fontId="34" fillId="0" borderId="321" xfId="0" applyFont="1" applyBorder="1" applyAlignment="1">
      <alignment vertical="center"/>
    </xf>
    <xf numFmtId="0" fontId="50" fillId="29" borderId="262" xfId="0" applyFont="1" applyFill="1" applyBorder="1" applyAlignment="1">
      <alignment horizontal="center" vertical="center" wrapText="1"/>
    </xf>
    <xf numFmtId="0" fontId="50" fillId="29" borderId="274" xfId="0" applyFont="1" applyFill="1" applyBorder="1" applyAlignment="1">
      <alignment horizontal="center" vertical="center" wrapText="1"/>
    </xf>
    <xf numFmtId="0" fontId="27" fillId="41" borderId="274" xfId="0" applyFont="1" applyFill="1" applyBorder="1" applyAlignment="1">
      <alignment horizontal="center" vertical="center" wrapText="1"/>
    </xf>
    <xf numFmtId="0" fontId="27" fillId="0" borderId="262" xfId="0" applyFont="1" applyBorder="1" applyAlignment="1">
      <alignment vertical="center"/>
    </xf>
    <xf numFmtId="0" fontId="27" fillId="0" borderId="263" xfId="0" applyFont="1" applyBorder="1" applyAlignment="1">
      <alignment vertical="center"/>
    </xf>
    <xf numFmtId="0" fontId="27" fillId="0" borderId="274" xfId="0" applyFont="1" applyBorder="1" applyAlignment="1">
      <alignment vertical="center"/>
    </xf>
    <xf numFmtId="0" fontId="27" fillId="0" borderId="303" xfId="0" applyFont="1" applyBorder="1" applyAlignment="1">
      <alignment vertical="center"/>
    </xf>
    <xf numFmtId="0" fontId="27" fillId="0" borderId="304" xfId="0" applyFont="1" applyBorder="1" applyAlignment="1">
      <alignment vertical="center"/>
    </xf>
    <xf numFmtId="0" fontId="27" fillId="0" borderId="305" xfId="0" applyFont="1" applyBorder="1" applyAlignment="1">
      <alignment vertical="center"/>
    </xf>
    <xf numFmtId="0" fontId="27" fillId="0" borderId="174" xfId="0" applyFont="1" applyBorder="1" applyAlignment="1">
      <alignment vertical="center" wrapText="1"/>
    </xf>
    <xf numFmtId="0" fontId="27" fillId="0" borderId="175" xfId="0" applyFont="1" applyBorder="1" applyAlignment="1">
      <alignment vertical="center" wrapText="1"/>
    </xf>
    <xf numFmtId="0" fontId="27" fillId="0" borderId="175" xfId="0" applyFont="1" applyBorder="1" applyAlignment="1">
      <alignment vertical="center"/>
    </xf>
    <xf numFmtId="0" fontId="27" fillId="0" borderId="176" xfId="0" applyFont="1" applyBorder="1" applyAlignment="1">
      <alignment vertical="center"/>
    </xf>
    <xf numFmtId="2" fontId="27" fillId="44" borderId="110" xfId="0" applyNumberFormat="1" applyFont="1" applyFill="1" applyBorder="1" applyAlignment="1">
      <alignment horizontal="center" vertical="center" wrapText="1"/>
    </xf>
    <xf numFmtId="2" fontId="50" fillId="29" borderId="110" xfId="0" applyNumberFormat="1" applyFont="1" applyFill="1" applyBorder="1" applyAlignment="1">
      <alignment horizontal="center" vertical="center" wrapText="1"/>
    </xf>
    <xf numFmtId="0" fontId="27" fillId="0" borderId="296" xfId="0" applyFont="1" applyFill="1" applyBorder="1" applyAlignment="1">
      <alignment horizontal="left" vertical="center"/>
    </xf>
    <xf numFmtId="0" fontId="27" fillId="0" borderId="284" xfId="0" applyFont="1" applyBorder="1" applyAlignment="1">
      <alignment horizontal="left" vertical="center"/>
    </xf>
    <xf numFmtId="0" fontId="27" fillId="41" borderId="236" xfId="0" applyFont="1" applyFill="1" applyBorder="1" applyAlignment="1">
      <alignment horizontal="center" vertical="center" wrapText="1"/>
    </xf>
    <xf numFmtId="0" fontId="36" fillId="33" borderId="236" xfId="0" applyFont="1" applyFill="1" applyBorder="1" applyAlignment="1">
      <alignment horizontal="center" vertical="center" wrapText="1"/>
    </xf>
    <xf numFmtId="0" fontId="34" fillId="27" borderId="236" xfId="0" applyFont="1" applyFill="1" applyBorder="1" applyAlignment="1">
      <alignment horizontal="center" vertical="center" wrapText="1"/>
    </xf>
    <xf numFmtId="0" fontId="27" fillId="27" borderId="236" xfId="0" applyFont="1" applyFill="1" applyBorder="1" applyAlignment="1">
      <alignment horizontal="center" vertical="center" wrapText="1"/>
    </xf>
    <xf numFmtId="0" fontId="29" fillId="33" borderId="255" xfId="0" applyFont="1" applyFill="1" applyBorder="1" applyAlignment="1">
      <alignment horizontal="left" vertical="center" wrapText="1"/>
    </xf>
    <xf numFmtId="0" fontId="29" fillId="33" borderId="236" xfId="0" applyFont="1" applyFill="1" applyBorder="1" applyAlignment="1">
      <alignment horizontal="left" vertical="center" wrapText="1"/>
    </xf>
    <xf numFmtId="0" fontId="36" fillId="33" borderId="255" xfId="0" applyFont="1" applyFill="1" applyBorder="1" applyAlignment="1">
      <alignment vertical="center" wrapText="1"/>
    </xf>
    <xf numFmtId="0" fontId="36" fillId="33" borderId="236" xfId="0" applyFont="1" applyFill="1" applyBorder="1" applyAlignment="1">
      <alignment vertical="center" wrapText="1"/>
    </xf>
    <xf numFmtId="165" fontId="27" fillId="33" borderId="16" xfId="0" applyNumberFormat="1" applyFont="1" applyFill="1" applyBorder="1" applyAlignment="1">
      <alignment horizontal="center" vertical="center"/>
    </xf>
    <xf numFmtId="0" fontId="34" fillId="27" borderId="251" xfId="0" applyFont="1" applyFill="1" applyBorder="1" applyAlignment="1">
      <alignment vertical="center" wrapText="1"/>
    </xf>
    <xf numFmtId="0" fontId="34" fillId="27" borderId="98" xfId="0" applyFont="1" applyFill="1" applyBorder="1" applyAlignment="1">
      <alignment vertical="center" wrapText="1"/>
    </xf>
    <xf numFmtId="0" fontId="34" fillId="27" borderId="252" xfId="0" applyFont="1" applyFill="1" applyBorder="1" applyAlignment="1">
      <alignment vertical="center" wrapText="1"/>
    </xf>
    <xf numFmtId="3" fontId="27" fillId="33" borderId="259" xfId="0" applyNumberFormat="1" applyFont="1" applyFill="1" applyBorder="1" applyAlignment="1">
      <alignment horizontal="center" vertical="center"/>
    </xf>
    <xf numFmtId="0" fontId="57" fillId="33" borderId="251" xfId="0" applyFont="1" applyFill="1" applyBorder="1" applyAlignment="1">
      <alignment vertical="center" wrapText="1"/>
    </xf>
    <xf numFmtId="0" fontId="57" fillId="33" borderId="98" xfId="0" applyFont="1" applyFill="1" applyBorder="1" applyAlignment="1">
      <alignment vertical="center" wrapText="1"/>
    </xf>
    <xf numFmtId="0" fontId="57" fillId="33" borderId="252" xfId="0" applyFont="1" applyFill="1" applyBorder="1" applyAlignment="1">
      <alignment vertical="center" wrapText="1"/>
    </xf>
    <xf numFmtId="0" fontId="34" fillId="27" borderId="253" xfId="0" applyFont="1" applyFill="1" applyBorder="1" applyAlignment="1">
      <alignment vertical="center" wrapText="1"/>
    </xf>
    <xf numFmtId="0" fontId="34" fillId="27" borderId="223" xfId="0" applyFont="1" applyFill="1" applyBorder="1" applyAlignment="1">
      <alignment vertical="center" wrapText="1"/>
    </xf>
    <xf numFmtId="0" fontId="34" fillId="27" borderId="254" xfId="0" applyFont="1" applyFill="1" applyBorder="1" applyAlignment="1">
      <alignment vertical="center" wrapText="1"/>
    </xf>
    <xf numFmtId="0" fontId="27" fillId="35" borderId="163" xfId="0" applyFont="1" applyFill="1" applyBorder="1" applyAlignment="1">
      <alignment horizontal="center" vertical="center" wrapText="1"/>
    </xf>
    <xf numFmtId="0" fontId="27" fillId="35" borderId="178" xfId="0" applyFont="1" applyFill="1" applyBorder="1" applyAlignment="1">
      <alignment horizontal="center" vertical="center" wrapText="1"/>
    </xf>
    <xf numFmtId="0" fontId="28" fillId="41" borderId="278" xfId="0" applyFont="1" applyFill="1" applyBorder="1" applyAlignment="1">
      <alignment vertical="center"/>
    </xf>
    <xf numFmtId="0" fontId="28" fillId="41" borderId="279" xfId="0" applyFont="1" applyFill="1" applyBorder="1" applyAlignment="1">
      <alignment vertical="center"/>
    </xf>
    <xf numFmtId="0" fontId="28" fillId="41" borderId="280" xfId="0" applyFont="1" applyFill="1" applyBorder="1" applyAlignment="1">
      <alignment vertical="center"/>
    </xf>
    <xf numFmtId="0" fontId="27" fillId="41" borderId="66" xfId="0" applyFont="1" applyFill="1" applyBorder="1" applyAlignment="1">
      <alignment horizontal="center" vertical="center" wrapText="1"/>
    </xf>
    <xf numFmtId="0" fontId="27" fillId="41" borderId="206" xfId="0" applyFont="1" applyFill="1" applyBorder="1" applyAlignment="1">
      <alignment vertical="center"/>
    </xf>
    <xf numFmtId="0" fontId="27" fillId="41" borderId="163" xfId="0" applyFont="1" applyFill="1" applyBorder="1" applyAlignment="1">
      <alignment vertical="center"/>
    </xf>
    <xf numFmtId="0" fontId="27" fillId="41" borderId="178" xfId="0" applyFont="1" applyFill="1" applyBorder="1" applyAlignment="1">
      <alignment vertical="center"/>
    </xf>
    <xf numFmtId="0" fontId="36" fillId="0" borderId="196" xfId="0" applyFont="1" applyFill="1" applyBorder="1" applyAlignment="1">
      <alignment vertical="center"/>
    </xf>
    <xf numFmtId="0" fontId="36" fillId="0" borderId="196" xfId="0" applyFont="1" applyBorder="1" applyAlignment="1">
      <alignment vertical="center"/>
    </xf>
    <xf numFmtId="0" fontId="36" fillId="0" borderId="197" xfId="0" applyFont="1" applyBorder="1" applyAlignment="1">
      <alignment vertical="center"/>
    </xf>
    <xf numFmtId="0" fontId="27" fillId="35" borderId="66" xfId="0" applyFont="1" applyFill="1" applyBorder="1" applyAlignment="1">
      <alignment horizontal="center" vertical="center" wrapText="1"/>
    </xf>
    <xf numFmtId="0" fontId="27" fillId="35" borderId="206" xfId="0" applyFont="1" applyFill="1" applyBorder="1" applyAlignment="1">
      <alignment vertical="center"/>
    </xf>
    <xf numFmtId="0" fontId="27" fillId="35" borderId="163" xfId="0" applyFont="1" applyFill="1" applyBorder="1" applyAlignment="1">
      <alignment vertical="center"/>
    </xf>
    <xf numFmtId="0" fontId="27" fillId="35" borderId="178" xfId="0" applyFont="1" applyFill="1" applyBorder="1" applyAlignment="1">
      <alignment vertical="center"/>
    </xf>
    <xf numFmtId="0" fontId="27" fillId="35" borderId="236" xfId="0" applyFont="1" applyFill="1" applyBorder="1" applyAlignment="1">
      <alignment horizontal="center" vertical="center" wrapText="1"/>
    </xf>
    <xf numFmtId="3" fontId="27" fillId="0" borderId="289" xfId="0" applyNumberFormat="1" applyFont="1" applyFill="1" applyBorder="1" applyAlignment="1">
      <alignment horizontal="center" vertical="center"/>
    </xf>
    <xf numFmtId="0" fontId="30" fillId="24" borderId="21" xfId="0" applyFont="1" applyFill="1" applyBorder="1" applyAlignment="1">
      <alignment vertical="center" wrapText="1"/>
    </xf>
    <xf numFmtId="0" fontId="30" fillId="24" borderId="27" xfId="0" applyFont="1" applyFill="1" applyBorder="1" applyAlignment="1">
      <alignment vertical="center" wrapText="1"/>
    </xf>
    <xf numFmtId="0" fontId="30" fillId="24" borderId="63" xfId="0" applyFont="1" applyFill="1" applyBorder="1" applyAlignment="1">
      <alignment vertical="center" wrapText="1"/>
    </xf>
    <xf numFmtId="0" fontId="28" fillId="41" borderId="270" xfId="0" applyFont="1" applyFill="1" applyBorder="1" applyAlignment="1">
      <alignment vertical="center"/>
    </xf>
    <xf numFmtId="0" fontId="28" fillId="41" borderId="271" xfId="0" applyFont="1" applyFill="1" applyBorder="1" applyAlignment="1">
      <alignment vertical="center"/>
    </xf>
    <xf numFmtId="165" fontId="57" fillId="33" borderId="269" xfId="0" applyNumberFormat="1" applyFont="1" applyFill="1" applyBorder="1" applyAlignment="1">
      <alignment horizontal="center" vertical="center"/>
    </xf>
    <xf numFmtId="0" fontId="57" fillId="47" borderId="273" xfId="0" applyFont="1" applyFill="1" applyBorder="1" applyAlignment="1">
      <alignment horizontal="center" vertical="center" wrapText="1"/>
    </xf>
    <xf numFmtId="0" fontId="27" fillId="41" borderId="208" xfId="0" applyFont="1" applyFill="1" applyBorder="1" applyAlignment="1">
      <alignment horizontal="center" vertical="center" wrapText="1"/>
    </xf>
    <xf numFmtId="0" fontId="27" fillId="41" borderId="208" xfId="0" applyFont="1" applyFill="1" applyBorder="1" applyAlignment="1">
      <alignment vertical="center" wrapText="1"/>
    </xf>
    <xf numFmtId="0" fontId="27" fillId="0" borderId="52" xfId="0" applyFont="1" applyFill="1" applyBorder="1" applyAlignment="1">
      <alignment vertical="center" wrapText="1"/>
    </xf>
    <xf numFmtId="0" fontId="27" fillId="0" borderId="273" xfId="0" applyFont="1" applyFill="1" applyBorder="1" applyAlignment="1">
      <alignment vertical="center" wrapText="1"/>
    </xf>
    <xf numFmtId="3" fontId="37" fillId="0" borderId="303" xfId="0" applyNumberFormat="1" applyFont="1" applyBorder="1" applyAlignment="1">
      <alignment horizontal="center" vertical="center" wrapText="1"/>
    </xf>
    <xf numFmtId="3" fontId="37" fillId="0" borderId="304" xfId="0" applyNumberFormat="1" applyFont="1" applyBorder="1" applyAlignment="1">
      <alignment horizontal="center" vertical="center" wrapText="1"/>
    </xf>
    <xf numFmtId="3" fontId="37" fillId="0" borderId="305" xfId="0" applyNumberFormat="1" applyFont="1" applyBorder="1" applyAlignment="1">
      <alignment horizontal="center" vertical="center" wrapText="1"/>
    </xf>
    <xf numFmtId="0" fontId="30" fillId="0" borderId="323" xfId="0" applyFont="1" applyBorder="1" applyAlignment="1">
      <alignment vertical="center"/>
    </xf>
    <xf numFmtId="0" fontId="27" fillId="0" borderId="324" xfId="0" applyFont="1" applyBorder="1" applyAlignment="1">
      <alignment vertical="center"/>
    </xf>
    <xf numFmtId="0" fontId="27" fillId="0" borderId="325" xfId="0" applyFont="1" applyBorder="1" applyAlignment="1">
      <alignment vertical="center"/>
    </xf>
    <xf numFmtId="165" fontId="30" fillId="33" borderId="52" xfId="0" applyNumberFormat="1" applyFont="1" applyFill="1" applyBorder="1" applyAlignment="1">
      <alignment horizontal="center" vertical="center"/>
    </xf>
    <xf numFmtId="0" fontId="29" fillId="33" borderId="270" xfId="0" applyFont="1" applyFill="1" applyBorder="1" applyAlignment="1">
      <alignment vertical="center" wrapText="1"/>
    </xf>
    <xf numFmtId="0" fontId="27" fillId="33" borderId="271" xfId="0" applyFont="1" applyFill="1" applyBorder="1" applyAlignment="1">
      <alignment vertical="center" wrapText="1"/>
    </xf>
    <xf numFmtId="0" fontId="27" fillId="33" borderId="272" xfId="0" applyFont="1" applyFill="1" applyBorder="1" applyAlignment="1">
      <alignment vertical="center" wrapText="1"/>
    </xf>
    <xf numFmtId="0" fontId="34" fillId="0" borderId="273" xfId="0" applyFont="1" applyFill="1" applyBorder="1" applyAlignment="1">
      <alignment horizontal="left" vertical="center" wrapText="1"/>
    </xf>
    <xf numFmtId="0" fontId="34" fillId="0" borderId="273" xfId="0" applyFont="1" applyFill="1" applyBorder="1" applyAlignment="1">
      <alignment horizontal="left" vertical="center"/>
    </xf>
    <xf numFmtId="0" fontId="27" fillId="0" borderId="273" xfId="0" applyFont="1" applyBorder="1" applyAlignment="1">
      <alignment vertical="center"/>
    </xf>
    <xf numFmtId="0" fontId="28" fillId="41" borderId="270" xfId="0" applyFont="1" applyFill="1" applyBorder="1" applyAlignment="1">
      <alignment horizontal="center" vertical="center" wrapText="1"/>
    </xf>
    <xf numFmtId="0" fontId="27" fillId="41" borderId="271" xfId="0" applyFont="1" applyFill="1" applyBorder="1" applyAlignment="1">
      <alignment horizontal="center" vertical="center" wrapText="1"/>
    </xf>
    <xf numFmtId="0" fontId="27" fillId="41" borderId="11" xfId="0" applyFont="1" applyFill="1" applyBorder="1" applyAlignment="1">
      <alignment horizontal="center" vertical="center" wrapText="1"/>
    </xf>
    <xf numFmtId="0" fontId="27" fillId="41" borderId="19" xfId="0" applyFont="1" applyFill="1" applyBorder="1" applyAlignment="1">
      <alignment horizontal="center" vertical="center" wrapText="1"/>
    </xf>
    <xf numFmtId="0" fontId="27" fillId="35" borderId="273" xfId="0" applyFont="1" applyFill="1" applyBorder="1" applyAlignment="1">
      <alignment vertical="center" wrapText="1"/>
    </xf>
    <xf numFmtId="3" fontId="57" fillId="33" borderId="273" xfId="0" applyNumberFormat="1" applyFont="1" applyFill="1" applyBorder="1" applyAlignment="1">
      <alignment horizontal="center" vertical="center"/>
    </xf>
    <xf numFmtId="0" fontId="37" fillId="0" borderId="306" xfId="0" applyFont="1" applyBorder="1" applyAlignment="1">
      <alignment horizontal="center" vertical="center"/>
    </xf>
    <xf numFmtId="0" fontId="37" fillId="0" borderId="304" xfId="0" applyFont="1" applyBorder="1" applyAlignment="1">
      <alignment horizontal="center" vertical="center"/>
    </xf>
    <xf numFmtId="0" fontId="37" fillId="0" borderId="307" xfId="0" applyFont="1" applyBorder="1" applyAlignment="1">
      <alignment horizontal="center" vertical="center"/>
    </xf>
    <xf numFmtId="0" fontId="27" fillId="0" borderId="270" xfId="0" applyFont="1" applyFill="1" applyBorder="1" applyAlignment="1">
      <alignment vertical="center"/>
    </xf>
    <xf numFmtId="0" fontId="27" fillId="0" borderId="271" xfId="0" applyFont="1" applyFill="1" applyBorder="1" applyAlignment="1">
      <alignment vertical="center"/>
    </xf>
    <xf numFmtId="0" fontId="27" fillId="0" borderId="272" xfId="0" applyFont="1" applyFill="1" applyBorder="1" applyAlignment="1">
      <alignment vertical="center"/>
    </xf>
    <xf numFmtId="0" fontId="27" fillId="0" borderId="11" xfId="0" applyFont="1" applyFill="1" applyBorder="1" applyAlignment="1">
      <alignment vertical="center"/>
    </xf>
    <xf numFmtId="0" fontId="27" fillId="0" borderId="19" xfId="0" applyFont="1" applyFill="1" applyBorder="1" applyAlignment="1">
      <alignment vertical="center"/>
    </xf>
    <xf numFmtId="0" fontId="27" fillId="0" borderId="22" xfId="0" applyFont="1" applyFill="1" applyBorder="1" applyAlignment="1">
      <alignment vertical="center"/>
    </xf>
    <xf numFmtId="0" fontId="27" fillId="0" borderId="311" xfId="0" applyNumberFormat="1" applyFont="1" applyBorder="1" applyAlignment="1">
      <alignment horizontal="left" vertical="center" wrapText="1"/>
    </xf>
    <xf numFmtId="0" fontId="27" fillId="0" borderId="312" xfId="0" applyNumberFormat="1" applyFont="1" applyBorder="1" applyAlignment="1">
      <alignment horizontal="left" vertical="center" wrapText="1"/>
    </xf>
    <xf numFmtId="0" fontId="27" fillId="0" borderId="313" xfId="0" applyNumberFormat="1" applyFont="1" applyBorder="1" applyAlignment="1">
      <alignment horizontal="left" vertical="center" wrapText="1"/>
    </xf>
    <xf numFmtId="0" fontId="27" fillId="0" borderId="12" xfId="0" applyNumberFormat="1" applyFont="1" applyBorder="1" applyAlignment="1">
      <alignment horizontal="left" vertical="center" wrapText="1"/>
    </xf>
    <xf numFmtId="0" fontId="27" fillId="0" borderId="0" xfId="0" applyNumberFormat="1" applyFont="1" applyBorder="1" applyAlignment="1">
      <alignment horizontal="left" vertical="center" wrapText="1"/>
    </xf>
    <xf numFmtId="0" fontId="27" fillId="0" borderId="199" xfId="0" applyNumberFormat="1" applyFont="1" applyBorder="1" applyAlignment="1">
      <alignment horizontal="left" vertical="center" wrapText="1"/>
    </xf>
    <xf numFmtId="0" fontId="27" fillId="0" borderId="11" xfId="0" applyNumberFormat="1" applyFont="1" applyBorder="1" applyAlignment="1">
      <alignment horizontal="left" vertical="center" wrapText="1"/>
    </xf>
    <xf numFmtId="0" fontId="27" fillId="0" borderId="19" xfId="0" applyNumberFormat="1" applyFont="1" applyBorder="1" applyAlignment="1">
      <alignment horizontal="left" vertical="center" wrapText="1"/>
    </xf>
    <xf numFmtId="0" fontId="27" fillId="0" borderId="314" xfId="0" applyNumberFormat="1" applyFont="1" applyBorder="1" applyAlignment="1">
      <alignment horizontal="left" vertical="center" wrapText="1"/>
    </xf>
    <xf numFmtId="0" fontId="34" fillId="27" borderId="154" xfId="0" applyFont="1" applyFill="1" applyBorder="1" applyAlignment="1">
      <alignment vertical="center" wrapText="1"/>
    </xf>
    <xf numFmtId="0" fontId="27" fillId="27" borderId="155" xfId="0" applyFont="1" applyFill="1" applyBorder="1" applyAlignment="1">
      <alignment vertical="center" wrapText="1"/>
    </xf>
    <xf numFmtId="0" fontId="27" fillId="27" borderId="156" xfId="0" applyFont="1" applyFill="1" applyBorder="1" applyAlignment="1">
      <alignment vertical="center" wrapText="1"/>
    </xf>
    <xf numFmtId="0" fontId="28" fillId="41" borderId="160" xfId="0" applyFont="1" applyFill="1" applyBorder="1" applyAlignment="1">
      <alignment vertical="center"/>
    </xf>
    <xf numFmtId="0" fontId="29" fillId="41" borderId="160" xfId="0" applyFont="1" applyFill="1" applyBorder="1" applyAlignment="1">
      <alignment vertical="center"/>
    </xf>
    <xf numFmtId="0" fontId="29" fillId="41" borderId="52" xfId="0" applyFont="1" applyFill="1" applyBorder="1" applyAlignment="1">
      <alignment vertical="center"/>
    </xf>
    <xf numFmtId="0" fontId="27" fillId="0" borderId="262" xfId="0" applyFont="1" applyBorder="1" applyAlignment="1">
      <alignment horizontal="left" vertical="center" indent="1"/>
    </xf>
    <xf numFmtId="0" fontId="27" fillId="0" borderId="263" xfId="0" applyFont="1" applyBorder="1" applyAlignment="1">
      <alignment horizontal="left" vertical="center" indent="1"/>
    </xf>
    <xf numFmtId="0" fontId="27" fillId="0" borderId="274" xfId="0" applyFont="1" applyBorder="1" applyAlignment="1">
      <alignment horizontal="left" vertical="center" indent="1"/>
    </xf>
    <xf numFmtId="0" fontId="57" fillId="33" borderId="262" xfId="0" applyFont="1" applyFill="1" applyBorder="1" applyAlignment="1">
      <alignment horizontal="left" vertical="center"/>
    </xf>
    <xf numFmtId="0" fontId="57" fillId="33" borderId="263" xfId="0" applyFont="1" applyFill="1" applyBorder="1" applyAlignment="1">
      <alignment horizontal="left" vertical="center"/>
    </xf>
    <xf numFmtId="0" fontId="57" fillId="33" borderId="274" xfId="0" applyFont="1" applyFill="1" applyBorder="1" applyAlignment="1">
      <alignment horizontal="left" vertical="center"/>
    </xf>
    <xf numFmtId="49" fontId="36" fillId="41" borderId="266" xfId="0" applyNumberFormat="1" applyFont="1" applyFill="1" applyBorder="1" applyAlignment="1">
      <alignment horizontal="left" vertical="center"/>
    </xf>
    <xf numFmtId="49" fontId="36" fillId="41" borderId="267" xfId="0" applyNumberFormat="1" applyFont="1" applyFill="1" applyBorder="1" applyAlignment="1">
      <alignment horizontal="left" vertical="center"/>
    </xf>
    <xf numFmtId="0" fontId="30" fillId="33" borderId="273" xfId="0" applyFont="1" applyFill="1" applyBorder="1" applyAlignment="1">
      <alignment vertical="center"/>
    </xf>
    <xf numFmtId="165" fontId="30" fillId="33" borderId="273" xfId="0" applyNumberFormat="1" applyFont="1" applyFill="1" applyBorder="1" applyAlignment="1">
      <alignment horizontal="center" vertical="center"/>
    </xf>
    <xf numFmtId="0" fontId="36" fillId="0" borderId="273" xfId="0" applyFont="1" applyFill="1" applyBorder="1" applyAlignment="1">
      <alignment vertical="center" wrapText="1"/>
    </xf>
    <xf numFmtId="49" fontId="57" fillId="33" borderId="270" xfId="0" applyNumberFormat="1" applyFont="1" applyFill="1" applyBorder="1" applyAlignment="1">
      <alignment horizontal="left" vertical="center"/>
    </xf>
    <xf numFmtId="49" fontId="57" fillId="33" borderId="271" xfId="0" applyNumberFormat="1" applyFont="1" applyFill="1" applyBorder="1" applyAlignment="1">
      <alignment horizontal="left" vertical="center"/>
    </xf>
    <xf numFmtId="49" fontId="57" fillId="33" borderId="272" xfId="0" applyNumberFormat="1" applyFont="1" applyFill="1" applyBorder="1" applyAlignment="1">
      <alignment horizontal="left" vertical="center"/>
    </xf>
    <xf numFmtId="0" fontId="36" fillId="0" borderId="273" xfId="0" applyFont="1" applyBorder="1" applyAlignment="1">
      <alignment vertical="center"/>
    </xf>
    <xf numFmtId="3" fontId="27" fillId="0" borderId="262" xfId="0" applyNumberFormat="1" applyFont="1" applyFill="1" applyBorder="1" applyAlignment="1">
      <alignment horizontal="center" vertical="center"/>
    </xf>
    <xf numFmtId="3" fontId="27" fillId="0" borderId="274" xfId="0" applyNumberFormat="1" applyFont="1" applyFill="1" applyBorder="1" applyAlignment="1">
      <alignment horizontal="center" vertical="center"/>
    </xf>
    <xf numFmtId="0" fontId="72" fillId="33" borderId="117" xfId="0" applyFont="1" applyFill="1" applyBorder="1" applyAlignment="1">
      <alignment horizontal="left" vertical="center" wrapText="1"/>
    </xf>
    <xf numFmtId="0" fontId="72" fillId="33" borderId="75" xfId="0" applyFont="1" applyFill="1" applyBorder="1" applyAlignment="1">
      <alignment horizontal="left" vertical="center" wrapText="1"/>
    </xf>
    <xf numFmtId="0" fontId="27" fillId="41" borderId="16" xfId="0" applyFont="1" applyFill="1" applyBorder="1" applyAlignment="1">
      <alignment horizontal="center" vertical="center" wrapText="1"/>
    </xf>
    <xf numFmtId="0" fontId="38" fillId="27" borderId="12" xfId="0" applyFont="1" applyFill="1" applyBorder="1" applyAlignment="1">
      <alignment vertical="center" wrapText="1"/>
    </xf>
    <xf numFmtId="0" fontId="86" fillId="0" borderId="0" xfId="0" applyFont="1" applyBorder="1" applyAlignment="1">
      <alignment vertical="center" wrapText="1"/>
    </xf>
    <xf numFmtId="0" fontId="86" fillId="0" borderId="13" xfId="0" applyFont="1" applyBorder="1" applyAlignment="1">
      <alignment vertical="center" wrapText="1"/>
    </xf>
    <xf numFmtId="0" fontId="27" fillId="0" borderId="129" xfId="0" applyFont="1" applyBorder="1" applyAlignment="1">
      <alignment horizontal="left" vertical="center" wrapText="1"/>
    </xf>
    <xf numFmtId="0" fontId="27" fillId="0" borderId="130" xfId="0" applyFont="1" applyBorder="1" applyAlignment="1">
      <alignment horizontal="left" vertical="center" wrapText="1"/>
    </xf>
    <xf numFmtId="0" fontId="27" fillId="0" borderId="161" xfId="0" applyFont="1" applyBorder="1" applyAlignment="1">
      <alignment horizontal="left" vertical="center" wrapText="1"/>
    </xf>
    <xf numFmtId="0" fontId="34" fillId="27" borderId="317" xfId="0" applyFont="1" applyFill="1" applyBorder="1" applyAlignment="1">
      <alignment vertical="center" wrapText="1"/>
    </xf>
    <xf numFmtId="0" fontId="27" fillId="27" borderId="318" xfId="0" applyFont="1" applyFill="1" applyBorder="1" applyAlignment="1">
      <alignment vertical="center" wrapText="1"/>
    </xf>
    <xf numFmtId="0" fontId="27" fillId="27" borderId="319" xfId="0" applyFont="1" applyFill="1" applyBorder="1" applyAlignment="1">
      <alignment vertical="center" wrapText="1"/>
    </xf>
    <xf numFmtId="0" fontId="34" fillId="27" borderId="262" xfId="0" applyFont="1" applyFill="1" applyBorder="1" applyAlignment="1">
      <alignment vertical="center" wrapText="1"/>
    </xf>
    <xf numFmtId="0" fontId="27" fillId="27" borderId="263" xfId="0" applyFont="1" applyFill="1" applyBorder="1" applyAlignment="1">
      <alignment vertical="center" wrapText="1"/>
    </xf>
    <xf numFmtId="0" fontId="27" fillId="27" borderId="274" xfId="0" applyFont="1" applyFill="1" applyBorder="1" applyAlignment="1">
      <alignment vertical="center" wrapText="1"/>
    </xf>
    <xf numFmtId="0" fontId="36" fillId="0" borderId="0" xfId="0" applyFont="1" applyBorder="1" applyAlignment="1">
      <alignment vertical="center"/>
    </xf>
    <xf numFmtId="0" fontId="36" fillId="0" borderId="13" xfId="0" applyFont="1" applyBorder="1" applyAlignment="1">
      <alignment vertical="center"/>
    </xf>
    <xf numFmtId="0" fontId="27" fillId="0" borderId="212" xfId="0" applyFont="1" applyBorder="1" applyAlignment="1">
      <alignment vertical="center"/>
    </xf>
    <xf numFmtId="0" fontId="27" fillId="0" borderId="19" xfId="0" applyFont="1" applyBorder="1" applyAlignment="1">
      <alignment vertical="center"/>
    </xf>
    <xf numFmtId="0" fontId="27" fillId="0" borderId="22" xfId="0" applyFont="1" applyBorder="1" applyAlignment="1">
      <alignment vertical="center"/>
    </xf>
    <xf numFmtId="0" fontId="27" fillId="44" borderId="298" xfId="0" applyFont="1" applyFill="1" applyBorder="1" applyAlignment="1">
      <alignment horizontal="center" vertical="center"/>
    </xf>
    <xf numFmtId="0" fontId="27" fillId="44" borderId="299" xfId="0" applyFont="1" applyFill="1" applyBorder="1" applyAlignment="1">
      <alignment vertical="center"/>
    </xf>
    <xf numFmtId="0" fontId="34" fillId="41" borderId="270" xfId="0" applyFont="1" applyFill="1" applyBorder="1" applyAlignment="1">
      <alignment horizontal="left" vertical="center"/>
    </xf>
    <xf numFmtId="0" fontId="27" fillId="41" borderId="11" xfId="0" applyFont="1" applyFill="1" applyBorder="1" applyAlignment="1">
      <alignment horizontal="left" vertical="center"/>
    </xf>
    <xf numFmtId="0" fontId="27" fillId="41" borderId="22" xfId="0" applyFont="1" applyFill="1" applyBorder="1" applyAlignment="1">
      <alignment horizontal="left" vertical="center"/>
    </xf>
    <xf numFmtId="0" fontId="28" fillId="47" borderId="219" xfId="0" applyFont="1" applyFill="1" applyBorder="1" applyAlignment="1">
      <alignment vertical="center"/>
    </xf>
    <xf numFmtId="0" fontId="29" fillId="47" borderId="220" xfId="0" applyFont="1" applyFill="1" applyBorder="1" applyAlignment="1">
      <alignment vertical="center"/>
    </xf>
    <xf numFmtId="0" fontId="29" fillId="47" borderId="221" xfId="0" applyFont="1" applyFill="1" applyBorder="1" applyAlignment="1">
      <alignment vertical="center"/>
    </xf>
    <xf numFmtId="0" fontId="29" fillId="47" borderId="222" xfId="0" applyFont="1" applyFill="1" applyBorder="1" applyAlignment="1">
      <alignment vertical="center"/>
    </xf>
    <xf numFmtId="0" fontId="36" fillId="41" borderId="8" xfId="0" applyFont="1" applyFill="1" applyBorder="1" applyAlignment="1">
      <alignment horizontal="center" vertical="center" wrapText="1"/>
    </xf>
    <xf numFmtId="0" fontId="27" fillId="0" borderId="224" xfId="0" applyFont="1" applyBorder="1" applyAlignment="1">
      <alignment vertical="center" wrapText="1"/>
    </xf>
    <xf numFmtId="0" fontId="27" fillId="0" borderId="225" xfId="0" applyFont="1" applyBorder="1" applyAlignment="1">
      <alignment vertical="center" wrapText="1"/>
    </xf>
    <xf numFmtId="0" fontId="27" fillId="0" borderId="226" xfId="0" applyFont="1" applyBorder="1" applyAlignment="1">
      <alignment vertical="center" wrapText="1"/>
    </xf>
    <xf numFmtId="0" fontId="27" fillId="33" borderId="0" xfId="35" applyFont="1" applyFill="1" applyBorder="1" applyAlignment="1" applyProtection="1">
      <alignment vertical="center"/>
    </xf>
    <xf numFmtId="0" fontId="27" fillId="33" borderId="18" xfId="35" applyFont="1" applyFill="1" applyBorder="1" applyAlignment="1" applyProtection="1">
      <alignment vertical="center"/>
    </xf>
    <xf numFmtId="0" fontId="27" fillId="33" borderId="0" xfId="35" applyFont="1" applyFill="1" applyBorder="1" applyAlignment="1" applyProtection="1">
      <alignment vertical="center" wrapText="1"/>
    </xf>
    <xf numFmtId="0" fontId="27" fillId="0" borderId="255" xfId="0" applyFont="1" applyBorder="1" applyAlignment="1">
      <alignment vertical="center" wrapText="1"/>
    </xf>
    <xf numFmtId="0" fontId="27" fillId="0" borderId="236" xfId="0" applyFont="1" applyBorder="1" applyAlignment="1">
      <alignment vertical="center" wrapText="1"/>
    </xf>
    <xf numFmtId="0" fontId="50" fillId="30" borderId="208" xfId="0" applyFont="1" applyFill="1" applyBorder="1" applyAlignment="1">
      <alignment horizontal="center" vertical="center"/>
    </xf>
    <xf numFmtId="0" fontId="50" fillId="30" borderId="208" xfId="0" applyFont="1" applyFill="1" applyBorder="1" applyAlignment="1">
      <alignment vertical="center"/>
    </xf>
    <xf numFmtId="0" fontId="27" fillId="44" borderId="208" xfId="0" applyFont="1" applyFill="1" applyBorder="1" applyAlignment="1">
      <alignment horizontal="center" vertical="center"/>
    </xf>
    <xf numFmtId="0" fontId="27" fillId="44" borderId="208" xfId="0" applyFont="1" applyFill="1" applyBorder="1" applyAlignment="1">
      <alignment vertical="center"/>
    </xf>
    <xf numFmtId="0" fontId="27" fillId="0" borderId="297" xfId="0" applyFont="1" applyFill="1" applyBorder="1" applyAlignment="1">
      <alignment horizontal="left" vertical="center"/>
    </xf>
    <xf numFmtId="0" fontId="27" fillId="0" borderId="292" xfId="0" applyFont="1" applyBorder="1" applyAlignment="1">
      <alignment horizontal="left" vertical="center"/>
    </xf>
    <xf numFmtId="0" fontId="27" fillId="0" borderId="270" xfId="0" applyFont="1" applyBorder="1" applyAlignment="1">
      <alignment horizontal="center" vertical="center"/>
    </xf>
    <xf numFmtId="0" fontId="27" fillId="0" borderId="271" xfId="0" applyFont="1" applyBorder="1" applyAlignment="1">
      <alignment horizontal="center" vertical="center"/>
    </xf>
    <xf numFmtId="0" fontId="27" fillId="0" borderId="272" xfId="0" applyFont="1" applyBorder="1" applyAlignment="1">
      <alignment horizontal="center" vertical="center"/>
    </xf>
    <xf numFmtId="0" fontId="27" fillId="0" borderId="72" xfId="0" applyFont="1" applyBorder="1" applyAlignment="1">
      <alignment horizontal="center" vertical="center"/>
    </xf>
    <xf numFmtId="0" fontId="27" fillId="0" borderId="73" xfId="0" applyFont="1" applyBorder="1" applyAlignment="1">
      <alignment horizontal="center" vertical="center"/>
    </xf>
    <xf numFmtId="0" fontId="27" fillId="0" borderId="0" xfId="0" applyFont="1" applyBorder="1" applyAlignment="1">
      <alignment horizontal="center" vertical="center"/>
    </xf>
    <xf numFmtId="0" fontId="27" fillId="0" borderId="13" xfId="0" applyFont="1" applyBorder="1" applyAlignment="1">
      <alignment horizontal="center" vertical="center"/>
    </xf>
    <xf numFmtId="0" fontId="34" fillId="0" borderId="270" xfId="0" applyFont="1" applyFill="1" applyBorder="1" applyAlignment="1">
      <alignment vertical="center" wrapText="1"/>
    </xf>
    <xf numFmtId="0" fontId="27" fillId="0" borderId="293" xfId="0" applyFont="1" applyBorder="1" applyAlignment="1">
      <alignment vertical="center" wrapText="1"/>
    </xf>
    <xf numFmtId="0" fontId="27" fillId="0" borderId="177" xfId="0" applyFont="1" applyBorder="1" applyAlignment="1">
      <alignment vertical="center" wrapText="1"/>
    </xf>
    <xf numFmtId="0" fontId="27" fillId="0" borderId="67" xfId="0" applyFont="1" applyBorder="1" applyAlignment="1">
      <alignment vertical="center" wrapText="1"/>
    </xf>
    <xf numFmtId="0" fontId="27" fillId="0" borderId="178" xfId="0" applyFont="1" applyBorder="1" applyAlignment="1">
      <alignment vertical="center" wrapText="1"/>
    </xf>
    <xf numFmtId="0" fontId="36" fillId="27" borderId="286" xfId="0" applyFont="1" applyFill="1" applyBorder="1" applyAlignment="1">
      <alignment vertical="center"/>
    </xf>
    <xf numFmtId="0" fontId="36" fillId="0" borderId="287" xfId="0" applyFont="1" applyBorder="1" applyAlignment="1">
      <alignment vertical="center"/>
    </xf>
    <xf numFmtId="0" fontId="36" fillId="0" borderId="288" xfId="0" applyFont="1" applyBorder="1" applyAlignment="1">
      <alignment vertical="center"/>
    </xf>
    <xf numFmtId="0" fontId="27" fillId="0" borderId="230" xfId="35" applyFont="1" applyBorder="1" applyAlignment="1" applyProtection="1">
      <alignment vertical="center"/>
    </xf>
    <xf numFmtId="0" fontId="27" fillId="0" borderId="231" xfId="35" applyFont="1" applyBorder="1" applyAlignment="1" applyProtection="1">
      <alignment vertical="center"/>
    </xf>
    <xf numFmtId="0" fontId="27" fillId="0" borderId="232" xfId="35" applyFont="1" applyBorder="1" applyAlignment="1" applyProtection="1">
      <alignment vertical="center"/>
    </xf>
    <xf numFmtId="0" fontId="27" fillId="0" borderId="200" xfId="35" applyFont="1" applyBorder="1" applyAlignment="1" applyProtection="1">
      <alignment vertical="center" wrapText="1"/>
    </xf>
    <xf numFmtId="0" fontId="27" fillId="0" borderId="201" xfId="35" applyFont="1" applyBorder="1" applyAlignment="1" applyProtection="1">
      <alignment vertical="center" wrapText="1"/>
    </xf>
    <xf numFmtId="0" fontId="27" fillId="0" borderId="201" xfId="35" applyFont="1" applyBorder="1" applyAlignment="1" applyProtection="1">
      <alignment vertical="center"/>
    </xf>
    <xf numFmtId="0" fontId="27" fillId="0" borderId="202" xfId="35" applyFont="1" applyBorder="1" applyAlignment="1" applyProtection="1">
      <alignment vertical="center"/>
    </xf>
    <xf numFmtId="0" fontId="27" fillId="0" borderId="203" xfId="35" applyFont="1" applyBorder="1" applyAlignment="1" applyProtection="1">
      <alignment vertical="center" wrapText="1"/>
    </xf>
    <xf numFmtId="0" fontId="27" fillId="0" borderId="204" xfId="35" applyFont="1" applyBorder="1" applyAlignment="1" applyProtection="1">
      <alignment vertical="center" wrapText="1"/>
    </xf>
    <xf numFmtId="0" fontId="27" fillId="0" borderId="204" xfId="35" applyFont="1" applyBorder="1" applyAlignment="1" applyProtection="1">
      <alignment vertical="center"/>
    </xf>
    <xf numFmtId="0" fontId="27" fillId="0" borderId="205" xfId="35" applyFont="1" applyBorder="1" applyAlignment="1" applyProtection="1">
      <alignment vertical="center"/>
    </xf>
    <xf numFmtId="0" fontId="36" fillId="27" borderId="258" xfId="0" applyFont="1" applyFill="1" applyBorder="1" applyAlignment="1">
      <alignment vertical="center"/>
    </xf>
    <xf numFmtId="0" fontId="36" fillId="0" borderId="282" xfId="0" applyFont="1" applyBorder="1" applyAlignment="1">
      <alignment vertical="center"/>
    </xf>
    <xf numFmtId="0" fontId="36" fillId="0" borderId="283" xfId="0" applyFont="1" applyBorder="1" applyAlignment="1">
      <alignment vertical="center"/>
    </xf>
    <xf numFmtId="0" fontId="27" fillId="40" borderId="208" xfId="0" applyFont="1" applyFill="1" applyBorder="1" applyAlignment="1">
      <alignment horizontal="center" vertical="center"/>
    </xf>
    <xf numFmtId="0" fontId="27" fillId="40" borderId="257" xfId="0" applyFont="1" applyFill="1" applyBorder="1" applyAlignment="1">
      <alignment vertical="center"/>
    </xf>
    <xf numFmtId="0" fontId="36" fillId="41" borderId="271" xfId="0" applyFont="1" applyFill="1" applyBorder="1" applyAlignment="1">
      <alignment vertical="center" wrapText="1"/>
    </xf>
    <xf numFmtId="0" fontId="27" fillId="41" borderId="271" xfId="0" applyFont="1" applyFill="1" applyBorder="1" applyAlignment="1">
      <alignment vertical="center" wrapText="1"/>
    </xf>
    <xf numFmtId="0" fontId="34" fillId="27" borderId="249" xfId="0" applyFont="1" applyFill="1" applyBorder="1" applyAlignment="1">
      <alignment vertical="center" wrapText="1"/>
    </xf>
    <xf numFmtId="0" fontId="34" fillId="27" borderId="281" xfId="0" applyFont="1" applyFill="1" applyBorder="1" applyAlignment="1">
      <alignment vertical="center" wrapText="1"/>
    </xf>
    <xf numFmtId="0" fontId="34" fillId="27" borderId="250" xfId="0" applyFont="1" applyFill="1" applyBorder="1" applyAlignment="1">
      <alignment vertical="center" wrapText="1"/>
    </xf>
    <xf numFmtId="0" fontId="41" fillId="41" borderId="263" xfId="0" applyFont="1" applyFill="1" applyBorder="1" applyAlignment="1">
      <alignment vertical="center" wrapText="1"/>
    </xf>
    <xf numFmtId="0" fontId="41" fillId="41" borderId="274" xfId="0" applyFont="1" applyFill="1" applyBorder="1" applyAlignment="1">
      <alignment vertical="center" wrapText="1"/>
    </xf>
    <xf numFmtId="0" fontId="41" fillId="31" borderId="263" xfId="0" applyFont="1" applyFill="1" applyBorder="1" applyAlignment="1">
      <alignment vertical="center" wrapText="1"/>
    </xf>
    <xf numFmtId="0" fontId="41" fillId="31" borderId="274" xfId="0" applyFont="1" applyFill="1" applyBorder="1" applyAlignment="1">
      <alignment vertical="center" wrapText="1"/>
    </xf>
    <xf numFmtId="0" fontId="38" fillId="36" borderId="12" xfId="0" applyFont="1" applyFill="1" applyBorder="1" applyAlignment="1">
      <alignment vertical="center" wrapText="1"/>
    </xf>
    <xf numFmtId="0" fontId="38" fillId="36" borderId="0" xfId="0" applyFont="1" applyFill="1" applyBorder="1" applyAlignment="1">
      <alignment vertical="center"/>
    </xf>
    <xf numFmtId="0" fontId="38" fillId="36" borderId="13" xfId="0" applyFont="1" applyFill="1" applyBorder="1" applyAlignment="1">
      <alignment vertical="center"/>
    </xf>
    <xf numFmtId="0" fontId="27" fillId="35" borderId="256" xfId="0" applyFont="1" applyFill="1" applyBorder="1" applyAlignment="1">
      <alignment horizontal="center" vertical="center" wrapText="1"/>
    </xf>
    <xf numFmtId="0" fontId="36" fillId="0" borderId="294" xfId="0" applyFont="1" applyFill="1" applyBorder="1" applyAlignment="1">
      <alignment vertical="center"/>
    </xf>
    <xf numFmtId="0" fontId="36" fillId="0" borderId="294" xfId="0" applyFont="1" applyBorder="1" applyAlignment="1">
      <alignment vertical="center"/>
    </xf>
    <xf numFmtId="0" fontId="36" fillId="0" borderId="295" xfId="0" applyFont="1" applyBorder="1" applyAlignment="1">
      <alignment vertical="center"/>
    </xf>
    <xf numFmtId="0" fontId="36" fillId="0" borderId="0" xfId="0" applyFont="1" applyFill="1" applyBorder="1" applyAlignment="1">
      <alignment vertical="center"/>
    </xf>
    <xf numFmtId="0" fontId="27" fillId="41" borderId="263" xfId="0" applyFont="1" applyFill="1" applyBorder="1" applyAlignment="1">
      <alignment vertical="center" wrapText="1"/>
    </xf>
    <xf numFmtId="0" fontId="27" fillId="31" borderId="263" xfId="0" applyFont="1" applyFill="1" applyBorder="1" applyAlignment="1">
      <alignment vertical="center" wrapText="1"/>
    </xf>
    <xf numFmtId="0" fontId="27" fillId="0" borderId="275" xfId="0" applyFont="1" applyBorder="1" applyAlignment="1">
      <alignment vertical="center" wrapText="1"/>
    </xf>
    <xf numFmtId="0" fontId="27" fillId="0" borderId="276" xfId="0" applyFont="1" applyBorder="1" applyAlignment="1">
      <alignment vertical="center" wrapText="1"/>
    </xf>
    <xf numFmtId="0" fontId="27" fillId="0" borderId="277" xfId="0" applyFont="1" applyBorder="1" applyAlignment="1">
      <alignment vertical="center" wrapText="1"/>
    </xf>
    <xf numFmtId="0" fontId="36" fillId="31" borderId="263" xfId="0" applyFont="1" applyFill="1" applyBorder="1" applyAlignment="1">
      <alignment vertical="center" wrapText="1"/>
    </xf>
    <xf numFmtId="0" fontId="36" fillId="0" borderId="270" xfId="0" applyFont="1" applyFill="1" applyBorder="1" applyAlignment="1">
      <alignment vertical="center" wrapText="1"/>
    </xf>
    <xf numFmtId="0" fontId="27" fillId="0" borderId="12" xfId="0" applyFont="1" applyBorder="1" applyAlignment="1">
      <alignment vertical="center" wrapText="1"/>
    </xf>
    <xf numFmtId="0" fontId="27" fillId="0" borderId="0" xfId="0" applyFont="1" applyBorder="1" applyAlignment="1">
      <alignment vertical="center" wrapText="1"/>
    </xf>
    <xf numFmtId="0" fontId="27" fillId="0" borderId="13" xfId="0" applyFont="1" applyBorder="1" applyAlignment="1">
      <alignment vertical="center" wrapText="1"/>
    </xf>
    <xf numFmtId="0" fontId="40" fillId="41" borderId="216" xfId="0" applyFont="1" applyFill="1" applyBorder="1" applyAlignment="1">
      <alignment vertical="center" wrapText="1"/>
    </xf>
    <xf numFmtId="0" fontId="40" fillId="41" borderId="217" xfId="0" applyFont="1" applyFill="1" applyBorder="1" applyAlignment="1">
      <alignment vertical="center" wrapText="1"/>
    </xf>
    <xf numFmtId="0" fontId="40" fillId="41" borderId="218" xfId="0" applyFont="1" applyFill="1" applyBorder="1" applyAlignment="1">
      <alignment vertical="center" wrapText="1"/>
    </xf>
    <xf numFmtId="0" fontId="27" fillId="0" borderId="227" xfId="0" applyFont="1" applyBorder="1" applyAlignment="1">
      <alignment vertical="center"/>
    </xf>
    <xf numFmtId="0" fontId="27" fillId="0" borderId="228" xfId="0" applyFont="1" applyBorder="1" applyAlignment="1">
      <alignment vertical="center"/>
    </xf>
    <xf numFmtId="0" fontId="27" fillId="0" borderId="229" xfId="0" applyFont="1" applyBorder="1" applyAlignment="1">
      <alignment vertical="center"/>
    </xf>
    <xf numFmtId="0" fontId="37" fillId="41" borderId="33" xfId="0" applyFont="1" applyFill="1" applyBorder="1" applyAlignment="1">
      <alignment vertical="center" wrapText="1"/>
    </xf>
    <xf numFmtId="0" fontId="37" fillId="41" borderId="73" xfId="0" applyFont="1" applyFill="1" applyBorder="1" applyAlignment="1">
      <alignment vertical="center" wrapText="1"/>
    </xf>
    <xf numFmtId="0" fontId="37" fillId="41" borderId="28" xfId="0" applyFont="1" applyFill="1" applyBorder="1" applyAlignment="1">
      <alignment vertical="center" wrapText="1"/>
    </xf>
    <xf numFmtId="0" fontId="34" fillId="0" borderId="282" xfId="0" applyFont="1" applyFill="1" applyBorder="1" applyAlignment="1">
      <alignment vertical="center" wrapText="1"/>
    </xf>
    <xf numFmtId="0" fontId="34" fillId="0" borderId="352" xfId="0" applyFont="1" applyFill="1" applyBorder="1" applyAlignment="1">
      <alignment vertical="center" wrapText="1"/>
    </xf>
    <xf numFmtId="0" fontId="34" fillId="41" borderId="350" xfId="0" applyFont="1" applyFill="1" applyBorder="1" applyAlignment="1">
      <alignment horizontal="left" vertical="center" wrapText="1"/>
    </xf>
    <xf numFmtId="0" fontId="34" fillId="41" borderId="78" xfId="0" applyFont="1" applyFill="1" applyBorder="1" applyAlignment="1">
      <alignment horizontal="left" vertical="center" wrapText="1"/>
    </xf>
    <xf numFmtId="0" fontId="28" fillId="41" borderId="22" xfId="0" applyFont="1" applyFill="1" applyBorder="1" applyAlignment="1">
      <alignment vertical="center"/>
    </xf>
    <xf numFmtId="0" fontId="37" fillId="41" borderId="165" xfId="0" applyFont="1" applyFill="1" applyBorder="1" applyAlignment="1">
      <alignment horizontal="left" vertical="center" wrapText="1"/>
    </xf>
    <xf numFmtId="0" fontId="37" fillId="41" borderId="8" xfId="0" applyFont="1" applyFill="1" applyBorder="1" applyAlignment="1">
      <alignment horizontal="left" vertical="center" wrapText="1"/>
    </xf>
    <xf numFmtId="0" fontId="34" fillId="0" borderId="351" xfId="0" applyFont="1" applyFill="1" applyBorder="1" applyAlignment="1">
      <alignment horizontal="left" vertical="center" wrapText="1"/>
    </xf>
    <xf numFmtId="0" fontId="34" fillId="0" borderId="353" xfId="0" applyFont="1" applyFill="1" applyBorder="1" applyAlignment="1">
      <alignment horizontal="left" vertical="center" wrapText="1"/>
    </xf>
    <xf numFmtId="0" fontId="34" fillId="0" borderId="291" xfId="0" applyFont="1" applyFill="1" applyBorder="1" applyAlignment="1">
      <alignment horizontal="left" vertical="center" wrapText="1"/>
    </xf>
    <xf numFmtId="0" fontId="34" fillId="0" borderId="354" xfId="0" applyFont="1" applyFill="1" applyBorder="1" applyAlignment="1">
      <alignment horizontal="left" vertical="center" wrapText="1"/>
    </xf>
    <xf numFmtId="0" fontId="27" fillId="0" borderId="265" xfId="0" applyFont="1" applyBorder="1" applyAlignment="1">
      <alignment vertical="center" wrapText="1"/>
    </xf>
    <xf numFmtId="0" fontId="27" fillId="0" borderId="260" xfId="0" applyFont="1" applyBorder="1" applyAlignment="1">
      <alignment vertical="center" wrapText="1"/>
    </xf>
    <xf numFmtId="0" fontId="27" fillId="0" borderId="264" xfId="0" applyFont="1" applyBorder="1" applyAlignment="1">
      <alignment vertical="center" wrapText="1"/>
    </xf>
    <xf numFmtId="165" fontId="87" fillId="33" borderId="16" xfId="0" applyNumberFormat="1" applyFont="1" applyFill="1" applyBorder="1" applyAlignment="1">
      <alignment horizontal="center" vertical="center"/>
    </xf>
    <xf numFmtId="49" fontId="87" fillId="33" borderId="170" xfId="0" applyNumberFormat="1" applyFont="1" applyFill="1" applyBorder="1" applyAlignment="1">
      <alignment horizontal="left" vertical="center"/>
    </xf>
    <xf numFmtId="49" fontId="87" fillId="33" borderId="16" xfId="0" applyNumberFormat="1" applyFont="1" applyFill="1" applyBorder="1" applyAlignment="1">
      <alignment horizontal="left" vertical="center"/>
    </xf>
    <xf numFmtId="0" fontId="34" fillId="41" borderId="270" xfId="0" applyFont="1" applyFill="1" applyBorder="1" applyAlignment="1">
      <alignment horizontal="left" vertical="center" wrapText="1"/>
    </xf>
    <xf numFmtId="0" fontId="34" fillId="0" borderId="117" xfId="0" applyFont="1" applyFill="1" applyBorder="1" applyAlignment="1">
      <alignment horizontal="left" vertical="center" wrapText="1"/>
    </xf>
    <xf numFmtId="0" fontId="34" fillId="0" borderId="75" xfId="0" applyFont="1" applyFill="1" applyBorder="1" applyAlignment="1">
      <alignment horizontal="left" vertical="center" wrapText="1"/>
    </xf>
    <xf numFmtId="0" fontId="34" fillId="0" borderId="164" xfId="0" applyFont="1" applyFill="1" applyBorder="1" applyAlignment="1">
      <alignment horizontal="left" vertical="center" wrapText="1"/>
    </xf>
    <xf numFmtId="0" fontId="34" fillId="41" borderId="262" xfId="0" applyFont="1" applyFill="1" applyBorder="1" applyAlignment="1">
      <alignment horizontal="left" vertical="center" wrapText="1"/>
    </xf>
    <xf numFmtId="0" fontId="27" fillId="41" borderId="274" xfId="0" applyFont="1" applyFill="1" applyBorder="1" applyAlignment="1">
      <alignment horizontal="left" vertical="center"/>
    </xf>
    <xf numFmtId="0" fontId="37" fillId="41" borderId="213" xfId="0" applyFont="1" applyFill="1" applyBorder="1" applyAlignment="1">
      <alignment horizontal="left" vertical="center" wrapText="1"/>
    </xf>
    <xf numFmtId="0" fontId="37" fillId="41" borderId="52" xfId="0" applyFont="1" applyFill="1" applyBorder="1" applyAlignment="1">
      <alignment horizontal="left" vertical="center" wrapText="1"/>
    </xf>
    <xf numFmtId="0" fontId="28" fillId="41" borderId="214" xfId="0" applyFont="1" applyFill="1" applyBorder="1" applyAlignment="1">
      <alignment horizontal="left" vertical="center" wrapText="1"/>
    </xf>
    <xf numFmtId="0" fontId="37" fillId="41" borderId="53" xfId="0" applyFont="1" applyFill="1" applyBorder="1" applyAlignment="1">
      <alignment horizontal="left" vertical="center"/>
    </xf>
    <xf numFmtId="0" fontId="37" fillId="41" borderId="32" xfId="0" applyFont="1" applyFill="1" applyBorder="1" applyAlignment="1">
      <alignment horizontal="left" vertical="center"/>
    </xf>
    <xf numFmtId="0" fontId="37" fillId="41" borderId="13" xfId="0" applyFont="1" applyFill="1" applyBorder="1" applyAlignment="1">
      <alignment horizontal="left" vertical="center"/>
    </xf>
    <xf numFmtId="0" fontId="37" fillId="41" borderId="33" xfId="0" applyFont="1" applyFill="1" applyBorder="1" applyAlignment="1">
      <alignment horizontal="left" vertical="center"/>
    </xf>
    <xf numFmtId="0" fontId="37" fillId="41" borderId="81" xfId="0" applyFont="1" applyFill="1" applyBorder="1" applyAlignment="1">
      <alignment horizontal="left" vertical="center"/>
    </xf>
    <xf numFmtId="0" fontId="37" fillId="41" borderId="215" xfId="0" applyFont="1" applyFill="1" applyBorder="1" applyAlignment="1">
      <alignment horizontal="left" vertical="center" wrapText="1"/>
    </xf>
    <xf numFmtId="0" fontId="37" fillId="41" borderId="198" xfId="0" applyFont="1" applyFill="1" applyBorder="1" applyAlignment="1">
      <alignment horizontal="left" vertical="center" wrapText="1"/>
    </xf>
    <xf numFmtId="0" fontId="27" fillId="0" borderId="262" xfId="0" applyFont="1" applyBorder="1" applyAlignment="1">
      <alignment vertical="center" wrapText="1"/>
    </xf>
    <xf numFmtId="2" fontId="27" fillId="37" borderId="110" xfId="0" applyNumberFormat="1" applyFont="1" applyFill="1" applyBorder="1" applyAlignment="1">
      <alignment horizontal="center" vertical="center" wrapText="1"/>
    </xf>
    <xf numFmtId="2" fontId="27" fillId="37" borderId="111" xfId="0" applyNumberFormat="1" applyFont="1" applyFill="1" applyBorder="1" applyAlignment="1">
      <alignment horizontal="center" vertical="center" wrapText="1"/>
    </xf>
    <xf numFmtId="0" fontId="40" fillId="0" borderId="321" xfId="0" applyFont="1" applyFill="1" applyBorder="1" applyAlignment="1">
      <alignment horizontal="right" vertical="center" wrapText="1"/>
    </xf>
    <xf numFmtId="0" fontId="40" fillId="24" borderId="62" xfId="0" applyFont="1" applyFill="1" applyBorder="1" applyAlignment="1">
      <alignment horizontal="left" vertical="center" wrapText="1"/>
    </xf>
    <xf numFmtId="0" fontId="40" fillId="24" borderId="0" xfId="0" applyFont="1" applyFill="1" applyBorder="1" applyAlignment="1">
      <alignment horizontal="left" vertical="center" wrapText="1"/>
    </xf>
    <xf numFmtId="0" fontId="40" fillId="24" borderId="13" xfId="0" applyFont="1" applyFill="1" applyBorder="1" applyAlignment="1">
      <alignment horizontal="left" vertical="center" wrapText="1"/>
    </xf>
    <xf numFmtId="0" fontId="29" fillId="41" borderId="159" xfId="0" applyFont="1" applyFill="1" applyBorder="1" applyAlignment="1">
      <alignment horizontal="center" vertical="center" wrapText="1"/>
    </xf>
    <xf numFmtId="0" fontId="29" fillId="41" borderId="132" xfId="0" applyFont="1" applyFill="1" applyBorder="1" applyAlignment="1">
      <alignment horizontal="center" vertical="center" wrapText="1"/>
    </xf>
    <xf numFmtId="0" fontId="29" fillId="41" borderId="158" xfId="0" applyFont="1" applyFill="1" applyBorder="1" applyAlignment="1">
      <alignment horizontal="center" vertical="center" wrapText="1"/>
    </xf>
    <xf numFmtId="0" fontId="27" fillId="0" borderId="109" xfId="0" applyFont="1" applyFill="1" applyBorder="1" applyAlignment="1">
      <alignment vertical="center" wrapText="1"/>
    </xf>
    <xf numFmtId="0" fontId="27" fillId="0" borderId="110" xfId="0" applyFont="1" applyFill="1" applyBorder="1" applyAlignment="1">
      <alignment vertical="center" wrapText="1"/>
    </xf>
    <xf numFmtId="0" fontId="27" fillId="0" borderId="387" xfId="0" applyFont="1" applyFill="1" applyBorder="1" applyAlignment="1">
      <alignment vertical="center" wrapText="1"/>
    </xf>
    <xf numFmtId="0" fontId="93" fillId="0" borderId="317" xfId="0" applyFont="1" applyBorder="1" applyAlignment="1">
      <alignment vertical="center" wrapText="1"/>
    </xf>
    <xf numFmtId="0" fontId="93" fillId="0" borderId="318" xfId="0" applyFont="1" applyBorder="1" applyAlignment="1">
      <alignment vertical="center" wrapText="1"/>
    </xf>
    <xf numFmtId="0" fontId="93" fillId="0" borderId="386" xfId="0" applyFont="1" applyBorder="1" applyAlignment="1">
      <alignment vertical="center" wrapText="1"/>
    </xf>
    <xf numFmtId="0" fontId="27" fillId="0" borderId="401" xfId="0" applyFont="1" applyBorder="1" applyAlignment="1">
      <alignment vertical="center"/>
    </xf>
    <xf numFmtId="0" fontId="27" fillId="0" borderId="403" xfId="0" applyFont="1" applyBorder="1" applyAlignment="1">
      <alignment vertical="center"/>
    </xf>
    <xf numFmtId="0" fontId="95" fillId="0" borderId="317" xfId="0" applyFont="1" applyFill="1" applyBorder="1" applyAlignment="1">
      <alignment vertical="center" wrapText="1"/>
    </xf>
    <xf numFmtId="0" fontId="95" fillId="0" borderId="318" xfId="0" applyFont="1" applyFill="1" applyBorder="1" applyAlignment="1">
      <alignment vertical="center" wrapText="1"/>
    </xf>
    <xf numFmtId="0" fontId="95" fillId="0" borderId="319" xfId="0" applyFont="1" applyFill="1" applyBorder="1" applyAlignment="1">
      <alignment vertical="center" wrapText="1"/>
    </xf>
    <xf numFmtId="0" fontId="40" fillId="0" borderId="393" xfId="0" applyFont="1" applyFill="1" applyBorder="1" applyAlignment="1">
      <alignment horizontal="right" vertical="center" wrapText="1"/>
    </xf>
    <xf numFmtId="0" fontId="27" fillId="0" borderId="394" xfId="0" applyFont="1" applyBorder="1" applyAlignment="1">
      <alignment vertical="center"/>
    </xf>
    <xf numFmtId="3" fontId="34" fillId="0" borderId="413" xfId="0" applyNumberFormat="1" applyFont="1" applyFill="1" applyBorder="1" applyAlignment="1">
      <alignment horizontal="center" vertical="center" wrapText="1"/>
    </xf>
    <xf numFmtId="0" fontId="34" fillId="0" borderId="282" xfId="0" applyFont="1" applyFill="1" applyBorder="1" applyAlignment="1">
      <alignment horizontal="left" vertical="center" wrapText="1"/>
    </xf>
    <xf numFmtId="0" fontId="34" fillId="0" borderId="352" xfId="0" applyFont="1" applyFill="1" applyBorder="1" applyAlignment="1">
      <alignment horizontal="left" vertical="center" wrapText="1"/>
    </xf>
    <xf numFmtId="165" fontId="87" fillId="33" borderId="269" xfId="0" applyNumberFormat="1" applyFont="1" applyFill="1" applyBorder="1" applyAlignment="1">
      <alignment horizontal="center" vertical="center"/>
    </xf>
    <xf numFmtId="49" fontId="27" fillId="0" borderId="271" xfId="0" applyNumberFormat="1" applyFont="1" applyBorder="1" applyAlignment="1">
      <alignment horizontal="left" vertical="center" wrapText="1"/>
    </xf>
    <xf numFmtId="49" fontId="37" fillId="41" borderId="270" xfId="0" applyNumberFormat="1" applyFont="1" applyFill="1" applyBorder="1" applyAlignment="1">
      <alignment horizontal="left" vertical="center"/>
    </xf>
    <xf numFmtId="49" fontId="37" fillId="41" borderId="271" xfId="0" applyNumberFormat="1" applyFont="1" applyFill="1" applyBorder="1" applyAlignment="1">
      <alignment horizontal="left" vertical="center"/>
    </xf>
    <xf numFmtId="49" fontId="37" fillId="41" borderId="263" xfId="0" applyNumberFormat="1" applyFont="1" applyFill="1" applyBorder="1" applyAlignment="1">
      <alignment horizontal="left" vertical="center"/>
    </xf>
    <xf numFmtId="49" fontId="27" fillId="0" borderId="263" xfId="0" applyNumberFormat="1" applyFont="1" applyBorder="1" applyAlignment="1">
      <alignment horizontal="left" vertical="center"/>
    </xf>
    <xf numFmtId="0" fontId="27" fillId="33" borderId="18" xfId="35" applyFont="1" applyFill="1" applyBorder="1" applyAlignment="1" applyProtection="1">
      <alignment vertical="center" wrapText="1"/>
    </xf>
    <xf numFmtId="0" fontId="27" fillId="33" borderId="73" xfId="35" applyFont="1" applyFill="1" applyBorder="1" applyAlignment="1" applyProtection="1">
      <alignment vertical="center" wrapText="1"/>
    </xf>
    <xf numFmtId="0" fontId="27" fillId="33" borderId="0" xfId="0" applyFont="1" applyFill="1" applyBorder="1" applyAlignment="1">
      <alignment vertical="center" wrapText="1"/>
    </xf>
    <xf numFmtId="49" fontId="37" fillId="41" borderId="12" xfId="0" applyNumberFormat="1" applyFont="1" applyFill="1" applyBorder="1" applyAlignment="1">
      <alignment vertical="center"/>
    </xf>
    <xf numFmtId="49" fontId="37" fillId="41" borderId="0" xfId="0" applyNumberFormat="1" applyFont="1" applyFill="1" applyBorder="1" applyAlignment="1">
      <alignment vertical="center"/>
    </xf>
    <xf numFmtId="0" fontId="36" fillId="33" borderId="256" xfId="0" applyFont="1" applyFill="1" applyBorder="1" applyAlignment="1">
      <alignment horizontal="center" vertical="center" wrapText="1"/>
    </xf>
    <xf numFmtId="0" fontId="27" fillId="24" borderId="54" xfId="0" applyFont="1" applyFill="1" applyBorder="1" applyAlignment="1">
      <alignment horizontal="left" vertical="center" wrapText="1"/>
    </xf>
    <xf numFmtId="0" fontId="27" fillId="24" borderId="55" xfId="0" applyFont="1" applyFill="1" applyBorder="1" applyAlignment="1">
      <alignment horizontal="left" vertical="center" wrapText="1"/>
    </xf>
    <xf numFmtId="49" fontId="36" fillId="33" borderId="270" xfId="0" applyNumberFormat="1" applyFont="1" applyFill="1" applyBorder="1" applyAlignment="1">
      <alignment horizontal="left" vertical="center"/>
    </xf>
    <xf numFmtId="49" fontId="36" fillId="33" borderId="271" xfId="0" applyNumberFormat="1" applyFont="1" applyFill="1" applyBorder="1" applyAlignment="1">
      <alignment horizontal="left" vertical="center"/>
    </xf>
    <xf numFmtId="0" fontId="34" fillId="41" borderId="77" xfId="0" applyFont="1" applyFill="1" applyBorder="1" applyAlignment="1">
      <alignment vertical="center" wrapText="1"/>
    </xf>
    <xf numFmtId="0" fontId="30" fillId="0" borderId="31" xfId="0" applyFont="1" applyBorder="1" applyAlignment="1">
      <alignment vertical="center"/>
    </xf>
    <xf numFmtId="0" fontId="30" fillId="0" borderId="235" xfId="0" applyFont="1" applyBorder="1" applyAlignment="1">
      <alignment vertical="center"/>
    </xf>
    <xf numFmtId="0" fontId="30" fillId="0" borderId="267" xfId="0" applyFont="1" applyBorder="1" applyAlignment="1">
      <alignment vertical="center"/>
    </xf>
    <xf numFmtId="0" fontId="30" fillId="0" borderId="32" xfId="0" applyFont="1" applyBorder="1" applyAlignment="1">
      <alignment vertical="center"/>
    </xf>
    <xf numFmtId="0" fontId="30" fillId="0" borderId="0" xfId="0" applyFont="1" applyBorder="1" applyAlignment="1">
      <alignment vertical="center"/>
    </xf>
    <xf numFmtId="0" fontId="30" fillId="0" borderId="18" xfId="0" applyFont="1" applyBorder="1" applyAlignment="1">
      <alignment vertical="center"/>
    </xf>
    <xf numFmtId="0" fontId="27" fillId="33" borderId="0" xfId="0" applyFont="1" applyFill="1" applyBorder="1" applyAlignment="1">
      <alignment vertical="center"/>
    </xf>
    <xf numFmtId="0" fontId="36" fillId="24" borderId="62" xfId="0" applyFont="1" applyFill="1" applyBorder="1" applyAlignment="1">
      <alignment horizontal="center" vertical="center"/>
    </xf>
    <xf numFmtId="0" fontId="36" fillId="24" borderId="0" xfId="0" applyFont="1" applyFill="1" applyBorder="1" applyAlignment="1">
      <alignment horizontal="center" vertical="center"/>
    </xf>
    <xf numFmtId="0" fontId="36" fillId="24" borderId="271" xfId="0" applyFont="1" applyFill="1" applyBorder="1" applyAlignment="1">
      <alignment horizontal="center" vertical="center"/>
    </xf>
    <xf numFmtId="0" fontId="36" fillId="24" borderId="125" xfId="0" applyFont="1" applyFill="1" applyBorder="1" applyAlignment="1">
      <alignment horizontal="center" vertical="center"/>
    </xf>
    <xf numFmtId="0" fontId="36" fillId="24" borderId="19" xfId="0" applyFont="1" applyFill="1" applyBorder="1" applyAlignment="1">
      <alignment horizontal="center" vertical="center"/>
    </xf>
    <xf numFmtId="0" fontId="27" fillId="0" borderId="18" xfId="0" applyFont="1" applyBorder="1" applyAlignment="1">
      <alignment horizontal="center" vertical="center" wrapText="1"/>
    </xf>
    <xf numFmtId="0" fontId="27" fillId="0" borderId="20" xfId="0" applyFont="1" applyBorder="1" applyAlignment="1">
      <alignment horizontal="center" vertical="center" wrapText="1"/>
    </xf>
    <xf numFmtId="0" fontId="28" fillId="41" borderId="165" xfId="0" applyFont="1" applyFill="1" applyBorder="1" applyAlignment="1">
      <alignment vertical="center" wrapText="1"/>
    </xf>
    <xf numFmtId="0" fontId="37" fillId="41" borderId="8" xfId="0" applyFont="1" applyFill="1" applyBorder="1" applyAlignment="1">
      <alignment vertical="center" wrapText="1"/>
    </xf>
    <xf numFmtId="0" fontId="28" fillId="41" borderId="31" xfId="0" applyFont="1" applyFill="1" applyBorder="1" applyAlignment="1">
      <alignment horizontal="left" vertical="center" wrapText="1"/>
    </xf>
    <xf numFmtId="0" fontId="28" fillId="41" borderId="64" xfId="0" applyFont="1" applyFill="1" applyBorder="1" applyAlignment="1">
      <alignment horizontal="left" vertical="center" wrapText="1"/>
    </xf>
    <xf numFmtId="0" fontId="27" fillId="41" borderId="32" xfId="0" applyFont="1" applyFill="1" applyBorder="1" applyAlignment="1">
      <alignment vertical="center"/>
    </xf>
    <xf numFmtId="0" fontId="27" fillId="41" borderId="33" xfId="0" applyFont="1" applyFill="1" applyBorder="1" applyAlignment="1">
      <alignment vertical="center"/>
    </xf>
    <xf numFmtId="0" fontId="27" fillId="41" borderId="73" xfId="0" applyFont="1" applyFill="1" applyBorder="1" applyAlignment="1">
      <alignment vertical="center"/>
    </xf>
    <xf numFmtId="0" fontId="27" fillId="0" borderId="143" xfId="0" applyFont="1" applyBorder="1" applyAlignment="1">
      <alignment vertical="center"/>
    </xf>
    <xf numFmtId="0" fontId="27" fillId="0" borderId="144" xfId="0" applyFont="1" applyBorder="1" applyAlignment="1">
      <alignment vertical="center"/>
    </xf>
    <xf numFmtId="0" fontId="27" fillId="0" borderId="145" xfId="0" applyFont="1" applyBorder="1" applyAlignment="1">
      <alignment vertical="center"/>
    </xf>
    <xf numFmtId="0" fontId="27" fillId="0" borderId="101" xfId="0" applyFont="1" applyBorder="1" applyAlignment="1">
      <alignment vertical="center" wrapText="1"/>
    </xf>
    <xf numFmtId="0" fontId="27" fillId="0" borderId="104" xfId="0" applyFont="1" applyBorder="1" applyAlignment="1">
      <alignment vertical="center" wrapText="1"/>
    </xf>
    <xf numFmtId="1" fontId="90" fillId="0" borderId="8" xfId="0" applyNumberFormat="1" applyFont="1" applyBorder="1" applyAlignment="1">
      <alignment horizontal="center" vertical="center" wrapText="1"/>
    </xf>
    <xf numFmtId="0" fontId="48" fillId="0" borderId="8" xfId="0" applyFont="1" applyBorder="1" applyAlignment="1">
      <alignment vertical="center"/>
    </xf>
    <xf numFmtId="0" fontId="36" fillId="35" borderId="8" xfId="0" applyFont="1" applyFill="1" applyBorder="1" applyAlignment="1">
      <alignment horizontal="center" vertical="center" wrapText="1"/>
    </xf>
    <xf numFmtId="0" fontId="27" fillId="37" borderId="16" xfId="0" applyFont="1" applyFill="1" applyBorder="1" applyAlignment="1">
      <alignment horizontal="center" vertical="center"/>
    </xf>
    <xf numFmtId="0" fontId="0" fillId="37" borderId="169" xfId="0" applyFill="1" applyBorder="1" applyAlignment="1">
      <alignment horizontal="center" vertical="center"/>
    </xf>
    <xf numFmtId="10" fontId="27" fillId="0" borderId="12" xfId="44" applyNumberFormat="1" applyFont="1" applyBorder="1" applyAlignment="1">
      <alignment horizontal="left" vertical="center" wrapText="1"/>
    </xf>
    <xf numFmtId="0" fontId="0" fillId="0" borderId="0" xfId="0" applyBorder="1" applyAlignment="1">
      <alignment vertical="center" wrapText="1"/>
    </xf>
    <xf numFmtId="0" fontId="0" fillId="0" borderId="13" xfId="0" applyBorder="1" applyAlignment="1">
      <alignment vertical="center" wrapText="1"/>
    </xf>
    <xf numFmtId="0" fontId="27" fillId="49" borderId="16" xfId="0" applyFont="1" applyFill="1" applyBorder="1" applyAlignment="1">
      <alignment vertical="center"/>
    </xf>
    <xf numFmtId="0" fontId="0" fillId="49" borderId="169" xfId="0" applyFill="1" applyBorder="1" applyAlignment="1">
      <alignment vertical="center"/>
    </xf>
    <xf numFmtId="9" fontId="27" fillId="0" borderId="16" xfId="0" applyNumberFormat="1" applyFont="1" applyBorder="1" applyAlignment="1">
      <alignment horizontal="center" vertical="center"/>
    </xf>
    <xf numFmtId="9" fontId="0" fillId="0" borderId="169" xfId="0" applyNumberFormat="1" applyBorder="1" applyAlignment="1">
      <alignment horizontal="center" vertical="center"/>
    </xf>
    <xf numFmtId="9" fontId="27" fillId="0" borderId="337" xfId="0" applyNumberFormat="1" applyFont="1" applyBorder="1" applyAlignment="1">
      <alignment horizontal="center" vertical="center"/>
    </xf>
    <xf numFmtId="9" fontId="0" fillId="0" borderId="338" xfId="0" applyNumberFormat="1" applyBorder="1" applyAlignment="1">
      <alignment horizontal="center" vertical="center"/>
    </xf>
    <xf numFmtId="0" fontId="0" fillId="49" borderId="16" xfId="0" applyFill="1" applyBorder="1" applyAlignment="1">
      <alignment vertical="center"/>
    </xf>
    <xf numFmtId="9" fontId="0" fillId="0" borderId="16" xfId="0" applyNumberFormat="1" applyBorder="1" applyAlignment="1">
      <alignment horizontal="center" vertical="center"/>
    </xf>
    <xf numFmtId="0" fontId="0" fillId="44" borderId="16" xfId="0" applyFill="1" applyBorder="1" applyAlignment="1">
      <alignment horizontal="center" vertical="center"/>
    </xf>
    <xf numFmtId="0" fontId="57" fillId="44" borderId="16" xfId="0" applyFont="1" applyFill="1" applyBorder="1" applyAlignment="1">
      <alignment horizontal="center" vertical="center"/>
    </xf>
    <xf numFmtId="0" fontId="96" fillId="44" borderId="16" xfId="0" applyFont="1" applyFill="1" applyBorder="1" applyAlignment="1">
      <alignment horizontal="center" vertical="center"/>
    </xf>
    <xf numFmtId="0" fontId="30" fillId="24" borderId="170" xfId="0" applyFont="1" applyFill="1" applyBorder="1" applyAlignment="1">
      <alignment horizontal="left" vertical="center"/>
    </xf>
    <xf numFmtId="0" fontId="30" fillId="24" borderId="16" xfId="0" applyFont="1" applyFill="1" applyBorder="1" applyAlignment="1">
      <alignment horizontal="left" vertical="center"/>
    </xf>
    <xf numFmtId="0" fontId="0" fillId="0" borderId="16" xfId="0" applyBorder="1" applyAlignment="1">
      <alignment vertical="center"/>
    </xf>
    <xf numFmtId="0" fontId="27" fillId="0" borderId="170" xfId="0" applyFont="1" applyBorder="1" applyAlignment="1">
      <alignment horizontal="left" vertical="center" wrapText="1"/>
    </xf>
    <xf numFmtId="0" fontId="27" fillId="0" borderId="16" xfId="0" applyFont="1" applyBorder="1" applyAlignment="1">
      <alignment horizontal="left" vertical="center" wrapText="1"/>
    </xf>
    <xf numFmtId="0" fontId="0" fillId="0" borderId="16" xfId="0" applyBorder="1" applyAlignment="1">
      <alignment vertical="center" wrapText="1"/>
    </xf>
    <xf numFmtId="0" fontId="27" fillId="48" borderId="16" xfId="0" applyFont="1" applyFill="1" applyBorder="1" applyAlignment="1">
      <alignment horizontal="center" vertical="center"/>
    </xf>
    <xf numFmtId="0" fontId="0" fillId="48" borderId="16" xfId="0" applyFill="1" applyBorder="1" applyAlignment="1">
      <alignment horizontal="center" vertical="center"/>
    </xf>
    <xf numFmtId="0" fontId="27" fillId="47" borderId="16" xfId="0" applyFont="1" applyFill="1" applyBorder="1" applyAlignment="1">
      <alignment horizontal="center" vertical="center" wrapText="1"/>
    </xf>
    <xf numFmtId="0" fontId="0" fillId="47" borderId="16" xfId="0" applyFill="1" applyBorder="1" applyAlignment="1">
      <alignment horizontal="center" vertical="center"/>
    </xf>
    <xf numFmtId="0" fontId="27" fillId="0" borderId="16" xfId="0" applyFont="1" applyBorder="1" applyAlignment="1">
      <alignment horizontal="center" vertical="center"/>
    </xf>
    <xf numFmtId="0" fontId="0" fillId="0" borderId="16" xfId="0" applyBorder="1" applyAlignment="1">
      <alignment horizontal="center" vertical="center"/>
    </xf>
    <xf numFmtId="165" fontId="27" fillId="0" borderId="16" xfId="0" applyNumberFormat="1" applyFont="1" applyBorder="1" applyAlignment="1">
      <alignment horizontal="center" vertical="center"/>
    </xf>
    <xf numFmtId="165" fontId="0" fillId="0" borderId="16" xfId="0" applyNumberFormat="1" applyBorder="1" applyAlignment="1">
      <alignment horizontal="center" vertical="center"/>
    </xf>
    <xf numFmtId="1" fontId="27" fillId="0" borderId="21" xfId="0" applyNumberFormat="1" applyFont="1" applyBorder="1" applyAlignment="1">
      <alignment horizontal="center" vertical="center"/>
    </xf>
    <xf numFmtId="1" fontId="0" fillId="0" borderId="63" xfId="0" applyNumberFormat="1" applyBorder="1" applyAlignment="1">
      <alignment horizontal="center" vertical="center"/>
    </xf>
    <xf numFmtId="0" fontId="27" fillId="0" borderId="21" xfId="0" applyFont="1" applyBorder="1" applyAlignment="1">
      <alignment horizontal="center" vertical="center"/>
    </xf>
    <xf numFmtId="0" fontId="0" fillId="0" borderId="63" xfId="0" applyBorder="1" applyAlignment="1">
      <alignment horizontal="center" vertical="center"/>
    </xf>
    <xf numFmtId="165" fontId="27" fillId="0" borderId="21" xfId="0" applyNumberFormat="1" applyFont="1" applyBorder="1" applyAlignment="1">
      <alignment horizontal="center" vertical="center"/>
    </xf>
    <xf numFmtId="165" fontId="0" fillId="0" borderId="63" xfId="0" applyNumberFormat="1" applyBorder="1" applyAlignment="1">
      <alignment horizontal="center" vertical="center"/>
    </xf>
    <xf numFmtId="0" fontId="27" fillId="0" borderId="336" xfId="0" applyFont="1" applyBorder="1" applyAlignment="1">
      <alignment horizontal="left" vertical="center" wrapText="1"/>
    </xf>
    <xf numFmtId="0" fontId="27" fillId="0" borderId="337" xfId="0" applyFont="1" applyBorder="1" applyAlignment="1">
      <alignment horizontal="left" vertical="center" wrapText="1"/>
    </xf>
    <xf numFmtId="0" fontId="0" fillId="0" borderId="337" xfId="0" applyBorder="1" applyAlignment="1">
      <alignment vertical="center" wrapText="1"/>
    </xf>
    <xf numFmtId="165" fontId="27" fillId="0" borderId="31" xfId="0" applyNumberFormat="1" applyFont="1" applyBorder="1" applyAlignment="1">
      <alignment horizontal="center" vertical="center"/>
    </xf>
    <xf numFmtId="165" fontId="0" fillId="0" borderId="267" xfId="0" applyNumberFormat="1" applyBorder="1" applyAlignment="1">
      <alignment horizontal="center" vertical="center"/>
    </xf>
    <xf numFmtId="165" fontId="27" fillId="0" borderId="337" xfId="0" applyNumberFormat="1" applyFont="1" applyBorder="1" applyAlignment="1">
      <alignment horizontal="center" vertical="center"/>
    </xf>
    <xf numFmtId="165" fontId="0" fillId="0" borderId="337" xfId="0" applyNumberFormat="1" applyBorder="1" applyAlignment="1">
      <alignment horizontal="center" vertical="center"/>
    </xf>
    <xf numFmtId="9" fontId="27" fillId="0" borderId="31" xfId="0" applyNumberFormat="1" applyFont="1" applyBorder="1" applyAlignment="1">
      <alignment horizontal="center" vertical="center"/>
    </xf>
    <xf numFmtId="9" fontId="0" fillId="0" borderId="267" xfId="0" applyNumberFormat="1" applyBorder="1" applyAlignment="1">
      <alignment horizontal="center" vertical="center"/>
    </xf>
    <xf numFmtId="0" fontId="34" fillId="41" borderId="262" xfId="0" applyFont="1" applyFill="1" applyBorder="1" applyAlignment="1">
      <alignment vertical="center"/>
    </xf>
    <xf numFmtId="0" fontId="0" fillId="0" borderId="274" xfId="0" applyBorder="1" applyAlignment="1">
      <alignment vertical="center"/>
    </xf>
    <xf numFmtId="1" fontId="27" fillId="49" borderId="31" xfId="0" applyNumberFormat="1" applyFont="1" applyFill="1" applyBorder="1" applyAlignment="1">
      <alignment horizontal="center" vertical="center"/>
    </xf>
    <xf numFmtId="1" fontId="0" fillId="49" borderId="267" xfId="0" applyNumberFormat="1" applyFill="1" applyBorder="1" applyAlignment="1">
      <alignment horizontal="center" vertical="center"/>
    </xf>
    <xf numFmtId="1" fontId="0" fillId="49" borderId="268" xfId="0" applyNumberFormat="1" applyFill="1" applyBorder="1" applyAlignment="1">
      <alignment horizontal="center" vertical="center"/>
    </xf>
    <xf numFmtId="1" fontId="27" fillId="0" borderId="31" xfId="0" applyNumberFormat="1" applyFont="1" applyBorder="1" applyAlignment="1">
      <alignment horizontal="center" vertical="center"/>
    </xf>
    <xf numFmtId="1" fontId="0" fillId="0" borderId="267" xfId="0" applyNumberFormat="1" applyBorder="1" applyAlignment="1">
      <alignment horizontal="center" vertical="center"/>
    </xf>
    <xf numFmtId="165" fontId="0" fillId="0" borderId="268" xfId="0" applyNumberFormat="1" applyBorder="1" applyAlignment="1">
      <alignment horizontal="center" vertical="center"/>
    </xf>
    <xf numFmtId="3" fontId="27" fillId="0" borderId="21" xfId="0" applyNumberFormat="1" applyFont="1" applyBorder="1" applyAlignment="1">
      <alignment horizontal="center" vertical="center"/>
    </xf>
    <xf numFmtId="3" fontId="27" fillId="49" borderId="21" xfId="0" applyNumberFormat="1" applyFont="1" applyFill="1" applyBorder="1" applyAlignment="1">
      <alignment horizontal="center" vertical="center"/>
    </xf>
    <xf numFmtId="164" fontId="27" fillId="0" borderId="21" xfId="0" applyNumberFormat="1" applyFont="1" applyBorder="1" applyAlignment="1">
      <alignment horizontal="center" vertical="center"/>
    </xf>
    <xf numFmtId="164" fontId="27" fillId="0" borderId="31" xfId="0" applyNumberFormat="1" applyFont="1" applyBorder="1" applyAlignment="1">
      <alignment horizontal="center" vertical="center"/>
    </xf>
    <xf numFmtId="164" fontId="0" fillId="0" borderId="267" xfId="0" applyNumberFormat="1" applyBorder="1" applyAlignment="1">
      <alignment horizontal="center" vertical="center"/>
    </xf>
    <xf numFmtId="164" fontId="0" fillId="0" borderId="268" xfId="0" applyNumberFormat="1" applyBorder="1" applyAlignment="1">
      <alignment horizontal="center" vertical="center"/>
    </xf>
    <xf numFmtId="0" fontId="27" fillId="0" borderId="270" xfId="0" applyFont="1" applyBorder="1" applyAlignment="1">
      <alignment vertical="center"/>
    </xf>
    <xf numFmtId="0" fontId="27" fillId="0" borderId="272" xfId="0" applyFont="1" applyBorder="1" applyAlignment="1">
      <alignment vertical="center"/>
    </xf>
    <xf numFmtId="0" fontId="37" fillId="0" borderId="117" xfId="0" applyFont="1" applyBorder="1" applyAlignment="1">
      <alignment horizontal="center" vertical="center" wrapText="1"/>
    </xf>
    <xf numFmtId="0" fontId="0" fillId="0" borderId="75" xfId="0" applyBorder="1" applyAlignment="1">
      <alignment horizontal="center" vertical="center" wrapText="1"/>
    </xf>
    <xf numFmtId="0" fontId="0" fillId="0" borderId="164" xfId="0" applyBorder="1" applyAlignment="1">
      <alignment horizontal="center" vertical="center" wrapText="1"/>
    </xf>
    <xf numFmtId="0" fontId="27" fillId="0" borderId="266" xfId="0" applyFont="1" applyBorder="1" applyAlignment="1">
      <alignment vertical="center" wrapText="1"/>
    </xf>
    <xf numFmtId="0" fontId="0" fillId="0" borderId="235" xfId="0" applyBorder="1" applyAlignment="1">
      <alignment vertical="center" wrapText="1"/>
    </xf>
    <xf numFmtId="0" fontId="0" fillId="0" borderId="268" xfId="0" applyBorder="1" applyAlignment="1">
      <alignment vertical="center" wrapText="1"/>
    </xf>
    <xf numFmtId="0" fontId="27" fillId="0" borderId="11" xfId="0" applyFont="1" applyBorder="1" applyAlignment="1">
      <alignment vertical="center" wrapText="1"/>
    </xf>
    <xf numFmtId="0" fontId="27" fillId="0" borderId="19" xfId="0" applyFont="1" applyBorder="1" applyAlignment="1">
      <alignment vertical="center" wrapText="1"/>
    </xf>
    <xf numFmtId="0" fontId="0" fillId="0" borderId="19" xfId="0" applyBorder="1" applyAlignment="1">
      <alignment vertical="center" wrapText="1"/>
    </xf>
    <xf numFmtId="0" fontId="0" fillId="0" borderId="22" xfId="0" applyBorder="1" applyAlignment="1">
      <alignment vertical="center" wrapText="1"/>
    </xf>
    <xf numFmtId="0" fontId="27" fillId="0" borderId="265" xfId="0" applyFont="1" applyBorder="1" applyAlignment="1">
      <alignment vertical="center"/>
    </xf>
    <xf numFmtId="0" fontId="27" fillId="0" borderId="260" xfId="0" applyFont="1" applyBorder="1" applyAlignment="1">
      <alignment vertical="center"/>
    </xf>
    <xf numFmtId="0" fontId="27" fillId="0" borderId="264" xfId="0" applyFont="1" applyBorder="1" applyAlignment="1">
      <alignment vertical="center"/>
    </xf>
    <xf numFmtId="0" fontId="0" fillId="0" borderId="169" xfId="0" applyBorder="1" applyAlignment="1">
      <alignment horizontal="center" vertical="center"/>
    </xf>
    <xf numFmtId="0" fontId="99" fillId="0" borderId="0" xfId="0" applyFont="1" applyFill="1" applyBorder="1" applyAlignment="1">
      <alignment horizontal="center" vertical="center"/>
    </xf>
    <xf numFmtId="0" fontId="101" fillId="0" borderId="0" xfId="0" applyFont="1" applyFill="1" applyBorder="1" applyAlignment="1">
      <alignment horizontal="center" vertical="center"/>
    </xf>
    <xf numFmtId="0" fontId="99" fillId="0" borderId="0" xfId="0" applyFont="1" applyFill="1" applyBorder="1" applyAlignment="1">
      <alignment horizontal="center" vertical="center" wrapText="1"/>
    </xf>
    <xf numFmtId="0" fontId="101" fillId="0" borderId="0" xfId="0" applyFont="1" applyFill="1" applyBorder="1" applyAlignment="1">
      <alignment horizontal="center" vertical="center" wrapText="1"/>
    </xf>
    <xf numFmtId="2" fontId="99" fillId="0" borderId="0" xfId="0" applyNumberFormat="1" applyFont="1" applyFill="1" applyBorder="1" applyAlignment="1">
      <alignment horizontal="center" vertical="center" wrapText="1"/>
    </xf>
    <xf numFmtId="2" fontId="100" fillId="0" borderId="0" xfId="0" applyNumberFormat="1" applyFont="1" applyFill="1" applyBorder="1" applyAlignment="1">
      <alignment horizontal="center" vertical="center" wrapText="1"/>
    </xf>
    <xf numFmtId="0" fontId="100" fillId="0" borderId="0" xfId="0" applyFont="1" applyFill="1" applyBorder="1" applyAlignment="1">
      <alignment horizontal="center" vertical="center"/>
    </xf>
    <xf numFmtId="0" fontId="98" fillId="0" borderId="0" xfId="0" applyFont="1" applyFill="1" applyBorder="1" applyAlignment="1">
      <alignment horizontal="center" vertical="center"/>
    </xf>
    <xf numFmtId="0" fontId="91" fillId="0" borderId="0" xfId="0" applyFont="1" applyFill="1" applyBorder="1" applyAlignment="1">
      <alignment horizontal="center" vertical="center"/>
    </xf>
    <xf numFmtId="0" fontId="102" fillId="0" borderId="0" xfId="0" applyFont="1" applyFill="1" applyBorder="1" applyAlignment="1">
      <alignment horizontal="center" vertical="center"/>
    </xf>
    <xf numFmtId="0" fontId="105" fillId="0" borderId="0" xfId="0" applyFont="1" applyFill="1" applyBorder="1" applyAlignment="1">
      <alignment horizontal="center" vertical="center"/>
    </xf>
    <xf numFmtId="0" fontId="98" fillId="0" borderId="0" xfId="0" applyFont="1" applyFill="1" applyBorder="1" applyAlignment="1">
      <alignment horizontal="right" vertical="center"/>
    </xf>
    <xf numFmtId="0" fontId="103" fillId="0" borderId="0" xfId="0" applyFont="1" applyFill="1" applyBorder="1" applyAlignment="1">
      <alignment horizontal="center" vertical="center"/>
    </xf>
    <xf numFmtId="0" fontId="0" fillId="0" borderId="0" xfId="0" applyAlignment="1">
      <alignment horizontal="center" vertical="center"/>
    </xf>
    <xf numFmtId="0" fontId="37" fillId="47" borderId="265" xfId="0" applyFont="1" applyFill="1" applyBorder="1" applyAlignment="1">
      <alignment vertical="center" wrapText="1"/>
    </xf>
    <xf numFmtId="0" fontId="111" fillId="47" borderId="260" xfId="0" applyFont="1" applyFill="1" applyBorder="1" applyAlignment="1">
      <alignment vertical="center"/>
    </xf>
    <xf numFmtId="0" fontId="111" fillId="47" borderId="264" xfId="0" applyFont="1" applyFill="1" applyBorder="1" applyAlignment="1">
      <alignment vertical="center"/>
    </xf>
    <xf numFmtId="0" fontId="42" fillId="33" borderId="0" xfId="0" applyFont="1" applyFill="1" applyBorder="1" applyAlignment="1">
      <alignment vertical="center" wrapText="1"/>
    </xf>
    <xf numFmtId="0" fontId="109" fillId="0" borderId="0" xfId="0" applyFont="1" applyBorder="1" applyAlignment="1">
      <alignment vertical="center"/>
    </xf>
    <xf numFmtId="0" fontId="42" fillId="33" borderId="0" xfId="35" applyFont="1" applyFill="1" applyBorder="1" applyAlignment="1" applyProtection="1">
      <alignment vertical="center" wrapText="1"/>
    </xf>
    <xf numFmtId="0" fontId="42" fillId="33" borderId="0" xfId="0" applyFont="1" applyFill="1" applyBorder="1" applyAlignment="1">
      <alignment vertical="center"/>
    </xf>
    <xf numFmtId="0" fontId="109" fillId="0" borderId="18" xfId="0" applyFont="1" applyBorder="1" applyAlignment="1">
      <alignment vertical="center"/>
    </xf>
    <xf numFmtId="0" fontId="0" fillId="0" borderId="0" xfId="0" applyBorder="1" applyAlignment="1">
      <alignment vertical="center"/>
    </xf>
    <xf numFmtId="0" fontId="42" fillId="33" borderId="18" xfId="35" applyFont="1" applyFill="1" applyBorder="1" applyAlignment="1" applyProtection="1">
      <alignment vertical="center" wrapText="1"/>
    </xf>
    <xf numFmtId="0" fontId="37" fillId="51" borderId="31" xfId="0" applyFont="1" applyFill="1" applyBorder="1" applyAlignment="1">
      <alignment vertical="center" wrapText="1"/>
    </xf>
    <xf numFmtId="0" fontId="0" fillId="51" borderId="235" xfId="0" applyFill="1" applyBorder="1" applyAlignment="1">
      <alignment vertical="center" wrapText="1"/>
    </xf>
    <xf numFmtId="0" fontId="0" fillId="51" borderId="267" xfId="0" applyFill="1" applyBorder="1" applyAlignment="1">
      <alignment vertical="center" wrapText="1"/>
    </xf>
    <xf numFmtId="0" fontId="0" fillId="0" borderId="32" xfId="0" applyBorder="1" applyAlignment="1">
      <alignment vertical="center" wrapText="1"/>
    </xf>
    <xf numFmtId="0" fontId="0" fillId="0" borderId="0" xfId="0" applyAlignment="1">
      <alignment vertical="center" wrapText="1"/>
    </xf>
    <xf numFmtId="0" fontId="0" fillId="0" borderId="18" xfId="0" applyBorder="1" applyAlignment="1">
      <alignment vertical="center" wrapText="1"/>
    </xf>
    <xf numFmtId="0" fontId="0" fillId="0" borderId="12" xfId="0" applyBorder="1" applyAlignment="1">
      <alignment vertical="center" wrapText="1"/>
    </xf>
    <xf numFmtId="0" fontId="27" fillId="0" borderId="270" xfId="0" applyFont="1" applyBorder="1" applyAlignment="1">
      <alignment horizontal="left" vertical="center" wrapText="1"/>
    </xf>
    <xf numFmtId="0" fontId="0" fillId="0" borderId="271" xfId="0" applyBorder="1" applyAlignment="1">
      <alignment horizontal="left" vertical="center" wrapText="1"/>
    </xf>
    <xf numFmtId="0" fontId="0" fillId="0" borderId="272" xfId="0" applyBorder="1" applyAlignment="1">
      <alignment horizontal="left" vertical="center" wrapText="1"/>
    </xf>
    <xf numFmtId="0" fontId="0" fillId="0" borderId="12" xfId="0" applyBorder="1" applyAlignment="1">
      <alignment horizontal="left" vertical="center" wrapText="1"/>
    </xf>
    <xf numFmtId="0" fontId="0" fillId="0" borderId="13" xfId="0" applyBorder="1" applyAlignment="1">
      <alignment horizontal="left" vertical="center" wrapText="1"/>
    </xf>
    <xf numFmtId="0" fontId="0" fillId="0" borderId="11" xfId="0" applyBorder="1" applyAlignment="1">
      <alignment horizontal="left" vertical="center" wrapText="1"/>
    </xf>
    <xf numFmtId="0" fontId="0" fillId="0" borderId="19" xfId="0" applyBorder="1" applyAlignment="1">
      <alignment horizontal="left" vertical="center" wrapText="1"/>
    </xf>
    <xf numFmtId="0" fontId="0" fillId="0" borderId="22" xfId="0" applyBorder="1" applyAlignment="1">
      <alignment horizontal="left" vertical="center" wrapText="1"/>
    </xf>
    <xf numFmtId="0" fontId="40" fillId="41" borderId="262" xfId="0" applyFont="1" applyFill="1" applyBorder="1" applyAlignment="1">
      <alignment vertical="center"/>
    </xf>
    <xf numFmtId="0" fontId="40" fillId="41" borderId="263" xfId="0" applyFont="1" applyFill="1" applyBorder="1" applyAlignment="1">
      <alignment vertical="center"/>
    </xf>
    <xf numFmtId="0" fontId="34" fillId="0" borderId="274" xfId="0" applyFont="1" applyFill="1" applyBorder="1" applyAlignment="1">
      <alignment horizontal="left" vertical="center" wrapText="1"/>
    </xf>
    <xf numFmtId="0" fontId="40" fillId="41" borderId="273" xfId="0" applyFont="1" applyFill="1" applyBorder="1" applyAlignment="1">
      <alignment horizontal="left" vertical="center" wrapText="1"/>
    </xf>
    <xf numFmtId="0" fontId="30" fillId="41" borderId="273" xfId="0" applyFont="1" applyFill="1" applyBorder="1" applyAlignment="1">
      <alignment horizontal="left" vertical="center"/>
    </xf>
    <xf numFmtId="0" fontId="40" fillId="41" borderId="274" xfId="0" applyFont="1" applyFill="1" applyBorder="1" applyAlignment="1">
      <alignment vertical="center"/>
    </xf>
    <xf numFmtId="0" fontId="40" fillId="41" borderId="273" xfId="0" applyFont="1" applyFill="1" applyBorder="1" applyAlignment="1">
      <alignment vertical="center" wrapText="1"/>
    </xf>
    <xf numFmtId="0" fontId="34" fillId="0" borderId="274" xfId="0" applyFont="1" applyFill="1" applyBorder="1" applyAlignment="1">
      <alignment vertical="center" wrapText="1"/>
    </xf>
    <xf numFmtId="0" fontId="34" fillId="0" borderId="291" xfId="0" applyFont="1" applyFill="1" applyBorder="1" applyAlignment="1">
      <alignment vertical="center" wrapText="1"/>
    </xf>
    <xf numFmtId="165" fontId="30" fillId="33" borderId="266" xfId="0" applyNumberFormat="1" applyFont="1" applyFill="1" applyBorder="1" applyAlignment="1">
      <alignment horizontal="center" vertical="center"/>
    </xf>
    <xf numFmtId="165" fontId="30" fillId="33" borderId="235" xfId="0" applyNumberFormat="1" applyFont="1" applyFill="1" applyBorder="1" applyAlignment="1">
      <alignment horizontal="center" vertical="center"/>
    </xf>
    <xf numFmtId="165" fontId="30" fillId="33" borderId="268" xfId="0" applyNumberFormat="1" applyFont="1" applyFill="1" applyBorder="1" applyAlignment="1">
      <alignment horizontal="center" vertical="center"/>
    </xf>
    <xf numFmtId="165" fontId="38" fillId="33" borderId="273" xfId="0" applyNumberFormat="1" applyFont="1" applyFill="1" applyBorder="1" applyAlignment="1">
      <alignment horizontal="center" vertical="center"/>
    </xf>
    <xf numFmtId="165" fontId="38" fillId="33" borderId="269" xfId="0" applyNumberFormat="1" applyFont="1" applyFill="1" applyBorder="1" applyAlignment="1">
      <alignment horizontal="center" vertical="center"/>
    </xf>
    <xf numFmtId="0" fontId="0" fillId="0" borderId="0" xfId="0" applyBorder="1" applyAlignment="1">
      <alignment horizontal="left" vertical="center" wrapText="1"/>
    </xf>
    <xf numFmtId="0" fontId="71" fillId="0" borderId="317" xfId="0" applyFont="1" applyFill="1" applyBorder="1" applyAlignment="1">
      <alignment vertical="center" wrapText="1"/>
    </xf>
    <xf numFmtId="0" fontId="71" fillId="0" borderId="318" xfId="0" applyFont="1" applyFill="1" applyBorder="1" applyAlignment="1">
      <alignment vertical="center" wrapText="1"/>
    </xf>
    <xf numFmtId="0" fontId="71" fillId="0" borderId="416" xfId="0" applyFont="1" applyFill="1" applyBorder="1" applyAlignment="1">
      <alignment vertical="center" wrapText="1"/>
    </xf>
    <xf numFmtId="0" fontId="34" fillId="0" borderId="417" xfId="0" applyFont="1" applyFill="1" applyBorder="1" applyAlignment="1">
      <alignment vertical="center" wrapText="1"/>
    </xf>
    <xf numFmtId="0" fontId="34" fillId="0" borderId="318" xfId="0" applyFont="1" applyFill="1" applyBorder="1" applyAlignment="1">
      <alignment vertical="center" wrapText="1"/>
    </xf>
    <xf numFmtId="0" fontId="34" fillId="0" borderId="319" xfId="0" applyFont="1" applyFill="1" applyBorder="1" applyAlignment="1">
      <alignment vertical="center" wrapText="1"/>
    </xf>
    <xf numFmtId="0" fontId="71" fillId="0" borderId="418" xfId="0" applyFont="1" applyFill="1" applyBorder="1" applyAlignment="1">
      <alignment vertical="center" wrapText="1"/>
    </xf>
    <xf numFmtId="0" fontId="72" fillId="0" borderId="419" xfId="0" applyFont="1" applyFill="1" applyBorder="1" applyAlignment="1">
      <alignment vertical="center" wrapText="1"/>
    </xf>
    <xf numFmtId="0" fontId="55" fillId="0" borderId="237" xfId="0" applyFont="1" applyFill="1" applyBorder="1" applyAlignment="1">
      <alignment vertical="center" wrapText="1"/>
    </xf>
    <xf numFmtId="0" fontId="38" fillId="0" borderId="420" xfId="0" applyFont="1" applyBorder="1" applyAlignment="1">
      <alignment vertical="center" wrapText="1"/>
    </xf>
    <xf numFmtId="0" fontId="38" fillId="0" borderId="421" xfId="0" applyFont="1" applyBorder="1" applyAlignment="1">
      <alignment vertical="center" wrapText="1"/>
    </xf>
    <xf numFmtId="0" fontId="38" fillId="0" borderId="110" xfId="0" applyFont="1" applyBorder="1" applyAlignment="1">
      <alignment vertical="center" wrapText="1"/>
    </xf>
    <xf numFmtId="0" fontId="38" fillId="0" borderId="111" xfId="0" applyFont="1" applyBorder="1" applyAlignment="1">
      <alignment vertical="center" wrapText="1"/>
    </xf>
    <xf numFmtId="0" fontId="40" fillId="0" borderId="33" xfId="0" applyFont="1" applyFill="1" applyBorder="1" applyAlignment="1">
      <alignment horizontal="center" vertical="center" wrapText="1"/>
    </xf>
    <xf numFmtId="0" fontId="40" fillId="0" borderId="73" xfId="0" applyFont="1" applyFill="1" applyBorder="1" applyAlignment="1">
      <alignment horizontal="center" vertical="center" wrapText="1"/>
    </xf>
    <xf numFmtId="0" fontId="40" fillId="0" borderId="28" xfId="0" applyFont="1" applyFill="1" applyBorder="1" applyAlignment="1">
      <alignment horizontal="center" vertical="center" wrapText="1"/>
    </xf>
    <xf numFmtId="0" fontId="30" fillId="0" borderId="415" xfId="0" applyFont="1" applyBorder="1" applyAlignment="1">
      <alignment horizontal="center" vertical="center" wrapText="1"/>
    </xf>
    <xf numFmtId="0" fontId="30" fillId="0" borderId="422" xfId="0" applyFont="1" applyBorder="1" applyAlignment="1">
      <alignment horizontal="center" vertical="center" wrapText="1"/>
    </xf>
    <xf numFmtId="0" fontId="72" fillId="0" borderId="423" xfId="0" applyFont="1" applyFill="1" applyBorder="1" applyAlignment="1">
      <alignment vertical="center" wrapText="1"/>
    </xf>
    <xf numFmtId="0" fontId="72" fillId="0" borderId="424" xfId="0" applyFont="1" applyFill="1" applyBorder="1" applyAlignment="1">
      <alignment vertical="center" wrapText="1"/>
    </xf>
    <xf numFmtId="0" fontId="34" fillId="0" borderId="155" xfId="0" applyFont="1" applyFill="1" applyBorder="1" applyAlignment="1">
      <alignment vertical="center" wrapText="1"/>
    </xf>
    <xf numFmtId="0" fontId="34" fillId="0" borderId="156" xfId="0" applyFont="1" applyFill="1" applyBorder="1" applyAlignment="1">
      <alignment vertical="center" wrapText="1"/>
    </xf>
    <xf numFmtId="0" fontId="0" fillId="0" borderId="0" xfId="0" applyAlignment="1">
      <alignment vertical="center"/>
    </xf>
    <xf numFmtId="0" fontId="28" fillId="41" borderId="415" xfId="0" applyFont="1" applyFill="1" applyBorder="1" applyAlignment="1">
      <alignment vertical="center"/>
    </xf>
    <xf numFmtId="0" fontId="28" fillId="41" borderId="422" xfId="0" applyFont="1" applyFill="1" applyBorder="1" applyAlignment="1">
      <alignment vertical="center"/>
    </xf>
    <xf numFmtId="0" fontId="27" fillId="33" borderId="31" xfId="0" applyFont="1" applyFill="1" applyBorder="1" applyAlignment="1">
      <alignment vertical="center"/>
    </xf>
    <xf numFmtId="0" fontId="27" fillId="33" borderId="235" xfId="0" applyFont="1" applyFill="1" applyBorder="1" applyAlignment="1">
      <alignment vertical="center"/>
    </xf>
    <xf numFmtId="49" fontId="63" fillId="33" borderId="270" xfId="0" applyNumberFormat="1" applyFont="1" applyFill="1" applyBorder="1" applyAlignment="1">
      <alignment horizontal="right" vertical="center"/>
    </xf>
    <xf numFmtId="0" fontId="0" fillId="0" borderId="272" xfId="0" applyBorder="1" applyAlignment="1">
      <alignment vertical="center"/>
    </xf>
    <xf numFmtId="0" fontId="27" fillId="41" borderId="337" xfId="0" applyFont="1" applyFill="1" applyBorder="1" applyAlignment="1">
      <alignment horizontal="center" vertical="center" wrapText="1"/>
    </xf>
    <xf numFmtId="0" fontId="27" fillId="35" borderId="31" xfId="0" applyFont="1" applyFill="1" applyBorder="1" applyAlignment="1">
      <alignment horizontal="center" vertical="center" wrapText="1"/>
    </xf>
    <xf numFmtId="0" fontId="27" fillId="35" borderId="268" xfId="0" applyFont="1" applyFill="1" applyBorder="1" applyAlignment="1">
      <alignment horizontal="center" vertical="center" wrapText="1"/>
    </xf>
    <xf numFmtId="0" fontId="27" fillId="33" borderId="31" xfId="0" applyFont="1" applyFill="1" applyBorder="1" applyAlignment="1">
      <alignment horizontal="left" vertical="center" wrapText="1"/>
    </xf>
    <xf numFmtId="0" fontId="27" fillId="33" borderId="235" xfId="0" applyFont="1" applyFill="1" applyBorder="1" applyAlignment="1">
      <alignment horizontal="left" vertical="center" wrapText="1"/>
    </xf>
    <xf numFmtId="49" fontId="57" fillId="33" borderId="266" xfId="0" applyNumberFormat="1" applyFont="1" applyFill="1" applyBorder="1" applyAlignment="1">
      <alignment horizontal="left" vertical="center"/>
    </xf>
    <xf numFmtId="0" fontId="96" fillId="0" borderId="268" xfId="0" applyFont="1" applyBorder="1" applyAlignment="1">
      <alignment horizontal="left" vertical="center"/>
    </xf>
    <xf numFmtId="3" fontId="27" fillId="33" borderId="425" xfId="0" applyNumberFormat="1" applyFont="1" applyFill="1" applyBorder="1" applyAlignment="1">
      <alignment horizontal="center" vertical="center"/>
    </xf>
    <xf numFmtId="3" fontId="27" fillId="33" borderId="336" xfId="0" applyNumberFormat="1" applyFont="1" applyFill="1" applyBorder="1" applyAlignment="1">
      <alignment horizontal="center" vertical="center"/>
    </xf>
    <xf numFmtId="0" fontId="28" fillId="41" borderId="414" xfId="0" applyFont="1" applyFill="1" applyBorder="1" applyAlignment="1">
      <alignment vertical="center"/>
    </xf>
    <xf numFmtId="0" fontId="40" fillId="41" borderId="12" xfId="0" applyFont="1" applyFill="1" applyBorder="1" applyAlignment="1">
      <alignment horizontal="left" vertical="center" wrapText="1"/>
    </xf>
    <xf numFmtId="0" fontId="40" fillId="41" borderId="0" xfId="0" applyFont="1" applyFill="1" applyBorder="1" applyAlignment="1">
      <alignment horizontal="left" vertical="center" wrapText="1"/>
    </xf>
    <xf numFmtId="0" fontId="40" fillId="41" borderId="11" xfId="0" applyFont="1" applyFill="1" applyBorder="1" applyAlignment="1">
      <alignment horizontal="left" vertical="center" wrapText="1"/>
    </xf>
    <xf numFmtId="0" fontId="40" fillId="41" borderId="19" xfId="0" applyFont="1" applyFill="1" applyBorder="1" applyAlignment="1">
      <alignment horizontal="left" vertical="center" wrapText="1"/>
    </xf>
    <xf numFmtId="0" fontId="40" fillId="41" borderId="22" xfId="0" applyFont="1" applyFill="1" applyBorder="1" applyAlignment="1">
      <alignment horizontal="left" vertical="center" wrapText="1"/>
    </xf>
    <xf numFmtId="0" fontId="1" fillId="0" borderId="0" xfId="0" applyFont="1" applyAlignment="1">
      <alignment vertical="center" wrapText="1"/>
    </xf>
    <xf numFmtId="0" fontId="27" fillId="0" borderId="0" xfId="0" applyFont="1" applyAlignment="1">
      <alignment vertical="center" wrapText="1"/>
    </xf>
    <xf numFmtId="49" fontId="27" fillId="33" borderId="12" xfId="0" applyNumberFormat="1" applyFont="1" applyFill="1" applyBorder="1" applyAlignment="1">
      <alignment horizontal="left" vertical="center" wrapText="1"/>
    </xf>
    <xf numFmtId="0" fontId="0" fillId="0" borderId="427" xfId="0" applyBorder="1" applyAlignment="1">
      <alignment vertical="center" wrapText="1"/>
    </xf>
    <xf numFmtId="49" fontId="27" fillId="33" borderId="426" xfId="0" applyNumberFormat="1" applyFont="1" applyFill="1" applyBorder="1" applyAlignment="1">
      <alignment horizontal="left" vertical="center" wrapText="1"/>
    </xf>
    <xf numFmtId="0" fontId="0" fillId="0" borderId="428" xfId="0" applyBorder="1" applyAlignment="1">
      <alignment vertical="center" wrapText="1"/>
    </xf>
    <xf numFmtId="49" fontId="37" fillId="47" borderId="262" xfId="0" applyNumberFormat="1" applyFont="1" applyFill="1" applyBorder="1" applyAlignment="1">
      <alignment horizontal="left" vertical="center" wrapText="1"/>
    </xf>
    <xf numFmtId="0" fontId="110" fillId="47" borderId="263" xfId="0" applyFont="1" applyFill="1" applyBorder="1" applyAlignment="1">
      <alignment vertical="center"/>
    </xf>
    <xf numFmtId="0" fontId="110" fillId="47" borderId="274" xfId="0" applyFont="1" applyFill="1" applyBorder="1" applyAlignment="1">
      <alignment vertical="center"/>
    </xf>
    <xf numFmtId="49" fontId="112" fillId="33" borderId="426" xfId="0" applyNumberFormat="1" applyFont="1" applyFill="1" applyBorder="1" applyAlignment="1">
      <alignment horizontal="left" vertical="center" wrapText="1"/>
    </xf>
    <xf numFmtId="0" fontId="113" fillId="0" borderId="428" xfId="0" applyFont="1" applyBorder="1" applyAlignment="1">
      <alignment vertical="center" wrapText="1"/>
    </xf>
    <xf numFmtId="0" fontId="113" fillId="0" borderId="427" xfId="0" applyFont="1" applyBorder="1" applyAlignment="1">
      <alignment vertical="center" wrapText="1"/>
    </xf>
    <xf numFmtId="0" fontId="27" fillId="44" borderId="426" xfId="0" applyFont="1" applyFill="1" applyBorder="1" applyAlignment="1">
      <alignment horizontal="center" vertical="center" wrapText="1"/>
    </xf>
    <xf numFmtId="0" fontId="27" fillId="44" borderId="427" xfId="0" applyFont="1" applyFill="1" applyBorder="1" applyAlignment="1">
      <alignment horizontal="center" vertical="center" wrapText="1"/>
    </xf>
    <xf numFmtId="0" fontId="51" fillId="45" borderId="426" xfId="0" applyFont="1" applyFill="1" applyBorder="1" applyAlignment="1">
      <alignment horizontal="center" vertical="center" wrapText="1"/>
    </xf>
    <xf numFmtId="0" fontId="51" fillId="45" borderId="427" xfId="0" applyFont="1" applyFill="1" applyBorder="1" applyAlignment="1">
      <alignment horizontal="center" vertical="center" wrapText="1"/>
    </xf>
    <xf numFmtId="0" fontId="27" fillId="37" borderId="426" xfId="0" applyFont="1" applyFill="1" applyBorder="1" applyAlignment="1">
      <alignment horizontal="center" vertical="center" wrapText="1"/>
    </xf>
    <xf numFmtId="0" fontId="27" fillId="37" borderId="427" xfId="0" applyFont="1" applyFill="1" applyBorder="1" applyAlignment="1">
      <alignment horizontal="center" vertical="center" wrapText="1"/>
    </xf>
    <xf numFmtId="3" fontId="27" fillId="33" borderId="429" xfId="0" applyNumberFormat="1" applyFont="1" applyFill="1" applyBorder="1" applyAlignment="1">
      <alignment horizontal="center" vertical="center"/>
    </xf>
    <xf numFmtId="165" fontId="27" fillId="33" borderId="332" xfId="0" applyNumberFormat="1" applyFont="1" applyFill="1" applyBorder="1" applyAlignment="1">
      <alignment horizontal="center" vertical="center"/>
    </xf>
    <xf numFmtId="165" fontId="27" fillId="33" borderId="430" xfId="0" applyNumberFormat="1" applyFont="1" applyFill="1" applyBorder="1" applyAlignment="1">
      <alignment horizontal="center" vertical="center"/>
    </xf>
    <xf numFmtId="3" fontId="27" fillId="0" borderId="426" xfId="0" applyNumberFormat="1" applyFont="1" applyBorder="1" applyAlignment="1">
      <alignment horizontal="center" vertical="center" wrapText="1"/>
    </xf>
    <xf numFmtId="3" fontId="27" fillId="0" borderId="427" xfId="0" applyNumberFormat="1" applyFont="1" applyBorder="1" applyAlignment="1">
      <alignment horizontal="center" vertical="center" wrapText="1"/>
    </xf>
    <xf numFmtId="3" fontId="91" fillId="0" borderId="0" xfId="0" applyNumberFormat="1" applyFont="1" applyFill="1" applyBorder="1" applyAlignment="1">
      <alignment horizontal="center" vertical="center"/>
    </xf>
    <xf numFmtId="0" fontId="43" fillId="33" borderId="308" xfId="0" applyFont="1" applyFill="1" applyBorder="1" applyAlignment="1">
      <alignment horizontal="center" vertical="center"/>
    </xf>
    <xf numFmtId="0" fontId="43" fillId="33" borderId="309" xfId="0" applyFont="1" applyFill="1" applyBorder="1" applyAlignment="1">
      <alignment horizontal="center" vertical="center"/>
    </xf>
    <xf numFmtId="0" fontId="43" fillId="33" borderId="309" xfId="0" applyFont="1" applyFill="1" applyBorder="1" applyAlignment="1">
      <alignment vertical="center"/>
    </xf>
    <xf numFmtId="0" fontId="43" fillId="33" borderId="310" xfId="0" applyFont="1" applyFill="1" applyBorder="1" applyAlignment="1">
      <alignment vertical="center"/>
    </xf>
    <xf numFmtId="0" fontId="43" fillId="33" borderId="308" xfId="0" applyFont="1" applyFill="1" applyBorder="1" applyAlignment="1">
      <alignment vertical="center"/>
    </xf>
    <xf numFmtId="0" fontId="51" fillId="33" borderId="0" xfId="0" applyFont="1" applyFill="1" applyAlignment="1">
      <alignment vertical="center"/>
    </xf>
    <xf numFmtId="0" fontId="114" fillId="33" borderId="309" xfId="0" applyFont="1" applyFill="1" applyBorder="1" applyAlignment="1">
      <alignment vertical="center" wrapText="1"/>
    </xf>
    <xf numFmtId="49" fontId="115" fillId="33" borderId="308" xfId="0" applyNumberFormat="1" applyFont="1" applyFill="1" applyBorder="1" applyAlignment="1">
      <alignment vertical="center" wrapText="1"/>
    </xf>
    <xf numFmtId="165" fontId="43" fillId="33" borderId="309" xfId="0" applyNumberFormat="1" applyFont="1" applyFill="1" applyBorder="1" applyAlignment="1">
      <alignment vertical="center"/>
    </xf>
    <xf numFmtId="49" fontId="43" fillId="33" borderId="308" xfId="0" applyNumberFormat="1" applyFont="1" applyFill="1" applyBorder="1" applyAlignment="1">
      <alignment vertical="center"/>
    </xf>
    <xf numFmtId="0" fontId="114" fillId="33" borderId="326" xfId="0" applyFont="1" applyFill="1" applyBorder="1" applyAlignment="1">
      <alignment vertical="center"/>
    </xf>
    <xf numFmtId="0" fontId="114" fillId="33" borderId="315" xfId="0" applyFont="1" applyFill="1" applyBorder="1" applyAlignment="1">
      <alignment vertical="center"/>
    </xf>
    <xf numFmtId="0" fontId="114" fillId="33" borderId="316" xfId="0" applyFont="1" applyFill="1" applyBorder="1" applyAlignment="1">
      <alignment vertical="center"/>
    </xf>
    <xf numFmtId="0" fontId="91" fillId="0" borderId="0" xfId="0" applyFont="1" applyFill="1" applyAlignment="1">
      <alignment horizontal="center" vertical="center" wrapText="1"/>
    </xf>
    <xf numFmtId="0" fontId="0" fillId="0" borderId="0" xfId="0" applyAlignment="1">
      <alignment horizontal="center" vertical="center" wrapText="1"/>
    </xf>
    <xf numFmtId="0" fontId="27" fillId="0" borderId="273" xfId="0" applyFont="1" applyBorder="1" applyAlignment="1">
      <alignment horizontal="left" vertical="center" wrapText="1"/>
    </xf>
    <xf numFmtId="0" fontId="57" fillId="0" borderId="273" xfId="0" applyFont="1" applyFill="1" applyBorder="1" applyAlignment="1">
      <alignment vertical="center" wrapText="1"/>
    </xf>
    <xf numFmtId="0" fontId="57" fillId="0" borderId="270" xfId="0" applyFont="1" applyFill="1" applyBorder="1" applyAlignment="1">
      <alignment vertical="center" wrapText="1"/>
    </xf>
    <xf numFmtId="0" fontId="27" fillId="0" borderId="11" xfId="0" applyFont="1" applyBorder="1" applyAlignment="1">
      <alignment vertical="center"/>
    </xf>
    <xf numFmtId="0" fontId="57" fillId="0" borderId="318" xfId="0" applyFont="1" applyFill="1" applyBorder="1" applyAlignment="1">
      <alignment vertical="center" wrapText="1"/>
    </xf>
    <xf numFmtId="0" fontId="27" fillId="0" borderId="318" xfId="0" applyFont="1" applyBorder="1" applyAlignment="1">
      <alignment vertical="center" wrapText="1"/>
    </xf>
    <xf numFmtId="0" fontId="27" fillId="0" borderId="319" xfId="0" applyFont="1" applyBorder="1" applyAlignment="1">
      <alignment vertical="center" wrapText="1"/>
    </xf>
    <xf numFmtId="0" fontId="57" fillId="0" borderId="155" xfId="0" applyFont="1" applyFill="1" applyBorder="1" applyAlignment="1">
      <alignment vertical="center" wrapText="1"/>
    </xf>
    <xf numFmtId="0" fontId="27" fillId="0" borderId="155" xfId="0" applyFont="1" applyBorder="1" applyAlignment="1">
      <alignment vertical="center" wrapText="1"/>
    </xf>
    <xf numFmtId="0" fontId="27" fillId="0" borderId="156" xfId="0" applyFont="1" applyBorder="1" applyAlignment="1">
      <alignment vertical="center" wrapText="1"/>
    </xf>
    <xf numFmtId="49" fontId="37" fillId="41" borderId="272" xfId="0" applyNumberFormat="1" applyFont="1" applyFill="1" applyBorder="1" applyAlignment="1">
      <alignment horizontal="left" vertical="center"/>
    </xf>
    <xf numFmtId="10" fontId="29" fillId="0" borderId="0" xfId="0" applyNumberFormat="1" applyFont="1" applyBorder="1" applyAlignment="1">
      <alignment vertical="center"/>
    </xf>
    <xf numFmtId="165" fontId="91" fillId="0" borderId="0" xfId="0" applyNumberFormat="1" applyFont="1" applyFill="1" applyAlignment="1">
      <alignment horizontal="right" vertical="center"/>
    </xf>
    <xf numFmtId="0" fontId="114" fillId="0" borderId="0" xfId="0" applyFont="1" applyBorder="1" applyAlignment="1">
      <alignment vertical="center"/>
    </xf>
    <xf numFmtId="3" fontId="114" fillId="0" borderId="0" xfId="0" applyNumberFormat="1" applyFont="1" applyBorder="1" applyAlignment="1">
      <alignment vertical="center"/>
    </xf>
    <xf numFmtId="10" fontId="114" fillId="0" borderId="0" xfId="0" applyNumberFormat="1" applyFont="1" applyBorder="1" applyAlignment="1">
      <alignment vertical="center"/>
    </xf>
    <xf numFmtId="0" fontId="42" fillId="47" borderId="72" xfId="0" applyFont="1" applyFill="1" applyBorder="1" applyAlignment="1">
      <alignment vertical="center"/>
    </xf>
    <xf numFmtId="0" fontId="42" fillId="47" borderId="73" xfId="0" applyFont="1" applyFill="1" applyBorder="1" applyAlignment="1">
      <alignment vertical="center"/>
    </xf>
    <xf numFmtId="0" fontId="64" fillId="47" borderId="73" xfId="35" applyFont="1" applyFill="1" applyBorder="1" applyAlignment="1" applyProtection="1">
      <alignment horizontal="center" vertical="center"/>
    </xf>
    <xf numFmtId="0" fontId="64" fillId="47" borderId="81" xfId="35" applyFont="1" applyFill="1" applyBorder="1" applyAlignment="1" applyProtection="1">
      <alignment horizontal="center" vertical="center"/>
    </xf>
    <xf numFmtId="49" fontId="36" fillId="33" borderId="273" xfId="0" applyNumberFormat="1" applyFont="1" applyFill="1" applyBorder="1" applyAlignment="1">
      <alignment horizontal="left" vertical="center"/>
    </xf>
    <xf numFmtId="0" fontId="36" fillId="47" borderId="273" xfId="0" applyFont="1" applyFill="1" applyBorder="1" applyAlignment="1">
      <alignment horizontal="center" vertical="center" wrapText="1"/>
    </xf>
    <xf numFmtId="0" fontId="36" fillId="35" borderId="273" xfId="0" applyFont="1" applyFill="1" applyBorder="1" applyAlignment="1">
      <alignment horizontal="center" vertical="center" wrapText="1"/>
    </xf>
    <xf numFmtId="0" fontId="57" fillId="44" borderId="273" xfId="0" applyFont="1" applyFill="1" applyBorder="1" applyAlignment="1">
      <alignment horizontal="center" vertical="center" wrapText="1"/>
    </xf>
    <xf numFmtId="0" fontId="96" fillId="44" borderId="273" xfId="0" applyFont="1" applyFill="1" applyBorder="1" applyAlignment="1">
      <alignment horizontal="center" vertical="center" wrapText="1"/>
    </xf>
    <xf numFmtId="0" fontId="51" fillId="45" borderId="273" xfId="0" applyFont="1" applyFill="1" applyBorder="1" applyAlignment="1">
      <alignment horizontal="center" vertical="center" wrapText="1"/>
    </xf>
    <xf numFmtId="0" fontId="116" fillId="45" borderId="273" xfId="0" applyFont="1" applyFill="1" applyBorder="1" applyAlignment="1">
      <alignment horizontal="center" vertical="center" wrapText="1"/>
    </xf>
    <xf numFmtId="0" fontId="57" fillId="37" borderId="273" xfId="0" applyFont="1" applyFill="1" applyBorder="1" applyAlignment="1">
      <alignment horizontal="center" vertical="center" wrapText="1"/>
    </xf>
    <xf numFmtId="0" fontId="96" fillId="37" borderId="273" xfId="0" applyFont="1" applyFill="1" applyBorder="1" applyAlignment="1">
      <alignment horizontal="center" vertical="center" wrapText="1"/>
    </xf>
    <xf numFmtId="0" fontId="0" fillId="0" borderId="0" xfId="0" applyAlignment="1">
      <alignment horizontal="right"/>
    </xf>
    <xf numFmtId="0" fontId="102" fillId="0" borderId="0" xfId="0" applyFont="1" applyFill="1" applyBorder="1" applyAlignment="1">
      <alignment horizontal="center" vertical="center" wrapText="1"/>
    </xf>
    <xf numFmtId="0" fontId="0" fillId="0" borderId="13" xfId="0" applyBorder="1" applyAlignment="1">
      <alignment vertical="center"/>
    </xf>
    <xf numFmtId="49" fontId="27" fillId="36" borderId="431" xfId="0" applyNumberFormat="1" applyFont="1" applyFill="1" applyBorder="1" applyAlignment="1">
      <alignment horizontal="left" vertical="center"/>
    </xf>
    <xf numFmtId="0" fontId="27" fillId="0" borderId="432" xfId="0" applyFont="1" applyBorder="1" applyAlignment="1">
      <alignment horizontal="left" vertical="center"/>
    </xf>
    <xf numFmtId="0" fontId="27" fillId="0" borderId="263" xfId="0" applyFont="1" applyBorder="1" applyAlignment="1">
      <alignment horizontal="left" vertical="center"/>
    </xf>
    <xf numFmtId="0" fontId="27" fillId="0" borderId="274" xfId="0" applyFont="1" applyBorder="1" applyAlignment="1">
      <alignment horizontal="left" vertical="center"/>
    </xf>
    <xf numFmtId="49" fontId="36" fillId="33" borderId="262" xfId="0" applyNumberFormat="1" applyFont="1" applyFill="1" applyBorder="1" applyAlignment="1">
      <alignment horizontal="left" vertical="center"/>
    </xf>
    <xf numFmtId="0" fontId="0" fillId="0" borderId="263" xfId="0" applyBorder="1" applyAlignment="1">
      <alignment horizontal="left" vertical="center"/>
    </xf>
    <xf numFmtId="0" fontId="0" fillId="0" borderId="274" xfId="0" applyBorder="1" applyAlignment="1">
      <alignment horizontal="left" vertical="center"/>
    </xf>
    <xf numFmtId="49" fontId="36" fillId="33" borderId="262" xfId="0" applyNumberFormat="1" applyFont="1" applyFill="1" applyBorder="1" applyAlignment="1">
      <alignment horizontal="left" vertical="center" wrapText="1"/>
    </xf>
    <xf numFmtId="0" fontId="0" fillId="0" borderId="263" xfId="0" applyBorder="1" applyAlignment="1">
      <alignment horizontal="left" vertical="center" wrapText="1"/>
    </xf>
    <xf numFmtId="0" fontId="0" fillId="0" borderId="274" xfId="0" applyBorder="1" applyAlignment="1">
      <alignment horizontal="left" vertical="center" wrapText="1"/>
    </xf>
    <xf numFmtId="49" fontId="36" fillId="41" borderId="12" xfId="0" applyNumberFormat="1" applyFont="1" applyFill="1" applyBorder="1" applyAlignment="1">
      <alignment horizontal="left" vertical="center"/>
    </xf>
    <xf numFmtId="49" fontId="36" fillId="41" borderId="18" xfId="0" applyNumberFormat="1" applyFont="1" applyFill="1" applyBorder="1" applyAlignment="1">
      <alignment horizontal="left" vertical="center"/>
    </xf>
    <xf numFmtId="49" fontId="27" fillId="0" borderId="262" xfId="0" applyNumberFormat="1" applyFont="1" applyBorder="1" applyAlignment="1">
      <alignment horizontal="left" vertical="center"/>
    </xf>
    <xf numFmtId="0" fontId="37" fillId="41" borderId="389" xfId="0" applyFont="1" applyFill="1" applyBorder="1" applyAlignment="1">
      <alignment vertical="center" wrapText="1"/>
    </xf>
    <xf numFmtId="0" fontId="64" fillId="41" borderId="73" xfId="35" applyFont="1" applyFill="1" applyBorder="1" applyAlignment="1" applyProtection="1">
      <alignment horizontal="center" vertical="center"/>
    </xf>
    <xf numFmtId="0" fontId="64" fillId="41" borderId="433" xfId="35" applyFont="1" applyFill="1" applyBorder="1" applyAlignment="1" applyProtection="1">
      <alignment horizontal="center" vertical="center"/>
    </xf>
    <xf numFmtId="0" fontId="63" fillId="33" borderId="430" xfId="0" applyFont="1" applyFill="1" applyBorder="1" applyAlignment="1">
      <alignment horizontal="left" vertical="center"/>
    </xf>
    <xf numFmtId="0" fontId="57" fillId="33" borderId="434" xfId="0" applyFont="1" applyFill="1" applyBorder="1" applyAlignment="1">
      <alignment horizontal="left" vertical="center" wrapText="1"/>
    </xf>
    <xf numFmtId="0" fontId="57" fillId="33" borderId="435" xfId="0" applyFont="1" applyFill="1" applyBorder="1" applyAlignment="1">
      <alignment horizontal="left" vertical="center" wrapText="1"/>
    </xf>
    <xf numFmtId="0" fontId="57" fillId="33" borderId="436" xfId="0" applyFont="1" applyFill="1" applyBorder="1" applyAlignment="1">
      <alignment horizontal="left" vertical="center" wrapText="1"/>
    </xf>
    <xf numFmtId="49" fontId="87" fillId="33" borderId="437" xfId="0" applyNumberFormat="1" applyFont="1" applyFill="1" applyBorder="1" applyAlignment="1">
      <alignment horizontal="left" vertical="center"/>
    </xf>
    <xf numFmtId="49" fontId="87" fillId="33" borderId="438" xfId="0" applyNumberFormat="1" applyFont="1" applyFill="1" applyBorder="1" applyAlignment="1">
      <alignment horizontal="left" vertical="center"/>
    </xf>
    <xf numFmtId="49" fontId="87" fillId="33" borderId="439" xfId="0" applyNumberFormat="1" applyFont="1" applyFill="1" applyBorder="1" applyAlignment="1">
      <alignment horizontal="left" vertical="center"/>
    </xf>
    <xf numFmtId="0" fontId="51" fillId="0" borderId="43" xfId="0" applyFont="1" applyFill="1" applyBorder="1" applyAlignment="1">
      <alignment vertical="center"/>
    </xf>
    <xf numFmtId="0" fontId="53" fillId="0" borderId="24" xfId="0" applyFont="1" applyFill="1" applyBorder="1" applyAlignment="1">
      <alignment vertical="center"/>
    </xf>
    <xf numFmtId="0" fontId="53" fillId="0" borderId="24" xfId="0" applyFont="1" applyFill="1" applyBorder="1" applyAlignment="1">
      <alignment horizontal="center" vertical="center" wrapText="1"/>
    </xf>
    <xf numFmtId="0" fontId="51" fillId="0" borderId="24" xfId="0" applyFont="1" applyFill="1" applyBorder="1" applyAlignment="1">
      <alignment vertical="center"/>
    </xf>
    <xf numFmtId="0" fontId="51" fillId="0" borderId="44" xfId="0" applyFont="1" applyBorder="1" applyAlignment="1">
      <alignment vertical="center"/>
    </xf>
    <xf numFmtId="0" fontId="53" fillId="0" borderId="25" xfId="0" applyFont="1" applyFill="1" applyBorder="1" applyAlignment="1">
      <alignment vertical="center" wrapText="1"/>
    </xf>
    <xf numFmtId="165" fontId="53" fillId="0" borderId="25" xfId="0" applyNumberFormat="1" applyFont="1" applyBorder="1" applyAlignment="1"/>
    <xf numFmtId="0" fontId="51" fillId="0" borderId="25" xfId="0" applyFont="1" applyBorder="1" applyAlignment="1">
      <alignment vertical="center"/>
    </xf>
    <xf numFmtId="0" fontId="53" fillId="0" borderId="25" xfId="0" applyFont="1" applyBorder="1" applyAlignment="1">
      <alignment vertical="center" wrapText="1"/>
    </xf>
    <xf numFmtId="0" fontId="53" fillId="0" borderId="25" xfId="0" applyFont="1" applyFill="1" applyBorder="1" applyAlignment="1">
      <alignment horizontal="right" vertical="center" wrapText="1"/>
    </xf>
    <xf numFmtId="0" fontId="53" fillId="0" borderId="25" xfId="0" applyFont="1" applyFill="1" applyBorder="1" applyAlignment="1">
      <alignment vertical="center"/>
    </xf>
    <xf numFmtId="165" fontId="53" fillId="0" borderId="25" xfId="0" applyNumberFormat="1" applyFont="1" applyBorder="1" applyAlignment="1">
      <alignment vertical="center" wrapText="1"/>
    </xf>
    <xf numFmtId="0" fontId="53" fillId="0" borderId="37" xfId="0" applyFont="1" applyFill="1" applyBorder="1" applyAlignment="1">
      <alignment horizontal="right" vertical="center" wrapText="1"/>
    </xf>
    <xf numFmtId="165" fontId="53" fillId="0" borderId="37" xfId="0" applyNumberFormat="1" applyFont="1" applyBorder="1" applyAlignment="1"/>
    <xf numFmtId="0" fontId="51" fillId="0" borderId="37" xfId="0" applyFont="1" applyBorder="1" applyAlignment="1">
      <alignment vertical="center"/>
    </xf>
    <xf numFmtId="0" fontId="40" fillId="47" borderId="10" xfId="0" applyFont="1" applyFill="1" applyBorder="1" applyAlignment="1">
      <alignment horizontal="left" vertical="center" wrapText="1"/>
    </xf>
    <xf numFmtId="0" fontId="40" fillId="47" borderId="17" xfId="0" applyFont="1" applyFill="1" applyBorder="1" applyAlignment="1">
      <alignment horizontal="left" vertical="center" wrapText="1"/>
    </xf>
    <xf numFmtId="0" fontId="40" fillId="47" borderId="36" xfId="0" applyFont="1" applyFill="1" applyBorder="1" applyAlignment="1">
      <alignment horizontal="left" vertical="center" wrapText="1"/>
    </xf>
    <xf numFmtId="0" fontId="57" fillId="0" borderId="0" xfId="0" applyFont="1" applyBorder="1" applyAlignment="1">
      <alignment vertical="center"/>
    </xf>
    <xf numFmtId="164" fontId="57" fillId="0" borderId="0" xfId="0" applyNumberFormat="1" applyFont="1" applyBorder="1" applyAlignment="1">
      <alignment vertical="center"/>
    </xf>
    <xf numFmtId="0" fontId="88" fillId="41" borderId="265" xfId="0" applyFont="1" applyFill="1" applyBorder="1" applyAlignment="1">
      <alignment vertical="center"/>
    </xf>
    <xf numFmtId="0" fontId="88" fillId="41" borderId="260" xfId="0" applyFont="1" applyFill="1" applyBorder="1" applyAlignment="1">
      <alignment vertical="center"/>
    </xf>
    <xf numFmtId="0" fontId="27" fillId="41" borderId="440" xfId="0" applyFont="1" applyFill="1" applyBorder="1" applyAlignment="1">
      <alignment horizontal="left" vertical="center" wrapText="1"/>
    </xf>
    <xf numFmtId="0" fontId="27" fillId="41" borderId="441" xfId="0" applyFont="1" applyFill="1" applyBorder="1" applyAlignment="1">
      <alignment horizontal="left" vertical="center" wrapText="1"/>
    </xf>
    <xf numFmtId="0" fontId="27" fillId="41" borderId="440" xfId="0" applyFont="1" applyFill="1" applyBorder="1" applyAlignment="1">
      <alignment vertical="center"/>
    </xf>
    <xf numFmtId="0" fontId="27" fillId="41" borderId="441" xfId="0" applyFont="1" applyFill="1" applyBorder="1" applyAlignment="1">
      <alignment vertical="center"/>
    </xf>
    <xf numFmtId="0" fontId="27" fillId="0" borderId="317" xfId="0" applyFont="1" applyBorder="1" applyAlignment="1">
      <alignment vertical="center"/>
    </xf>
    <xf numFmtId="0" fontId="27" fillId="0" borderId="318" xfId="0" applyFont="1" applyBorder="1" applyAlignment="1">
      <alignment vertical="center"/>
    </xf>
    <xf numFmtId="0" fontId="27" fillId="41" borderId="318" xfId="0" applyFont="1" applyFill="1" applyBorder="1" applyAlignment="1">
      <alignment horizontal="center" vertical="center" wrapText="1"/>
    </xf>
    <xf numFmtId="0" fontId="27" fillId="35" borderId="318" xfId="0" applyFont="1" applyFill="1" applyBorder="1" applyAlignment="1">
      <alignment horizontal="center" vertical="center" wrapText="1"/>
    </xf>
    <xf numFmtId="2" fontId="27" fillId="44" borderId="318" xfId="0" applyNumberFormat="1" applyFont="1" applyFill="1" applyBorder="1" applyAlignment="1">
      <alignment horizontal="center" vertical="center" wrapText="1"/>
    </xf>
    <xf numFmtId="2" fontId="50" fillId="29" borderId="318" xfId="0" applyNumberFormat="1" applyFont="1" applyFill="1" applyBorder="1" applyAlignment="1">
      <alignment horizontal="center" vertical="center" wrapText="1"/>
    </xf>
    <xf numFmtId="2" fontId="27" fillId="37" borderId="318" xfId="0" applyNumberFormat="1" applyFont="1" applyFill="1" applyBorder="1" applyAlignment="1">
      <alignment horizontal="center" vertical="center" wrapText="1"/>
    </xf>
    <xf numFmtId="2" fontId="27" fillId="37" borderId="319" xfId="0" applyNumberFormat="1" applyFont="1" applyFill="1" applyBorder="1" applyAlignment="1">
      <alignment horizontal="center" vertical="center" wrapText="1"/>
    </xf>
    <xf numFmtId="165" fontId="27" fillId="0" borderId="111" xfId="0" applyNumberFormat="1" applyFont="1" applyBorder="1" applyAlignment="1">
      <alignment horizontal="center" vertical="center"/>
    </xf>
    <xf numFmtId="165" fontId="27" fillId="0" borderId="442" xfId="0" applyNumberFormat="1" applyFont="1" applyBorder="1" applyAlignment="1">
      <alignment horizontal="center" vertical="center"/>
    </xf>
    <xf numFmtId="0" fontId="27" fillId="0" borderId="287" xfId="0" applyFont="1" applyBorder="1" applyAlignment="1">
      <alignment vertical="center" wrapText="1"/>
    </xf>
    <xf numFmtId="49" fontId="27" fillId="0" borderId="214" xfId="0" applyNumberFormat="1" applyFont="1" applyBorder="1" applyAlignment="1">
      <alignment horizontal="left" vertical="center" wrapText="1"/>
    </xf>
    <xf numFmtId="49" fontId="27" fillId="0" borderId="443" xfId="0" applyNumberFormat="1" applyFont="1" applyBorder="1" applyAlignment="1">
      <alignment horizontal="left" vertical="center" wrapText="1"/>
    </xf>
    <xf numFmtId="49" fontId="27" fillId="0" borderId="29" xfId="0" applyNumberFormat="1" applyFont="1" applyBorder="1" applyAlignment="1">
      <alignment horizontal="left" vertical="center" wrapText="1"/>
    </xf>
    <xf numFmtId="49" fontId="27" fillId="0" borderId="20" xfId="0" applyNumberFormat="1" applyFont="1" applyBorder="1" applyAlignment="1">
      <alignment horizontal="left" vertical="center" wrapText="1"/>
    </xf>
    <xf numFmtId="0" fontId="30" fillId="24" borderId="437" xfId="0" applyFont="1" applyFill="1" applyBorder="1" applyAlignment="1">
      <alignment horizontal="left" vertical="center" wrapText="1"/>
    </xf>
    <xf numFmtId="0" fontId="30" fillId="24" borderId="438" xfId="0" applyFont="1" applyFill="1" applyBorder="1" applyAlignment="1">
      <alignment horizontal="left" vertical="center" wrapText="1"/>
    </xf>
    <xf numFmtId="0" fontId="0" fillId="0" borderId="438" xfId="0" applyBorder="1" applyAlignment="1">
      <alignment vertical="center" wrapText="1"/>
    </xf>
    <xf numFmtId="0" fontId="0" fillId="0" borderId="439" xfId="0" applyBorder="1" applyAlignment="1">
      <alignment vertical="center" wrapText="1"/>
    </xf>
    <xf numFmtId="3" fontId="0" fillId="0" borderId="439" xfId="0" applyNumberFormat="1" applyBorder="1" applyAlignment="1">
      <alignment horizontal="center" vertical="center"/>
    </xf>
    <xf numFmtId="3" fontId="0" fillId="49" borderId="439" xfId="0" applyNumberFormat="1" applyFill="1" applyBorder="1" applyAlignment="1">
      <alignment horizontal="center" vertical="center"/>
    </xf>
    <xf numFmtId="3" fontId="0" fillId="49" borderId="444" xfId="0" applyNumberFormat="1" applyFill="1" applyBorder="1" applyAlignment="1">
      <alignment horizontal="center" vertical="center"/>
    </xf>
    <xf numFmtId="164" fontId="0" fillId="0" borderId="439" xfId="0" applyNumberFormat="1" applyBorder="1" applyAlignment="1">
      <alignment horizontal="center" vertical="center"/>
    </xf>
    <xf numFmtId="1" fontId="0" fillId="0" borderId="439" xfId="0" applyNumberFormat="1" applyBorder="1" applyAlignment="1">
      <alignment horizontal="center" vertical="center"/>
    </xf>
    <xf numFmtId="1" fontId="0" fillId="0" borderId="444" xfId="0" applyNumberFormat="1" applyBorder="1" applyAlignment="1">
      <alignment horizontal="center" vertical="center"/>
    </xf>
    <xf numFmtId="3" fontId="1" fillId="49" borderId="439" xfId="0" applyNumberFormat="1" applyFont="1" applyFill="1" applyBorder="1" applyAlignment="1">
      <alignment horizontal="center" vertical="center"/>
    </xf>
    <xf numFmtId="0" fontId="37" fillId="41" borderId="11" xfId="0" applyFont="1" applyFill="1" applyBorder="1" applyAlignment="1">
      <alignment vertical="center"/>
    </xf>
    <xf numFmtId="0" fontId="37" fillId="41" borderId="19" xfId="0" applyFont="1" applyFill="1" applyBorder="1" applyAlignment="1">
      <alignment vertical="center"/>
    </xf>
    <xf numFmtId="0" fontId="28" fillId="41" borderId="438" xfId="0" applyFont="1" applyFill="1" applyBorder="1" applyAlignment="1">
      <alignment vertical="center"/>
    </xf>
    <xf numFmtId="0" fontId="62" fillId="41" borderId="439" xfId="35" applyFont="1" applyFill="1" applyBorder="1" applyAlignment="1" applyProtection="1">
      <alignment vertical="center"/>
    </xf>
    <xf numFmtId="0" fontId="57" fillId="0" borderId="73" xfId="0" applyFont="1" applyBorder="1" applyAlignment="1">
      <alignment vertical="center"/>
    </xf>
    <xf numFmtId="164" fontId="57" fillId="0" borderId="73" xfId="0" applyNumberFormat="1" applyFont="1" applyBorder="1" applyAlignment="1">
      <alignment vertical="center"/>
    </xf>
    <xf numFmtId="0" fontId="27" fillId="33" borderId="154" xfId="0" applyFont="1" applyFill="1" applyBorder="1" applyAlignment="1">
      <alignment vertical="center" wrapText="1"/>
    </xf>
    <xf numFmtId="0" fontId="27" fillId="33" borderId="155" xfId="0" applyFont="1" applyFill="1" applyBorder="1" applyAlignment="1">
      <alignment vertical="center" wrapText="1"/>
    </xf>
    <xf numFmtId="0" fontId="27" fillId="33" borderId="388" xfId="0" applyFont="1" applyFill="1" applyBorder="1" applyAlignment="1">
      <alignment vertical="center" wrapText="1"/>
    </xf>
    <xf numFmtId="0" fontId="117" fillId="0" borderId="273" xfId="0" applyFont="1" applyFill="1" applyBorder="1" applyAlignment="1">
      <alignment horizontal="center" vertical="center" wrapText="1"/>
    </xf>
    <xf numFmtId="0" fontId="93" fillId="0" borderId="273" xfId="0" applyFont="1" applyFill="1" applyBorder="1" applyAlignment="1">
      <alignment horizontal="center" vertical="center" wrapText="1"/>
    </xf>
    <xf numFmtId="0" fontId="94" fillId="0" borderId="273" xfId="0" applyFont="1" applyFill="1" applyBorder="1" applyAlignment="1">
      <alignment horizontal="center" vertical="center" wrapText="1"/>
    </xf>
    <xf numFmtId="0" fontId="34" fillId="0" borderId="306" xfId="0" applyFont="1" applyBorder="1" applyAlignment="1">
      <alignment horizontal="center" vertical="top" wrapText="1"/>
    </xf>
    <xf numFmtId="0" fontId="27" fillId="0" borderId="304" xfId="0" applyFont="1" applyBorder="1" applyAlignment="1">
      <alignment horizontal="center" vertical="top" wrapText="1"/>
    </xf>
    <xf numFmtId="0" fontId="27" fillId="0" borderId="305" xfId="0" applyFont="1" applyBorder="1" applyAlignment="1"/>
    <xf numFmtId="1" fontId="27" fillId="0" borderId="306" xfId="0" applyNumberFormat="1" applyFont="1" applyBorder="1" applyAlignment="1">
      <alignment horizontal="center" vertical="top" wrapText="1"/>
    </xf>
    <xf numFmtId="0" fontId="27" fillId="0" borderId="305" xfId="0" applyFont="1" applyBorder="1" applyAlignment="1">
      <alignment horizontal="center" vertical="top" wrapText="1"/>
    </xf>
    <xf numFmtId="0" fontId="51" fillId="0" borderId="0" xfId="0" applyFont="1" applyBorder="1" applyAlignment="1">
      <alignment horizontal="left" vertical="center" wrapText="1"/>
    </xf>
    <xf numFmtId="0" fontId="51" fillId="0" borderId="0" xfId="0" applyFont="1" applyBorder="1" applyAlignment="1">
      <alignment horizontal="center" vertical="center" wrapText="1"/>
    </xf>
    <xf numFmtId="0" fontId="51" fillId="0" borderId="0" xfId="0" applyFont="1" applyFill="1" applyBorder="1" applyAlignment="1">
      <alignment vertical="center"/>
    </xf>
    <xf numFmtId="165" fontId="0" fillId="0" borderId="0" xfId="0" applyNumberFormat="1" applyBorder="1" applyAlignment="1">
      <alignment horizontal="center" vertical="center"/>
    </xf>
    <xf numFmtId="165" fontId="27" fillId="0" borderId="0" xfId="0" applyNumberFormat="1" applyFont="1" applyBorder="1" applyAlignment="1">
      <alignment horizontal="center" vertical="center"/>
    </xf>
    <xf numFmtId="165" fontId="51" fillId="0" borderId="0" xfId="0" applyNumberFormat="1" applyFont="1" applyBorder="1" applyAlignment="1">
      <alignment horizontal="center" vertical="center" wrapText="1"/>
    </xf>
    <xf numFmtId="0" fontId="27" fillId="0" borderId="12" xfId="0" applyFont="1" applyBorder="1" applyAlignment="1">
      <alignment horizontal="left" vertical="center" wrapText="1"/>
    </xf>
    <xf numFmtId="0" fontId="27" fillId="0" borderId="11" xfId="0" applyFont="1" applyBorder="1" applyAlignment="1">
      <alignment horizontal="left" vertical="center" wrapText="1"/>
    </xf>
    <xf numFmtId="0" fontId="51" fillId="0" borderId="19" xfId="0" applyFont="1" applyBorder="1" applyAlignment="1">
      <alignment horizontal="left" vertical="center" wrapText="1"/>
    </xf>
    <xf numFmtId="165" fontId="51" fillId="0" borderId="19" xfId="0" applyNumberFormat="1" applyFont="1" applyBorder="1" applyAlignment="1">
      <alignment horizontal="center" vertical="center" wrapText="1"/>
    </xf>
    <xf numFmtId="0" fontId="51" fillId="0" borderId="19" xfId="0" applyFont="1" applyBorder="1" applyAlignment="1">
      <alignment horizontal="center" vertical="center" wrapText="1"/>
    </xf>
    <xf numFmtId="0" fontId="51" fillId="0" borderId="19" xfId="0" applyFont="1" applyFill="1" applyBorder="1" applyAlignment="1">
      <alignment vertical="center"/>
    </xf>
    <xf numFmtId="165" fontId="0" fillId="0" borderId="19" xfId="0" applyNumberFormat="1" applyBorder="1" applyAlignment="1">
      <alignment horizontal="center" vertical="center"/>
    </xf>
    <xf numFmtId="165" fontId="27" fillId="0" borderId="19" xfId="0" applyNumberFormat="1" applyFont="1" applyBorder="1" applyAlignment="1">
      <alignment horizontal="center" vertical="center"/>
    </xf>
    <xf numFmtId="0" fontId="0" fillId="0" borderId="19" xfId="0" applyBorder="1" applyAlignment="1">
      <alignment vertical="center"/>
    </xf>
    <xf numFmtId="0" fontId="0" fillId="0" borderId="22" xfId="0" applyBorder="1" applyAlignment="1">
      <alignment vertical="center"/>
    </xf>
    <xf numFmtId="0" fontId="27" fillId="0" borderId="445" xfId="0" applyFont="1" applyBorder="1" applyAlignment="1">
      <alignment horizontal="left" vertical="center" wrapText="1"/>
    </xf>
    <xf numFmtId="0" fontId="27" fillId="0" borderId="446" xfId="0" applyFont="1" applyBorder="1" applyAlignment="1">
      <alignment horizontal="left" vertical="center" wrapText="1"/>
    </xf>
    <xf numFmtId="0" fontId="0" fillId="0" borderId="446" xfId="0" applyBorder="1" applyAlignment="1">
      <alignment vertical="center" wrapText="1"/>
    </xf>
    <xf numFmtId="165" fontId="27" fillId="0" borderId="447" xfId="0" applyNumberFormat="1" applyFont="1" applyBorder="1" applyAlignment="1">
      <alignment horizontal="center" vertical="center"/>
    </xf>
    <xf numFmtId="165" fontId="0" fillId="0" borderId="448" xfId="0" applyNumberFormat="1" applyBorder="1" applyAlignment="1">
      <alignment horizontal="center" vertical="center"/>
    </xf>
    <xf numFmtId="165" fontId="0" fillId="0" borderId="436" xfId="0" applyNumberFormat="1" applyBorder="1" applyAlignment="1">
      <alignment horizontal="center" vertical="center"/>
    </xf>
    <xf numFmtId="0" fontId="81" fillId="0" borderId="377" xfId="0" applyFont="1" applyBorder="1" applyAlignment="1">
      <alignment horizontal="center" vertical="center" wrapText="1"/>
    </xf>
    <xf numFmtId="0" fontId="36" fillId="0" borderId="378" xfId="0" applyFont="1" applyBorder="1" applyAlignment="1">
      <alignment horizontal="left" vertical="center" wrapText="1"/>
    </xf>
    <xf numFmtId="0" fontId="36" fillId="0" borderId="379" xfId="0" applyFont="1" applyBorder="1" applyAlignment="1">
      <alignment horizontal="left" vertical="center" wrapText="1"/>
    </xf>
    <xf numFmtId="3" fontId="26" fillId="0" borderId="0" xfId="0" applyNumberFormat="1" applyFont="1" applyFill="1" applyBorder="1" applyAlignment="1">
      <alignment vertical="center"/>
    </xf>
    <xf numFmtId="3" fontId="27" fillId="0" borderId="109" xfId="0" applyNumberFormat="1" applyFont="1" applyBorder="1" applyAlignment="1">
      <alignment horizontal="center" vertical="center"/>
    </xf>
    <xf numFmtId="3" fontId="27" fillId="0" borderId="238" xfId="0" applyNumberFormat="1" applyFont="1" applyBorder="1" applyAlignment="1">
      <alignment horizontal="center" vertical="center"/>
    </xf>
  </cellXfs>
  <cellStyles count="5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2" xfId="28"/>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Hyperlink 2" xfId="50"/>
    <cellStyle name="Input" xfId="36" builtinId="20" customBuiltin="1"/>
    <cellStyle name="Linked Cell" xfId="37" builtinId="24" customBuiltin="1"/>
    <cellStyle name="Neutral" xfId="38" builtinId="28" customBuiltin="1"/>
    <cellStyle name="Normal" xfId="0" builtinId="0"/>
    <cellStyle name="Normal 2" xfId="39"/>
    <cellStyle name="Normal 2 3" xfId="40"/>
    <cellStyle name="Normal 3" xfId="49"/>
    <cellStyle name="Normal 3 2" xfId="51"/>
    <cellStyle name="Normal 4" xfId="41"/>
    <cellStyle name="Normal_2014GLD" xfId="52"/>
    <cellStyle name="Normal_Sheet2" xfId="53"/>
    <cellStyle name="Note" xfId="42" builtinId="10" customBuiltin="1"/>
    <cellStyle name="Output" xfId="43" builtinId="21" customBuiltin="1"/>
    <cellStyle name="Percent" xfId="44" builtinId="5"/>
    <cellStyle name="Percent 2" xfId="45"/>
    <cellStyle name="Percent 2 3" xfId="54"/>
    <cellStyle name="Title" xfId="46" builtinId="15" customBuiltin="1"/>
    <cellStyle name="Total" xfId="47" builtinId="25" customBuiltin="1"/>
    <cellStyle name="Warning Text" xfId="48" builtinId="11" customBuiltin="1"/>
  </cellStyles>
  <dxfs count="2">
    <dxf>
      <font>
        <condense val="0"/>
        <extend val="0"/>
        <color indexed="9"/>
      </font>
      <fill>
        <patternFill>
          <bgColor indexed="10"/>
        </patternFill>
      </fill>
    </dxf>
    <dxf>
      <font>
        <condense val="0"/>
        <extend val="0"/>
        <color indexed="9"/>
      </font>
      <fill>
        <patternFill>
          <bgColor indexed="10"/>
        </patternFill>
      </fill>
    </dxf>
  </dxfs>
  <tableStyles count="0" defaultTableStyle="TableStyleMedium2" defaultPivotStyle="PivotStyleLight16"/>
  <colors>
    <mruColors>
      <color rgb="FF8CAF47"/>
      <color rgb="FFCCFF33"/>
      <color rgb="FFFF99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7735849056603772E-2"/>
          <c:y val="0.20621525814149161"/>
          <c:w val="0.95829195630585895"/>
          <c:h val="0.71280780580393555"/>
        </c:manualLayout>
      </c:layout>
      <c:barChart>
        <c:barDir val="col"/>
        <c:grouping val="clustered"/>
        <c:varyColors val="0"/>
        <c:ser>
          <c:idx val="0"/>
          <c:order val="0"/>
          <c:tx>
            <c:strRef>
              <c:f>Profile!$F$255</c:f>
              <c:strCache>
                <c:ptCount val="1"/>
                <c:pt idx="0">
                  <c:v>Kingston Buci</c:v>
                </c:pt>
              </c:strCache>
            </c:strRef>
          </c:tx>
          <c:spPr>
            <a:solidFill>
              <a:srgbClr val="8CAF47"/>
            </a:solidFill>
            <a:ln w="25400">
              <a:solidFill>
                <a:srgbClr val="FFFFFF"/>
              </a:solidFill>
              <a:prstDash val="solid"/>
            </a:ln>
          </c:spPr>
          <c:invertIfNegative val="0"/>
          <c:dLbls>
            <c:spPr>
              <a:noFill/>
              <a:ln w="25400">
                <a:noFill/>
              </a:ln>
            </c:spPr>
            <c:txPr>
              <a:bodyPr rot="-5400000" vert="horz"/>
              <a:lstStyle/>
              <a:p>
                <a:pPr algn="ctr">
                  <a:defRPr sz="900" b="0" i="0" u="none" strike="noStrike" baseline="0">
                    <a:solidFill>
                      <a:srgbClr val="000000"/>
                    </a:solidFill>
                    <a:latin typeface="Calibri"/>
                    <a:ea typeface="Calibri"/>
                    <a:cs typeface="Calibri"/>
                  </a:defRPr>
                </a:pPr>
                <a:endParaRPr lang="en-US"/>
              </a:p>
            </c:txPr>
            <c:dLblPos val="outEnd"/>
            <c:showLegendKey val="0"/>
            <c:showVal val="1"/>
            <c:showCatName val="0"/>
            <c:showSerName val="0"/>
            <c:showPercent val="0"/>
            <c:showBubbleSize val="0"/>
            <c:showLeaderLines val="0"/>
          </c:dLbls>
          <c:cat>
            <c:strRef>
              <c:f>Profile!$A$257:$D$262</c:f>
              <c:strCache>
                <c:ptCount val="6"/>
                <c:pt idx="0">
                  <c:v>% of Children in Poverty 2007</c:v>
                </c:pt>
                <c:pt idx="1">
                  <c:v>% of Children in Poverty 2008</c:v>
                </c:pt>
                <c:pt idx="2">
                  <c:v>% of Children in Poverty 2009</c:v>
                </c:pt>
                <c:pt idx="3">
                  <c:v>% of Children in Poverty 2010</c:v>
                </c:pt>
                <c:pt idx="4">
                  <c:v>% of Children in Poverty 2011</c:v>
                </c:pt>
                <c:pt idx="5">
                  <c:v>% of Children in Poverty 2012</c:v>
                </c:pt>
              </c:strCache>
            </c:strRef>
          </c:cat>
          <c:val>
            <c:numRef>
              <c:f>Profile!$G$257:$G$262</c:f>
              <c:numCache>
                <c:formatCode>0.0%</c:formatCode>
                <c:ptCount val="6"/>
                <c:pt idx="0">
                  <c:v>0.16354545454545455</c:v>
                </c:pt>
                <c:pt idx="1">
                  <c:v>0.15463636363636366</c:v>
                </c:pt>
                <c:pt idx="2">
                  <c:v>0.15981818181818183</c:v>
                </c:pt>
                <c:pt idx="3">
                  <c:v>0.1598181818181818</c:v>
                </c:pt>
                <c:pt idx="4">
                  <c:v>0.15672727272727272</c:v>
                </c:pt>
                <c:pt idx="5">
                  <c:v>0.16322701688555347</c:v>
                </c:pt>
              </c:numCache>
            </c:numRef>
          </c:val>
        </c:ser>
        <c:ser>
          <c:idx val="2"/>
          <c:order val="1"/>
          <c:tx>
            <c:strRef>
              <c:f>Profile!$H$255</c:f>
              <c:strCache>
                <c:ptCount val="1"/>
                <c:pt idx="0">
                  <c:v>Stepping Stones</c:v>
                </c:pt>
              </c:strCache>
            </c:strRef>
          </c:tx>
          <c:spPr>
            <a:solidFill>
              <a:schemeClr val="tx2">
                <a:lumMod val="60000"/>
                <a:lumOff val="40000"/>
              </a:schemeClr>
            </a:solidFill>
            <a:ln w="25400">
              <a:solidFill>
                <a:srgbClr val="FFFFFF"/>
              </a:solidFill>
              <a:prstDash val="solid"/>
            </a:ln>
          </c:spPr>
          <c:invertIfNegative val="0"/>
          <c:dLbls>
            <c:spPr>
              <a:noFill/>
              <a:ln w="25400">
                <a:noFill/>
              </a:ln>
            </c:spPr>
            <c:txPr>
              <a:bodyPr rot="-5400000" vert="horz"/>
              <a:lstStyle/>
              <a:p>
                <a:pPr algn="ctr">
                  <a:defRPr sz="900" b="0" i="0" u="none" strike="noStrike" baseline="0">
                    <a:solidFill>
                      <a:srgbClr val="000000"/>
                    </a:solidFill>
                    <a:latin typeface="Calibri"/>
                    <a:ea typeface="Calibri"/>
                    <a:cs typeface="Calibri"/>
                  </a:defRPr>
                </a:pPr>
                <a:endParaRPr lang="en-US"/>
              </a:p>
            </c:txPr>
            <c:dLblPos val="outEnd"/>
            <c:showLegendKey val="0"/>
            <c:showVal val="1"/>
            <c:showCatName val="0"/>
            <c:showSerName val="0"/>
            <c:showPercent val="0"/>
            <c:showBubbleSize val="0"/>
            <c:showLeaderLines val="0"/>
          </c:dLbls>
          <c:cat>
            <c:strRef>
              <c:f>Profile!$A$257:$D$262</c:f>
              <c:strCache>
                <c:ptCount val="6"/>
                <c:pt idx="0">
                  <c:v>% of Children in Poverty 2007</c:v>
                </c:pt>
                <c:pt idx="1">
                  <c:v>% of Children in Poverty 2008</c:v>
                </c:pt>
                <c:pt idx="2">
                  <c:v>% of Children in Poverty 2009</c:v>
                </c:pt>
                <c:pt idx="3">
                  <c:v>% of Children in Poverty 2010</c:v>
                </c:pt>
                <c:pt idx="4">
                  <c:v>% of Children in Poverty 2011</c:v>
                </c:pt>
                <c:pt idx="5">
                  <c:v>% of Children in Poverty 2012</c:v>
                </c:pt>
              </c:strCache>
            </c:strRef>
          </c:cat>
          <c:val>
            <c:numRef>
              <c:f>Profile!$I$257:$I$262</c:f>
              <c:numCache>
                <c:formatCode>0.0%</c:formatCode>
                <c:ptCount val="6"/>
                <c:pt idx="0">
                  <c:v>0.19444444444444442</c:v>
                </c:pt>
                <c:pt idx="1">
                  <c:v>0.18844444444444447</c:v>
                </c:pt>
                <c:pt idx="2">
                  <c:v>0.20177777777777775</c:v>
                </c:pt>
                <c:pt idx="3">
                  <c:v>0.17744444444444449</c:v>
                </c:pt>
                <c:pt idx="4">
                  <c:v>0.17844444444444446</c:v>
                </c:pt>
                <c:pt idx="5">
                  <c:v>0.19919517102615694</c:v>
                </c:pt>
              </c:numCache>
            </c:numRef>
          </c:val>
        </c:ser>
        <c:ser>
          <c:idx val="4"/>
          <c:order val="2"/>
          <c:tx>
            <c:strRef>
              <c:f>Profile!$J$255</c:f>
              <c:strCache>
                <c:ptCount val="1"/>
                <c:pt idx="0">
                  <c:v>West Sussex</c:v>
                </c:pt>
              </c:strCache>
            </c:strRef>
          </c:tx>
          <c:spPr>
            <a:solidFill>
              <a:srgbClr val="CCFF33"/>
            </a:solidFill>
            <a:ln w="25400">
              <a:solidFill>
                <a:srgbClr val="FFFFFF"/>
              </a:solidFill>
              <a:prstDash val="solid"/>
            </a:ln>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Lbls>
            <c:spPr>
              <a:noFill/>
              <a:ln w="25400">
                <a:noFill/>
              </a:ln>
            </c:spPr>
            <c:txPr>
              <a:bodyPr rot="-5400000" vert="horz"/>
              <a:lstStyle/>
              <a:p>
                <a:pPr algn="ctr">
                  <a:defRPr sz="900" b="0" i="0" u="none" strike="noStrike" baseline="0">
                    <a:solidFill>
                      <a:srgbClr val="000000"/>
                    </a:solidFill>
                    <a:latin typeface="Calibri"/>
                    <a:ea typeface="Calibri"/>
                    <a:cs typeface="Calibri"/>
                  </a:defRPr>
                </a:pPr>
                <a:endParaRPr lang="en-US"/>
              </a:p>
            </c:txPr>
            <c:dLblPos val="outEnd"/>
            <c:showLegendKey val="0"/>
            <c:showVal val="1"/>
            <c:showCatName val="0"/>
            <c:showSerName val="0"/>
            <c:showPercent val="0"/>
            <c:showBubbleSize val="0"/>
            <c:showLeaderLines val="0"/>
          </c:dLbls>
          <c:cat>
            <c:strRef>
              <c:f>Profile!$A$257:$D$262</c:f>
              <c:strCache>
                <c:ptCount val="6"/>
                <c:pt idx="0">
                  <c:v>% of Children in Poverty 2007</c:v>
                </c:pt>
                <c:pt idx="1">
                  <c:v>% of Children in Poverty 2008</c:v>
                </c:pt>
                <c:pt idx="2">
                  <c:v>% of Children in Poverty 2009</c:v>
                </c:pt>
                <c:pt idx="3">
                  <c:v>% of Children in Poverty 2010</c:v>
                </c:pt>
                <c:pt idx="4">
                  <c:v>% of Children in Poverty 2011</c:v>
                </c:pt>
                <c:pt idx="5">
                  <c:v>% of Children in Poverty 2012</c:v>
                </c:pt>
              </c:strCache>
            </c:strRef>
          </c:cat>
          <c:val>
            <c:numRef>
              <c:f>Profile!$J$257:$J$262</c:f>
              <c:numCache>
                <c:formatCode>0.0%</c:formatCode>
                <c:ptCount val="6"/>
                <c:pt idx="0">
                  <c:v>0.13900000000000001</c:v>
                </c:pt>
                <c:pt idx="1">
                  <c:v>0.13400000000000001</c:v>
                </c:pt>
                <c:pt idx="2">
                  <c:v>0.14299999999999999</c:v>
                </c:pt>
                <c:pt idx="3">
                  <c:v>0.13800000000000001</c:v>
                </c:pt>
                <c:pt idx="4">
                  <c:v>0.13500000000000001</c:v>
                </c:pt>
                <c:pt idx="5">
                  <c:v>0.124</c:v>
                </c:pt>
              </c:numCache>
            </c:numRef>
          </c:val>
        </c:ser>
        <c:ser>
          <c:idx val="6"/>
          <c:order val="3"/>
          <c:tx>
            <c:strRef>
              <c:f>Profile!$L$255</c:f>
              <c:strCache>
                <c:ptCount val="1"/>
                <c:pt idx="0">
                  <c:v>South East</c:v>
                </c:pt>
              </c:strCache>
            </c:strRef>
          </c:tx>
          <c:spPr>
            <a:solidFill>
              <a:srgbClr val="333333"/>
            </a:solidFill>
            <a:ln w="25400">
              <a:solidFill>
                <a:srgbClr val="FFFFFF"/>
              </a:solidFill>
              <a:prstDash val="solid"/>
            </a:ln>
          </c:spPr>
          <c:invertIfNegative val="0"/>
          <c:dLbls>
            <c:spPr>
              <a:noFill/>
              <a:ln w="25400">
                <a:noFill/>
              </a:ln>
            </c:spPr>
            <c:txPr>
              <a:bodyPr rot="-5400000" vert="horz"/>
              <a:lstStyle/>
              <a:p>
                <a:pPr algn="ctr">
                  <a:defRPr sz="900" b="0" i="0" u="none" strike="noStrike" baseline="0">
                    <a:solidFill>
                      <a:srgbClr val="000000"/>
                    </a:solidFill>
                    <a:latin typeface="Calibri"/>
                    <a:ea typeface="Calibri"/>
                    <a:cs typeface="Calibri"/>
                  </a:defRPr>
                </a:pPr>
                <a:endParaRPr lang="en-US"/>
              </a:p>
            </c:txPr>
            <c:dLblPos val="outEnd"/>
            <c:showLegendKey val="0"/>
            <c:showVal val="1"/>
            <c:showCatName val="0"/>
            <c:showSerName val="0"/>
            <c:showPercent val="0"/>
            <c:showBubbleSize val="0"/>
            <c:showLeaderLines val="0"/>
          </c:dLbls>
          <c:cat>
            <c:strRef>
              <c:f>Profile!$A$257:$D$262</c:f>
              <c:strCache>
                <c:ptCount val="6"/>
                <c:pt idx="0">
                  <c:v>% of Children in Poverty 2007</c:v>
                </c:pt>
                <c:pt idx="1">
                  <c:v>% of Children in Poverty 2008</c:v>
                </c:pt>
                <c:pt idx="2">
                  <c:v>% of Children in Poverty 2009</c:v>
                </c:pt>
                <c:pt idx="3">
                  <c:v>% of Children in Poverty 2010</c:v>
                </c:pt>
                <c:pt idx="4">
                  <c:v>% of Children in Poverty 2011</c:v>
                </c:pt>
                <c:pt idx="5">
                  <c:v>% of Children in Poverty 2012</c:v>
                </c:pt>
              </c:strCache>
            </c:strRef>
          </c:cat>
          <c:val>
            <c:numRef>
              <c:f>Profile!$L$257:$L$262</c:f>
              <c:numCache>
                <c:formatCode>0.0%</c:formatCode>
                <c:ptCount val="6"/>
                <c:pt idx="0">
                  <c:v>0.156</c:v>
                </c:pt>
                <c:pt idx="1">
                  <c:v>0.152</c:v>
                </c:pt>
                <c:pt idx="2">
                  <c:v>0.16</c:v>
                </c:pt>
                <c:pt idx="3">
                  <c:v>0.155</c:v>
                </c:pt>
                <c:pt idx="4">
                  <c:v>0.151</c:v>
                </c:pt>
                <c:pt idx="5">
                  <c:v>0.14199999999999999</c:v>
                </c:pt>
              </c:numCache>
            </c:numRef>
          </c:val>
        </c:ser>
        <c:ser>
          <c:idx val="8"/>
          <c:order val="4"/>
          <c:tx>
            <c:strRef>
              <c:f>Profile!$N$255</c:f>
              <c:strCache>
                <c:ptCount val="1"/>
                <c:pt idx="0">
                  <c:v>England</c:v>
                </c:pt>
              </c:strCache>
            </c:strRef>
          </c:tx>
          <c:spPr>
            <a:solidFill>
              <a:schemeClr val="bg1">
                <a:lumMod val="50000"/>
              </a:schemeClr>
            </a:solidFill>
            <a:ln w="25400">
              <a:solidFill>
                <a:srgbClr val="FFFFFF"/>
              </a:solidFill>
              <a:prstDash val="solid"/>
            </a:ln>
          </c:spPr>
          <c:invertIfNegative val="0"/>
          <c:dLbls>
            <c:spPr>
              <a:noFill/>
              <a:ln w="25400">
                <a:noFill/>
              </a:ln>
            </c:spPr>
            <c:txPr>
              <a:bodyPr rot="-5400000" vert="horz"/>
              <a:lstStyle/>
              <a:p>
                <a:pPr algn="ctr">
                  <a:defRPr sz="900" b="0" i="0" u="none" strike="noStrike" baseline="0">
                    <a:solidFill>
                      <a:srgbClr val="000000"/>
                    </a:solidFill>
                    <a:latin typeface="Calibri"/>
                    <a:ea typeface="Calibri"/>
                    <a:cs typeface="Calibri"/>
                  </a:defRPr>
                </a:pPr>
                <a:endParaRPr lang="en-US"/>
              </a:p>
            </c:txPr>
            <c:dLblPos val="outEnd"/>
            <c:showLegendKey val="0"/>
            <c:showVal val="1"/>
            <c:showCatName val="0"/>
            <c:showSerName val="0"/>
            <c:showPercent val="0"/>
            <c:showBubbleSize val="0"/>
            <c:showLeaderLines val="0"/>
          </c:dLbls>
          <c:cat>
            <c:strRef>
              <c:f>Profile!$A$257:$D$262</c:f>
              <c:strCache>
                <c:ptCount val="6"/>
                <c:pt idx="0">
                  <c:v>% of Children in Poverty 2007</c:v>
                </c:pt>
                <c:pt idx="1">
                  <c:v>% of Children in Poverty 2008</c:v>
                </c:pt>
                <c:pt idx="2">
                  <c:v>% of Children in Poverty 2009</c:v>
                </c:pt>
                <c:pt idx="3">
                  <c:v>% of Children in Poverty 2010</c:v>
                </c:pt>
                <c:pt idx="4">
                  <c:v>% of Children in Poverty 2011</c:v>
                </c:pt>
                <c:pt idx="5">
                  <c:v>% of Children in Poverty 2012</c:v>
                </c:pt>
              </c:strCache>
            </c:strRef>
          </c:cat>
          <c:val>
            <c:numRef>
              <c:f>Profile!$N$257:$N$262</c:f>
              <c:numCache>
                <c:formatCode>0.0%</c:formatCode>
                <c:ptCount val="6"/>
                <c:pt idx="0">
                  <c:v>0.224</c:v>
                </c:pt>
                <c:pt idx="1">
                  <c:v>0.216</c:v>
                </c:pt>
                <c:pt idx="2">
                  <c:v>0.219</c:v>
                </c:pt>
                <c:pt idx="3">
                  <c:v>0.21099999999999999</c:v>
                </c:pt>
                <c:pt idx="4">
                  <c:v>0.20599999999999999</c:v>
                </c:pt>
                <c:pt idx="5">
                  <c:v>0.192</c:v>
                </c:pt>
              </c:numCache>
            </c:numRef>
          </c:val>
        </c:ser>
        <c:dLbls>
          <c:showLegendKey val="0"/>
          <c:showVal val="0"/>
          <c:showCatName val="0"/>
          <c:showSerName val="0"/>
          <c:showPercent val="0"/>
          <c:showBubbleSize val="0"/>
        </c:dLbls>
        <c:gapWidth val="150"/>
        <c:axId val="100892672"/>
        <c:axId val="100894208"/>
      </c:barChart>
      <c:catAx>
        <c:axId val="100892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Calibri"/>
                <a:ea typeface="Calibri"/>
                <a:cs typeface="Calibri"/>
              </a:defRPr>
            </a:pPr>
            <a:endParaRPr lang="en-US"/>
          </a:p>
        </c:txPr>
        <c:crossAx val="100894208"/>
        <c:crosses val="autoZero"/>
        <c:auto val="1"/>
        <c:lblAlgn val="ctr"/>
        <c:lblOffset val="100"/>
        <c:tickLblSkip val="1"/>
        <c:tickMarkSkip val="1"/>
        <c:noMultiLvlLbl val="0"/>
      </c:catAx>
      <c:valAx>
        <c:axId val="100894208"/>
        <c:scaling>
          <c:orientation val="minMax"/>
          <c:min val="0"/>
        </c:scaling>
        <c:delete val="0"/>
        <c:axPos val="l"/>
        <c:majorGridlines>
          <c:spPr>
            <a:ln w="3175">
              <a:solidFill>
                <a:srgbClr val="96969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Calibri"/>
                <a:ea typeface="Calibri"/>
                <a:cs typeface="Calibri"/>
              </a:defRPr>
            </a:pPr>
            <a:endParaRPr lang="en-US"/>
          </a:p>
        </c:txPr>
        <c:crossAx val="100892672"/>
        <c:crosses val="autoZero"/>
        <c:crossBetween val="between"/>
      </c:valAx>
      <c:spPr>
        <a:noFill/>
        <a:ln w="25400">
          <a:noFill/>
        </a:ln>
      </c:spPr>
    </c:plotArea>
    <c:legend>
      <c:legendPos val="r"/>
      <c:layout>
        <c:manualLayout>
          <c:xMode val="edge"/>
          <c:yMode val="edge"/>
          <c:x val="2.5679781984433624E-2"/>
          <c:y val="1.6990296296142668E-2"/>
          <c:w val="0.92522743914503502"/>
          <c:h val="0.13106799999881485"/>
        </c:manualLayout>
      </c:layout>
      <c:overlay val="0"/>
      <c:spPr>
        <a:solidFill>
          <a:srgbClr val="FFFFFF"/>
        </a:solidFill>
        <a:ln w="25400">
          <a:noFill/>
        </a:ln>
      </c:spPr>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paperSize="9"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000"/>
            </a:pPr>
            <a:r>
              <a:rPr lang="en-GB" sz="1000"/>
              <a:t>% of 0-4 Year Olds BAME Background</a:t>
            </a:r>
          </a:p>
          <a:p>
            <a:pPr algn="l">
              <a:defRPr sz="1000"/>
            </a:pPr>
            <a:endParaRPr lang="en-GB" sz="1000"/>
          </a:p>
          <a:p>
            <a:pPr algn="l">
              <a:defRPr sz="1000"/>
            </a:pPr>
            <a:endParaRPr lang="en-GB" sz="1000"/>
          </a:p>
        </c:rich>
      </c:tx>
      <c:layout>
        <c:manualLayout>
          <c:xMode val="edge"/>
          <c:yMode val="edge"/>
          <c:x val="1.2722716965165248E-2"/>
          <c:y val="1.4326624157571081E-2"/>
        </c:manualLayout>
      </c:layout>
      <c:overlay val="0"/>
      <c:spPr>
        <a:noFill/>
        <a:ln w="25400">
          <a:noFill/>
        </a:ln>
      </c:spPr>
    </c:title>
    <c:autoTitleDeleted val="0"/>
    <c:plotArea>
      <c:layout>
        <c:manualLayout>
          <c:layoutTarget val="inner"/>
          <c:xMode val="edge"/>
          <c:yMode val="edge"/>
          <c:x val="9.2810273715785527E-2"/>
          <c:y val="0.13180534200022107"/>
          <c:w val="0.8770158938466025"/>
          <c:h val="0.74703758476890891"/>
        </c:manualLayout>
      </c:layout>
      <c:barChart>
        <c:barDir val="col"/>
        <c:grouping val="clustered"/>
        <c:varyColors val="0"/>
        <c:ser>
          <c:idx val="0"/>
          <c:order val="0"/>
          <c:tx>
            <c:strRef>
              <c:f>Profile!$A$104:$C$104</c:f>
              <c:strCache>
                <c:ptCount val="1"/>
                <c:pt idx="0">
                  <c:v>% BAME (Under 5)</c:v>
                </c:pt>
              </c:strCache>
            </c:strRef>
          </c:tx>
          <c:spPr>
            <a:solidFill>
              <a:srgbClr val="FF9900"/>
            </a:solidFill>
            <a:ln w="12700">
              <a:solidFill>
                <a:srgbClr val="FF9900"/>
              </a:solidFill>
              <a:prstDash val="solid"/>
            </a:ln>
          </c:spPr>
          <c:invertIfNegative val="0"/>
          <c:dPt>
            <c:idx val="0"/>
            <c:invertIfNegative val="0"/>
            <c:bubble3D val="0"/>
            <c:spPr>
              <a:solidFill>
                <a:schemeClr val="accent3"/>
              </a:solidFill>
              <a:ln w="25400">
                <a:noFill/>
                <a:prstDash val="solid"/>
              </a:ln>
            </c:spPr>
          </c:dPt>
          <c:dPt>
            <c:idx val="2"/>
            <c:invertIfNegative val="0"/>
            <c:bubble3D val="0"/>
            <c:spPr>
              <a:solidFill>
                <a:schemeClr val="accent5">
                  <a:lumMod val="60000"/>
                  <a:lumOff val="40000"/>
                </a:schemeClr>
              </a:solidFill>
              <a:ln w="25400">
                <a:solidFill>
                  <a:srgbClr val="FFFFFF"/>
                </a:solidFill>
                <a:prstDash val="solid"/>
              </a:ln>
            </c:spPr>
          </c:dPt>
          <c:dPt>
            <c:idx val="4"/>
            <c:invertIfNegative val="0"/>
            <c:bubble3D val="0"/>
            <c:spPr>
              <a:solidFill>
                <a:srgbClr val="CCFF33"/>
              </a:solidFill>
              <a:ln w="25400">
                <a:solidFill>
                  <a:schemeClr val="bg1"/>
                </a:solidFill>
                <a:prstDash val="solid"/>
              </a:ln>
            </c:spPr>
          </c:dPt>
          <c:dLbls>
            <c:spPr>
              <a:noFill/>
              <a:ln w="25400">
                <a:noFill/>
              </a:ln>
            </c:spPr>
            <c:showLegendKey val="0"/>
            <c:showVal val="1"/>
            <c:showCatName val="0"/>
            <c:showSerName val="0"/>
            <c:showPercent val="0"/>
            <c:showBubbleSize val="0"/>
            <c:showLeaderLines val="0"/>
          </c:dLbls>
          <c:cat>
            <c:strRef>
              <c:f>Profile!$D$97:$I$97</c:f>
              <c:strCache>
                <c:ptCount val="5"/>
                <c:pt idx="0">
                  <c:v>Kingston Buci</c:v>
                </c:pt>
                <c:pt idx="2">
                  <c:v>Stepping Stones</c:v>
                </c:pt>
                <c:pt idx="4">
                  <c:v>West Sussex</c:v>
                </c:pt>
              </c:strCache>
            </c:strRef>
          </c:cat>
          <c:val>
            <c:numRef>
              <c:f>Profile!$D$104:$I$104</c:f>
              <c:numCache>
                <c:formatCode>0.0%</c:formatCode>
                <c:ptCount val="6"/>
                <c:pt idx="0">
                  <c:v>0.10089686098654709</c:v>
                </c:pt>
                <c:pt idx="2">
                  <c:v>0.11069651741293532</c:v>
                </c:pt>
                <c:pt idx="4">
                  <c:v>0.16500000000000001</c:v>
                </c:pt>
              </c:numCache>
            </c:numRef>
          </c:val>
        </c:ser>
        <c:dLbls>
          <c:showLegendKey val="0"/>
          <c:showVal val="0"/>
          <c:showCatName val="0"/>
          <c:showSerName val="0"/>
          <c:showPercent val="0"/>
          <c:showBubbleSize val="0"/>
        </c:dLbls>
        <c:gapWidth val="42"/>
        <c:axId val="102779904"/>
        <c:axId val="102789888"/>
      </c:barChart>
      <c:catAx>
        <c:axId val="102779904"/>
        <c:scaling>
          <c:orientation val="minMax"/>
        </c:scaling>
        <c:delete val="0"/>
        <c:axPos val="b"/>
        <c:numFmt formatCode="General" sourceLinked="1"/>
        <c:majorTickMark val="out"/>
        <c:minorTickMark val="none"/>
        <c:tickLblPos val="nextTo"/>
        <c:spPr>
          <a:ln w="3175">
            <a:solidFill>
              <a:srgbClr val="333333"/>
            </a:solidFill>
            <a:prstDash val="solid"/>
          </a:ln>
        </c:spPr>
        <c:txPr>
          <a:bodyPr rot="0" vert="horz"/>
          <a:lstStyle/>
          <a:p>
            <a:pPr>
              <a:defRPr/>
            </a:pPr>
            <a:endParaRPr lang="en-US"/>
          </a:p>
        </c:txPr>
        <c:crossAx val="102789888"/>
        <c:crosses val="autoZero"/>
        <c:auto val="1"/>
        <c:lblAlgn val="ctr"/>
        <c:lblOffset val="100"/>
        <c:tickLblSkip val="2"/>
        <c:tickMarkSkip val="1"/>
        <c:noMultiLvlLbl val="0"/>
      </c:catAx>
      <c:valAx>
        <c:axId val="102789888"/>
        <c:scaling>
          <c:orientation val="minMax"/>
          <c:min val="0"/>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a:pPr>
            <a:endParaRPr lang="en-US"/>
          </a:p>
        </c:txPr>
        <c:crossAx val="102779904"/>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950" b="0" i="0" u="none" strike="noStrike" baseline="0">
          <a:solidFill>
            <a:srgbClr val="000000"/>
          </a:solidFill>
          <a:latin typeface="Calibri" pitchFamily="34" charset="0"/>
          <a:ea typeface="Calibri"/>
          <a:cs typeface="Calibri" pitchFamily="34" charset="0"/>
        </a:defRPr>
      </a:pPr>
      <a:endParaRPr lang="en-US"/>
    </a:p>
  </c:txPr>
  <c:printSettings>
    <c:headerFooter alignWithMargins="0"/>
    <c:pageMargins b="1" l="0.75" r="0.75" t="1" header="0.5" footer="0.5"/>
    <c:pageSetup paperSize="9" orientation="landscape" horizontalDpi="1200" verticalDpi="120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030050291097627E-2"/>
          <c:y val="0.14723527683627008"/>
          <c:w val="0.88762069869921634"/>
          <c:h val="0.65261553844231013"/>
        </c:manualLayout>
      </c:layout>
      <c:lineChart>
        <c:grouping val="standard"/>
        <c:varyColors val="0"/>
        <c:ser>
          <c:idx val="0"/>
          <c:order val="0"/>
          <c:tx>
            <c:strRef>
              <c:f>Profile!$D$83</c:f>
              <c:strCache>
                <c:ptCount val="1"/>
                <c:pt idx="0">
                  <c:v>Kingston Buci</c:v>
                </c:pt>
              </c:strCache>
            </c:strRef>
          </c:tx>
          <c:spPr>
            <a:ln w="31750">
              <a:solidFill>
                <a:schemeClr val="accent3">
                  <a:lumMod val="75000"/>
                </a:schemeClr>
              </a:solidFill>
              <a:prstDash val="solid"/>
            </a:ln>
            <a:effectLst>
              <a:outerShdw blurRad="50800" dist="38100" dir="2700000" algn="tl" rotWithShape="0">
                <a:prstClr val="black">
                  <a:alpha val="40000"/>
                </a:prstClr>
              </a:outerShdw>
            </a:effectLst>
          </c:spPr>
          <c:marker>
            <c:symbol val="diamond"/>
            <c:size val="9"/>
            <c:spPr>
              <a:solidFill>
                <a:schemeClr val="accent3">
                  <a:lumMod val="75000"/>
                </a:schemeClr>
              </a:solidFill>
              <a:ln>
                <a:solidFill>
                  <a:schemeClr val="accent3">
                    <a:lumMod val="75000"/>
                  </a:schemeClr>
                </a:solidFill>
              </a:ln>
              <a:effectLst>
                <a:outerShdw blurRad="50800" dist="38100" dir="2700000" algn="tl" rotWithShape="0">
                  <a:prstClr val="black">
                    <a:alpha val="40000"/>
                  </a:prstClr>
                </a:outerShdw>
              </a:effectLst>
            </c:spPr>
          </c:marker>
          <c:dLbls>
            <c:dLbl>
              <c:idx val="9"/>
              <c:layout/>
              <c:showLegendKey val="0"/>
              <c:showVal val="1"/>
              <c:showCatName val="0"/>
              <c:showSerName val="0"/>
              <c:showPercent val="0"/>
              <c:showBubbleSize val="0"/>
            </c:dLbl>
            <c:showLegendKey val="0"/>
            <c:showVal val="0"/>
            <c:showCatName val="0"/>
            <c:showSerName val="0"/>
            <c:showPercent val="0"/>
            <c:showBubbleSize val="0"/>
          </c:dLbls>
          <c:cat>
            <c:strRef>
              <c:f>Profile!$A$85:$C$94</c:f>
              <c:strCache>
                <c:ptCount val="10"/>
                <c:pt idx="0">
                  <c:v>Under 5 (2004)</c:v>
                </c:pt>
                <c:pt idx="1">
                  <c:v>Under 5 (2005)</c:v>
                </c:pt>
                <c:pt idx="2">
                  <c:v>Under 5 (2006)</c:v>
                </c:pt>
                <c:pt idx="3">
                  <c:v>Under 5 (2007)</c:v>
                </c:pt>
                <c:pt idx="4">
                  <c:v>Under 5 (2008)</c:v>
                </c:pt>
                <c:pt idx="5">
                  <c:v>Under 5 (2009)</c:v>
                </c:pt>
                <c:pt idx="6">
                  <c:v>Under 5 (2010)</c:v>
                </c:pt>
                <c:pt idx="7">
                  <c:v>Under 5 (2011)</c:v>
                </c:pt>
                <c:pt idx="8">
                  <c:v>Under 5 (2012)</c:v>
                </c:pt>
                <c:pt idx="9">
                  <c:v>Under 5 (2013)</c:v>
                </c:pt>
              </c:strCache>
            </c:strRef>
          </c:cat>
          <c:val>
            <c:numRef>
              <c:f>Profile!$D$85:$D$94</c:f>
              <c:numCache>
                <c:formatCode>#,##0</c:formatCode>
                <c:ptCount val="10"/>
                <c:pt idx="0">
                  <c:v>770</c:v>
                </c:pt>
                <c:pt idx="1">
                  <c:v>775</c:v>
                </c:pt>
                <c:pt idx="2">
                  <c:v>805</c:v>
                </c:pt>
                <c:pt idx="3">
                  <c:v>800</c:v>
                </c:pt>
                <c:pt idx="4">
                  <c:v>830</c:v>
                </c:pt>
                <c:pt idx="5">
                  <c:v>815</c:v>
                </c:pt>
                <c:pt idx="6">
                  <c:v>860</c:v>
                </c:pt>
                <c:pt idx="7">
                  <c:v>905</c:v>
                </c:pt>
                <c:pt idx="8">
                  <c:v>945</c:v>
                </c:pt>
                <c:pt idx="9">
                  <c:v>990</c:v>
                </c:pt>
              </c:numCache>
            </c:numRef>
          </c:val>
          <c:smooth val="0"/>
        </c:ser>
        <c:ser>
          <c:idx val="2"/>
          <c:order val="1"/>
          <c:tx>
            <c:strRef>
              <c:f>Profile!$F$83</c:f>
              <c:strCache>
                <c:ptCount val="1"/>
                <c:pt idx="0">
                  <c:v>Stepping Stones</c:v>
                </c:pt>
              </c:strCache>
            </c:strRef>
          </c:tx>
          <c:spPr>
            <a:ln w="31750">
              <a:solidFill>
                <a:schemeClr val="accent1"/>
              </a:solidFill>
              <a:prstDash val="solid"/>
            </a:ln>
            <a:effectLst>
              <a:outerShdw blurRad="50800" dist="38100" dir="2700000" algn="tl" rotWithShape="0">
                <a:prstClr val="black">
                  <a:alpha val="40000"/>
                </a:prstClr>
              </a:outerShdw>
            </a:effectLst>
          </c:spPr>
          <c:marker>
            <c:symbol val="triangle"/>
            <c:size val="9"/>
            <c:spPr>
              <a:solidFill>
                <a:schemeClr val="accent1"/>
              </a:solidFill>
              <a:ln>
                <a:solidFill>
                  <a:schemeClr val="accent1"/>
                </a:solidFill>
              </a:ln>
              <a:effectLst>
                <a:outerShdw blurRad="50800" dist="38100" dir="2700000" algn="tl" rotWithShape="0">
                  <a:prstClr val="black">
                    <a:alpha val="40000"/>
                  </a:prstClr>
                </a:outerShdw>
              </a:effectLst>
            </c:spPr>
          </c:marker>
          <c:dLbls>
            <c:dLbl>
              <c:idx val="9"/>
              <c:layout/>
              <c:showLegendKey val="0"/>
              <c:showVal val="1"/>
              <c:showCatName val="0"/>
              <c:showSerName val="0"/>
              <c:showPercent val="0"/>
              <c:showBubbleSize val="0"/>
            </c:dLbl>
            <c:showLegendKey val="0"/>
            <c:showVal val="0"/>
            <c:showCatName val="0"/>
            <c:showSerName val="0"/>
            <c:showPercent val="0"/>
            <c:showBubbleSize val="0"/>
          </c:dLbls>
          <c:cat>
            <c:strRef>
              <c:f>Profile!$A$85:$C$94</c:f>
              <c:strCache>
                <c:ptCount val="10"/>
                <c:pt idx="0">
                  <c:v>Under 5 (2004)</c:v>
                </c:pt>
                <c:pt idx="1">
                  <c:v>Under 5 (2005)</c:v>
                </c:pt>
                <c:pt idx="2">
                  <c:v>Under 5 (2006)</c:v>
                </c:pt>
                <c:pt idx="3">
                  <c:v>Under 5 (2007)</c:v>
                </c:pt>
                <c:pt idx="4">
                  <c:v>Under 5 (2008)</c:v>
                </c:pt>
                <c:pt idx="5">
                  <c:v>Under 5 (2009)</c:v>
                </c:pt>
                <c:pt idx="6">
                  <c:v>Under 5 (2010)</c:v>
                </c:pt>
                <c:pt idx="7">
                  <c:v>Under 5 (2011)</c:v>
                </c:pt>
                <c:pt idx="8">
                  <c:v>Under 5 (2012)</c:v>
                </c:pt>
                <c:pt idx="9">
                  <c:v>Under 5 (2013)</c:v>
                </c:pt>
              </c:strCache>
            </c:strRef>
          </c:cat>
          <c:val>
            <c:numRef>
              <c:f>Profile!$F$85:$F$94</c:f>
              <c:numCache>
                <c:formatCode>#,##0</c:formatCode>
                <c:ptCount val="10"/>
                <c:pt idx="0">
                  <c:v>700</c:v>
                </c:pt>
                <c:pt idx="1">
                  <c:v>680</c:v>
                </c:pt>
                <c:pt idx="2">
                  <c:v>705</c:v>
                </c:pt>
                <c:pt idx="3">
                  <c:v>710</c:v>
                </c:pt>
                <c:pt idx="4">
                  <c:v>735</c:v>
                </c:pt>
                <c:pt idx="5">
                  <c:v>775</c:v>
                </c:pt>
                <c:pt idx="6">
                  <c:v>775</c:v>
                </c:pt>
                <c:pt idx="7">
                  <c:v>805</c:v>
                </c:pt>
                <c:pt idx="8">
                  <c:v>825</c:v>
                </c:pt>
                <c:pt idx="9">
                  <c:v>830</c:v>
                </c:pt>
              </c:numCache>
            </c:numRef>
          </c:val>
          <c:smooth val="0"/>
        </c:ser>
        <c:dLbls>
          <c:showLegendKey val="0"/>
          <c:showVal val="0"/>
          <c:showCatName val="0"/>
          <c:showSerName val="0"/>
          <c:showPercent val="0"/>
          <c:showBubbleSize val="0"/>
        </c:dLbls>
        <c:marker val="1"/>
        <c:smooth val="0"/>
        <c:axId val="102824192"/>
        <c:axId val="104542208"/>
      </c:lineChart>
      <c:catAx>
        <c:axId val="102824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Gill Sans MT" pitchFamily="34" charset="0"/>
                <a:ea typeface="Calibri"/>
                <a:cs typeface="Calibri"/>
              </a:defRPr>
            </a:pPr>
            <a:endParaRPr lang="en-US"/>
          </a:p>
        </c:txPr>
        <c:crossAx val="104542208"/>
        <c:crosses val="autoZero"/>
        <c:auto val="1"/>
        <c:lblAlgn val="ctr"/>
        <c:lblOffset val="100"/>
        <c:noMultiLvlLbl val="0"/>
      </c:catAx>
      <c:valAx>
        <c:axId val="104542208"/>
        <c:scaling>
          <c:orientation val="minMax"/>
          <c:min val="0"/>
        </c:scaling>
        <c:delete val="0"/>
        <c:axPos val="l"/>
        <c:majorGridlines>
          <c:spPr>
            <a:ln w="3175">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Gill Sans MT" pitchFamily="34" charset="0"/>
                <a:ea typeface="Calibri"/>
                <a:cs typeface="Calibri"/>
              </a:defRPr>
            </a:pPr>
            <a:endParaRPr lang="en-US"/>
          </a:p>
        </c:txPr>
        <c:crossAx val="102824192"/>
        <c:crosses val="autoZero"/>
        <c:crossBetween val="between"/>
      </c:valAx>
      <c:spPr>
        <a:noFill/>
        <a:ln w="25400">
          <a:noFill/>
        </a:ln>
      </c:spPr>
    </c:plotArea>
    <c:legend>
      <c:legendPos val="r"/>
      <c:layout>
        <c:manualLayout>
          <c:xMode val="edge"/>
          <c:yMode val="edge"/>
          <c:x val="2.2189365140016196E-2"/>
          <c:y val="1.808791805678529E-2"/>
          <c:w val="0.86473307630721874"/>
          <c:h val="9.8948814428171994E-2"/>
        </c:manualLayout>
      </c:layout>
      <c:overlay val="0"/>
      <c:spPr>
        <a:solidFill>
          <a:srgbClr val="FFFFFF"/>
        </a:solidFill>
        <a:ln w="25400">
          <a:noFill/>
        </a:ln>
      </c:spPr>
      <c:txPr>
        <a:bodyPr/>
        <a:lstStyle/>
        <a:p>
          <a:pPr>
            <a:defRPr sz="800" b="0" i="0" u="none" strike="noStrike" baseline="0">
              <a:solidFill>
                <a:srgbClr val="000000"/>
              </a:solidFill>
              <a:latin typeface="Gill Sans MT" pitchFamily="34" charset="0"/>
              <a:ea typeface="Calibri"/>
              <a:cs typeface="Calibri"/>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paperSize="9" orientation="landscape" horizontalDpi="200" verticalDpi="20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536766024358956"/>
          <c:y val="0.14953316519776211"/>
          <c:w val="0.64971930647319276"/>
          <c:h val="0.71651308323927676"/>
        </c:manualLayout>
      </c:layout>
      <c:pieChart>
        <c:varyColors val="1"/>
        <c:ser>
          <c:idx val="0"/>
          <c:order val="0"/>
          <c:spPr>
            <a:ln w="12700">
              <a:solidFill>
                <a:srgbClr val="000000"/>
              </a:solidFill>
              <a:prstDash val="solid"/>
            </a:ln>
          </c:spPr>
          <c:dPt>
            <c:idx val="0"/>
            <c:bubble3D val="0"/>
            <c:spPr>
              <a:solidFill>
                <a:schemeClr val="accent1"/>
              </a:solidFill>
              <a:ln w="12700">
                <a:solidFill>
                  <a:srgbClr val="FFFFFF"/>
                </a:solidFill>
                <a:prstDash val="solid"/>
              </a:ln>
            </c:spPr>
          </c:dPt>
          <c:dPt>
            <c:idx val="1"/>
            <c:bubble3D val="0"/>
            <c:spPr>
              <a:solidFill>
                <a:schemeClr val="accent6"/>
              </a:solidFill>
              <a:ln w="25400">
                <a:solidFill>
                  <a:srgbClr val="FFFFFF"/>
                </a:solidFill>
                <a:prstDash val="solid"/>
              </a:ln>
            </c:spPr>
          </c:dPt>
          <c:dPt>
            <c:idx val="2"/>
            <c:bubble3D val="0"/>
            <c:spPr>
              <a:solidFill>
                <a:schemeClr val="accent3"/>
              </a:solidFill>
              <a:ln w="25400">
                <a:solidFill>
                  <a:srgbClr val="FFFFFF"/>
                </a:solidFill>
                <a:prstDash val="solid"/>
              </a:ln>
            </c:spPr>
          </c:dPt>
          <c:dPt>
            <c:idx val="3"/>
            <c:bubble3D val="0"/>
            <c:spPr>
              <a:solidFill>
                <a:schemeClr val="accent3">
                  <a:lumMod val="60000"/>
                  <a:lumOff val="40000"/>
                </a:schemeClr>
              </a:solidFill>
              <a:ln w="25400">
                <a:solidFill>
                  <a:srgbClr val="FFFFFF"/>
                </a:solidFill>
                <a:prstDash val="solid"/>
              </a:ln>
            </c:spPr>
          </c:dPt>
          <c:dLbls>
            <c:dLbl>
              <c:idx val="0"/>
              <c:layout>
                <c:manualLayout>
                  <c:x val="1.9406441928881048E-2"/>
                  <c:y val="2.0598321881059756E-2"/>
                </c:manualLayout>
              </c:layout>
              <c:showLegendKey val="0"/>
              <c:showVal val="1"/>
              <c:showCatName val="0"/>
              <c:showSerName val="0"/>
              <c:showPercent val="0"/>
              <c:showBubbleSize val="0"/>
            </c:dLbl>
            <c:dLbl>
              <c:idx val="1"/>
              <c:layout>
                <c:manualLayout>
                  <c:x val="8.9360669440231542E-3"/>
                  <c:y val="-3.4675209296226243E-2"/>
                </c:manualLayout>
              </c:layout>
              <c:dLblPos val="bestFit"/>
              <c:showLegendKey val="0"/>
              <c:showVal val="1"/>
              <c:showCatName val="0"/>
              <c:showSerName val="0"/>
              <c:showPercent val="0"/>
              <c:showBubbleSize val="0"/>
            </c:dLbl>
            <c:dLbl>
              <c:idx val="2"/>
              <c:layout>
                <c:manualLayout>
                  <c:x val="-1.1515318881747632E-3"/>
                  <c:y val="-4.4877640373192036E-2"/>
                </c:manualLayout>
              </c:layout>
              <c:dLblPos val="bestFit"/>
              <c:showLegendKey val="0"/>
              <c:showVal val="1"/>
              <c:showCatName val="0"/>
              <c:showSerName val="0"/>
              <c:showPercent val="0"/>
              <c:showBubbleSize val="0"/>
            </c:dLbl>
            <c:dLbl>
              <c:idx val="3"/>
              <c:layout>
                <c:manualLayout>
                  <c:x val="7.0544131699851562E-2"/>
                  <c:y val="-4.9675415944216011E-2"/>
                </c:manualLayout>
              </c:layout>
              <c:dLblPos val="bestFit"/>
              <c:showLegendKey val="0"/>
              <c:showVal val="1"/>
              <c:showCatName val="0"/>
              <c:showSerName val="0"/>
              <c:showPercent val="0"/>
              <c:showBubbleSize val="0"/>
            </c:dLbl>
            <c:dLbl>
              <c:idx val="4"/>
              <c:layout>
                <c:manualLayout>
                  <c:xMode val="edge"/>
                  <c:yMode val="edge"/>
                  <c:x val="0.51977544517855423"/>
                  <c:y val="4.3613839849347281E-2"/>
                </c:manualLayout>
              </c:layout>
              <c:dLblPos val="bestFit"/>
              <c:showLegendKey val="0"/>
              <c:showVal val="1"/>
              <c:showCatName val="0"/>
              <c:showSerName val="0"/>
              <c:showPercent val="0"/>
              <c:showBubbleSize val="0"/>
            </c:dLbl>
            <c:spPr>
              <a:noFill/>
              <a:ln w="25400">
                <a:noFill/>
              </a:ln>
            </c:spPr>
            <c:txPr>
              <a:bodyPr/>
              <a:lstStyle/>
              <a:p>
                <a:pPr>
                  <a:defRPr sz="1000"/>
                </a:pPr>
                <a:endParaRPr lang="en-US"/>
              </a:p>
            </c:txPr>
            <c:showLegendKey val="0"/>
            <c:showVal val="1"/>
            <c:showCatName val="0"/>
            <c:showSerName val="0"/>
            <c:showPercent val="0"/>
            <c:showBubbleSize val="0"/>
            <c:showLeaderLines val="1"/>
          </c:dLbls>
          <c:val>
            <c:numRef>
              <c:f>Profile!$D$117:$D$119</c:f>
              <c:numCache>
                <c:formatCode>0.0%</c:formatCode>
                <c:ptCount val="3"/>
                <c:pt idx="0">
                  <c:v>0.59975889089813139</c:v>
                </c:pt>
                <c:pt idx="1">
                  <c:v>0.20253164556962025</c:v>
                </c:pt>
                <c:pt idx="2">
                  <c:v>0.19770946353224833</c:v>
                </c:pt>
              </c:numCache>
            </c:numRef>
          </c:val>
        </c:ser>
        <c:ser>
          <c:idx val="1"/>
          <c:order val="1"/>
          <c:spPr>
            <a:solidFill>
              <a:srgbClr val="993366"/>
            </a:solidFill>
            <a:ln w="12700">
              <a:solidFill>
                <a:srgbClr val="000000"/>
              </a:solidFill>
              <a:prstDash val="solid"/>
            </a:ln>
          </c:spPr>
          <c:dPt>
            <c:idx val="0"/>
            <c:bubble3D val="0"/>
            <c:spPr>
              <a:solidFill>
                <a:srgbClr val="9999FF"/>
              </a:solidFill>
              <a:ln w="12700">
                <a:solidFill>
                  <a:srgbClr val="000000"/>
                </a:solidFill>
                <a:prstDash val="solid"/>
              </a:ln>
            </c:spPr>
          </c:dPt>
          <c:dPt>
            <c:idx val="1"/>
            <c:bubble3D val="0"/>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val>
            <c:numRef>
              <c:f>Profile!$E$117:$E$119</c:f>
              <c:numCache>
                <c:formatCode>0.0%</c:formatCode>
                <c:ptCount val="3"/>
              </c:numCache>
            </c:numRef>
          </c:val>
        </c:ser>
        <c:ser>
          <c:idx val="2"/>
          <c:order val="2"/>
          <c:spPr>
            <a:solidFill>
              <a:srgbClr val="FFFFCC"/>
            </a:solidFill>
            <a:ln w="12700">
              <a:solidFill>
                <a:srgbClr val="000000"/>
              </a:solidFill>
              <a:prstDash val="solid"/>
            </a:ln>
          </c:spPr>
          <c:dPt>
            <c:idx val="0"/>
            <c:bubble3D val="0"/>
            <c:spPr>
              <a:solidFill>
                <a:srgbClr val="9999FF"/>
              </a:solidFill>
              <a:ln w="12700">
                <a:solidFill>
                  <a:srgbClr val="000000"/>
                </a:solidFill>
                <a:prstDash val="solid"/>
              </a:ln>
            </c:spPr>
          </c:dPt>
          <c:dPt>
            <c:idx val="1"/>
            <c:bubble3D val="0"/>
            <c:spPr>
              <a:solidFill>
                <a:srgbClr val="993366"/>
              </a:solidFill>
              <a:ln w="12700">
                <a:solidFill>
                  <a:srgbClr val="000000"/>
                </a:solidFill>
                <a:prstDash val="solid"/>
              </a:ln>
            </c:spPr>
          </c:dPt>
          <c:dPt>
            <c:idx val="2"/>
            <c:bubble3D val="0"/>
          </c:dPt>
          <c:dPt>
            <c:idx val="3"/>
            <c:bubble3D val="0"/>
            <c:spPr>
              <a:solidFill>
                <a:srgbClr val="CCFFFF"/>
              </a:solidFill>
              <a:ln w="12700">
                <a:solidFill>
                  <a:srgbClr val="000000"/>
                </a:solidFill>
                <a:prstDash val="solid"/>
              </a:ln>
            </c:spPr>
          </c:dPt>
          <c:val>
            <c:numRef>
              <c:f>Profile!$F$117:$F$119</c:f>
              <c:numCache>
                <c:formatCode>0.0%</c:formatCode>
                <c:ptCount val="3"/>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w="9525">
      <a:noFill/>
    </a:ln>
  </c:spPr>
  <c:txPr>
    <a:bodyPr/>
    <a:lstStyle/>
    <a:p>
      <a:pPr>
        <a:defRPr sz="500" b="0" i="0" u="none" strike="noStrike" baseline="0">
          <a:solidFill>
            <a:srgbClr val="000000"/>
          </a:solidFill>
          <a:latin typeface="+mn-lt"/>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11143695874671"/>
          <c:y val="0.12063529462826955"/>
          <c:w val="0.75075295242396423"/>
          <c:h val="0.7936532541333523"/>
        </c:manualLayout>
      </c:layout>
      <c:pieChart>
        <c:varyColors val="1"/>
        <c:ser>
          <c:idx val="0"/>
          <c:order val="0"/>
          <c:tx>
            <c:strRef>
              <c:f>Profile!$F$115</c:f>
              <c:strCache>
                <c:ptCount val="1"/>
                <c:pt idx="0">
                  <c:v>%</c:v>
                </c:pt>
              </c:strCache>
            </c:strRef>
          </c:tx>
          <c:spPr>
            <a:solidFill>
              <a:srgbClr val="9999FF"/>
            </a:solidFill>
            <a:ln w="12700">
              <a:solidFill>
                <a:srgbClr val="000000"/>
              </a:solidFill>
              <a:prstDash val="solid"/>
            </a:ln>
          </c:spPr>
          <c:dPt>
            <c:idx val="0"/>
            <c:bubble3D val="0"/>
          </c:dPt>
          <c:dPt>
            <c:idx val="1"/>
            <c:bubble3D val="0"/>
            <c:spPr>
              <a:solidFill>
                <a:schemeClr val="accent1"/>
              </a:solidFill>
              <a:ln w="25400">
                <a:solidFill>
                  <a:schemeClr val="bg1"/>
                </a:solidFill>
                <a:prstDash val="solid"/>
              </a:ln>
            </c:spPr>
          </c:dPt>
          <c:dPt>
            <c:idx val="2"/>
            <c:bubble3D val="0"/>
            <c:spPr>
              <a:solidFill>
                <a:schemeClr val="accent6"/>
              </a:solidFill>
              <a:ln w="25400">
                <a:solidFill>
                  <a:srgbClr val="FFFFFF"/>
                </a:solidFill>
                <a:prstDash val="solid"/>
              </a:ln>
            </c:spPr>
          </c:dPt>
          <c:dPt>
            <c:idx val="3"/>
            <c:bubble3D val="0"/>
            <c:spPr>
              <a:solidFill>
                <a:schemeClr val="accent3"/>
              </a:solidFill>
              <a:ln w="25400">
                <a:solidFill>
                  <a:srgbClr val="FFFFFF"/>
                </a:solidFill>
                <a:prstDash val="solid"/>
              </a:ln>
            </c:spPr>
          </c:dPt>
          <c:dPt>
            <c:idx val="4"/>
            <c:bubble3D val="0"/>
            <c:spPr>
              <a:solidFill>
                <a:schemeClr val="accent3">
                  <a:lumMod val="60000"/>
                  <a:lumOff val="40000"/>
                </a:schemeClr>
              </a:solidFill>
              <a:ln w="25400">
                <a:solidFill>
                  <a:srgbClr val="FFFFFF"/>
                </a:solidFill>
                <a:prstDash val="solid"/>
              </a:ln>
            </c:spPr>
          </c:dPt>
          <c:dLbls>
            <c:dLbl>
              <c:idx val="0"/>
              <c:delete val="1"/>
            </c:dLbl>
            <c:dLbl>
              <c:idx val="1"/>
              <c:layout>
                <c:manualLayout>
                  <c:x val="-2.2103537704057059E-2"/>
                  <c:y val="7.0255589804785454E-2"/>
                </c:manualLayout>
              </c:layout>
              <c:dLblPos val="bestFit"/>
              <c:showLegendKey val="0"/>
              <c:showVal val="1"/>
              <c:showCatName val="0"/>
              <c:showSerName val="0"/>
              <c:showPercent val="0"/>
              <c:showBubbleSize val="0"/>
            </c:dLbl>
            <c:dLbl>
              <c:idx val="2"/>
              <c:layout>
                <c:manualLayout>
                  <c:x val="1.8785485642187902E-3"/>
                  <c:y val="-6.7454901470649503E-2"/>
                </c:manualLayout>
              </c:layout>
              <c:dLblPos val="bestFit"/>
              <c:showLegendKey val="0"/>
              <c:showVal val="1"/>
              <c:showCatName val="0"/>
              <c:showSerName val="0"/>
              <c:showPercent val="0"/>
              <c:showBubbleSize val="0"/>
            </c:dLbl>
            <c:dLbl>
              <c:idx val="3"/>
              <c:layout>
                <c:manualLayout>
                  <c:x val="-3.8171817172349132E-2"/>
                  <c:y val="-1.4784984543204002E-2"/>
                </c:manualLayout>
              </c:layout>
              <c:dLblPos val="bestFit"/>
              <c:showLegendKey val="0"/>
              <c:showVal val="1"/>
              <c:showCatName val="0"/>
              <c:showSerName val="0"/>
              <c:showPercent val="0"/>
              <c:showBubbleSize val="0"/>
            </c:dLbl>
            <c:dLbl>
              <c:idx val="4"/>
              <c:layout>
                <c:manualLayout>
                  <c:x val="6.2843524381410776E-2"/>
                  <c:y val="-2.7157272007665708E-2"/>
                </c:manualLayout>
              </c:layout>
              <c:dLblPos val="bestFit"/>
              <c:showLegendKey val="0"/>
              <c:showVal val="1"/>
              <c:showCatName val="0"/>
              <c:showSerName val="0"/>
              <c:showPercent val="0"/>
              <c:showBubbleSize val="0"/>
            </c:dLbl>
            <c:spPr>
              <a:noFill/>
              <a:ln w="25400">
                <a:noFill/>
              </a:ln>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dLbls>
          <c:val>
            <c:numRef>
              <c:f>Profile!$J$116:$J$119</c:f>
              <c:numCache>
                <c:formatCode>0.0%</c:formatCode>
                <c:ptCount val="4"/>
                <c:pt idx="1">
                  <c:v>0.622</c:v>
                </c:pt>
                <c:pt idx="2">
                  <c:v>0.17299999999999999</c:v>
                </c:pt>
                <c:pt idx="3">
                  <c:v>0.20499999999999999</c:v>
                </c:pt>
              </c:numCache>
            </c:numRef>
          </c:val>
        </c:ser>
        <c:ser>
          <c:idx val="1"/>
          <c:order val="1"/>
          <c:tx>
            <c:strRef>
              <c:f>Profile!$A$117</c:f>
              <c:strCache>
                <c:ptCount val="1"/>
                <c:pt idx="0">
                  <c:v>% Owned</c:v>
                </c:pt>
              </c:strCache>
            </c:strRef>
          </c:tx>
          <c:spPr>
            <a:solidFill>
              <a:srgbClr val="993366"/>
            </a:solidFill>
            <a:ln w="12700">
              <a:solidFill>
                <a:srgbClr val="000000"/>
              </a:solidFill>
              <a:prstDash val="solid"/>
            </a:ln>
          </c:spPr>
          <c:dPt>
            <c:idx val="0"/>
            <c:bubble3D val="0"/>
            <c:spPr>
              <a:solidFill>
                <a:srgbClr val="9999FF"/>
              </a:solidFill>
              <a:ln w="12700">
                <a:solidFill>
                  <a:srgbClr val="000000"/>
                </a:solidFill>
                <a:prstDash val="solid"/>
              </a:ln>
            </c:spPr>
          </c:dPt>
          <c:dPt>
            <c:idx val="1"/>
            <c:bubble3D val="0"/>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val>
            <c:numRef>
              <c:f>Profile!$A$118:$A$119</c:f>
              <c:numCache>
                <c:formatCode>General</c:formatCode>
                <c:ptCount val="2"/>
                <c:pt idx="0">
                  <c:v>0</c:v>
                </c:pt>
                <c:pt idx="1">
                  <c:v>0</c:v>
                </c:pt>
              </c:numCache>
            </c:numRef>
          </c:val>
        </c:ser>
        <c:ser>
          <c:idx val="2"/>
          <c:order val="2"/>
          <c:tx>
            <c:strRef>
              <c:f>Profile!$B$117</c:f>
              <c:strCache>
                <c:ptCount val="1"/>
              </c:strCache>
            </c:strRef>
          </c:tx>
          <c:spPr>
            <a:solidFill>
              <a:srgbClr val="FFFFCC"/>
            </a:solidFill>
            <a:ln w="12700">
              <a:solidFill>
                <a:srgbClr val="000000"/>
              </a:solidFill>
              <a:prstDash val="solid"/>
            </a:ln>
          </c:spPr>
          <c:dPt>
            <c:idx val="0"/>
            <c:bubble3D val="0"/>
            <c:spPr>
              <a:solidFill>
                <a:srgbClr val="9999FF"/>
              </a:solidFill>
              <a:ln w="12700">
                <a:solidFill>
                  <a:srgbClr val="000000"/>
                </a:solidFill>
                <a:prstDash val="solid"/>
              </a:ln>
            </c:spPr>
          </c:dPt>
          <c:dPt>
            <c:idx val="1"/>
            <c:bubble3D val="0"/>
            <c:spPr>
              <a:solidFill>
                <a:srgbClr val="993366"/>
              </a:solidFill>
              <a:ln w="12700">
                <a:solidFill>
                  <a:srgbClr val="000000"/>
                </a:solidFill>
                <a:prstDash val="solid"/>
              </a:ln>
            </c:spPr>
          </c:dPt>
          <c:dPt>
            <c:idx val="2"/>
            <c:bubble3D val="0"/>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val>
            <c:numRef>
              <c:f>Profile!$B$118:$B$119</c:f>
              <c:numCache>
                <c:formatCode>General</c:formatCode>
                <c:ptCount val="2"/>
              </c:numCache>
            </c:numRef>
          </c:val>
        </c:ser>
        <c:ser>
          <c:idx val="3"/>
          <c:order val="3"/>
          <c:tx>
            <c:strRef>
              <c:f>Profile!$C$117</c:f>
              <c:strCache>
                <c:ptCount val="1"/>
              </c:strCache>
            </c:strRef>
          </c:tx>
          <c:spPr>
            <a:solidFill>
              <a:srgbClr val="CCFFFF"/>
            </a:solidFill>
            <a:ln w="12700">
              <a:solidFill>
                <a:srgbClr val="000000"/>
              </a:solidFill>
              <a:prstDash val="solid"/>
            </a:ln>
          </c:spPr>
          <c:dPt>
            <c:idx val="0"/>
            <c:bubble3D val="0"/>
            <c:spPr>
              <a:solidFill>
                <a:srgbClr val="9999FF"/>
              </a:solidFill>
              <a:ln w="12700">
                <a:solidFill>
                  <a:srgbClr val="000000"/>
                </a:solidFill>
                <a:prstDash val="solid"/>
              </a:ln>
            </c:spPr>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dPt>
          <c:dPt>
            <c:idx val="4"/>
            <c:bubble3D val="0"/>
            <c:spPr>
              <a:solidFill>
                <a:srgbClr val="660066"/>
              </a:solidFill>
              <a:ln w="12700">
                <a:solidFill>
                  <a:srgbClr val="000000"/>
                </a:solidFill>
                <a:prstDash val="solid"/>
              </a:ln>
            </c:spPr>
          </c:dPt>
          <c:val>
            <c:numRef>
              <c:f>Profile!$C$118:$C$119</c:f>
              <c:numCache>
                <c:formatCode>General</c:formatCode>
                <c:ptCount val="2"/>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9525">
      <a:noFill/>
    </a:ln>
  </c:spPr>
  <c:txPr>
    <a:bodyPr/>
    <a:lstStyle/>
    <a:p>
      <a:pPr>
        <a:defRPr sz="1050"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 b="0" i="0" u="none" strike="noStrike" baseline="0">
                <a:solidFill>
                  <a:srgbClr val="000000"/>
                </a:solidFill>
                <a:latin typeface="Verdana"/>
                <a:ea typeface="Verdana"/>
                <a:cs typeface="Verdana"/>
              </a:defRPr>
            </a:pPr>
            <a:r>
              <a:rPr lang="en-GB" sz="150" b="1" i="0" u="none" strike="noStrike" baseline="0">
                <a:solidFill>
                  <a:srgbClr val="000000"/>
                </a:solidFill>
                <a:latin typeface="Calibri"/>
                <a:cs typeface="Calibri"/>
              </a:rPr>
              <a:t>RECEPTION PUPILS</a:t>
            </a:r>
            <a:r>
              <a:rPr lang="en-GB" sz="150" b="0" i="0" u="none" strike="noStrike" baseline="0">
                <a:solidFill>
                  <a:srgbClr val="000000"/>
                </a:solidFill>
                <a:latin typeface="Calibri"/>
                <a:cs typeface="Calibri"/>
              </a:rPr>
              <a:t> - % Measured Obese</a:t>
            </a:r>
          </a:p>
        </c:rich>
      </c:tx>
      <c:overlay val="0"/>
      <c:spPr>
        <a:noFill/>
        <a:ln w="25400">
          <a:noFill/>
        </a:ln>
      </c:spPr>
    </c:title>
    <c:autoTitleDeleted val="0"/>
    <c:plotArea>
      <c:layout/>
      <c:barChart>
        <c:barDir val="col"/>
        <c:grouping val="clustered"/>
        <c:varyColors val="0"/>
        <c:ser>
          <c:idx val="0"/>
          <c:order val="0"/>
          <c:tx>
            <c:strRef>
              <c:f>Profile!#REF!</c:f>
              <c:strCache>
                <c:ptCount val="1"/>
                <c:pt idx="0">
                  <c:v>#REF!</c:v>
                </c:pt>
              </c:strCache>
            </c:strRef>
          </c:tx>
          <c:spPr>
            <a:solidFill>
              <a:srgbClr val="99CC00"/>
            </a:solidFill>
            <a:ln w="25400">
              <a:solidFill>
                <a:srgbClr val="FFFFFF"/>
              </a:solidFill>
              <a:prstDash val="solid"/>
            </a:ln>
          </c:spPr>
          <c:invertIfNegative val="0"/>
          <c:dLbls>
            <c:spPr>
              <a:noFill/>
              <a:ln w="25400">
                <a:noFill/>
              </a:ln>
            </c:spPr>
            <c:txPr>
              <a:bodyPr rot="-5400000" vert="horz"/>
              <a:lstStyle/>
              <a:p>
                <a:pPr algn="ctr">
                  <a:defRPr sz="125"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errBars>
            <c:errBarType val="both"/>
            <c:errValType val="cust"/>
            <c:noEndCap val="0"/>
            <c:plus>
              <c:numRef>
                <c:f>Profile!#REF!</c:f>
                <c:numCache>
                  <c:formatCode>General</c:formatCode>
                  <c:ptCount val="1"/>
                  <c:pt idx="0">
                    <c:v>2</c:v>
                  </c:pt>
                </c:numCache>
              </c:numRef>
            </c:plus>
            <c:minus>
              <c:numRef>
                <c:f>Profile!#REF!</c:f>
                <c:numCache>
                  <c:formatCode>General</c:formatCode>
                  <c:ptCount val="1"/>
                  <c:pt idx="0">
                    <c:v>0</c:v>
                  </c:pt>
                </c:numCache>
              </c:numRef>
            </c:minus>
            <c:spPr>
              <a:ln w="12700">
                <a:solidFill>
                  <a:srgbClr val="969696"/>
                </a:solidFill>
                <a:prstDash val="solid"/>
              </a:ln>
            </c:spPr>
          </c:errBars>
          <c:cat>
            <c:numRef>
              <c:f>Profile!#REF!</c:f>
              <c:numCache>
                <c:formatCode>General</c:formatCode>
                <c:ptCount val="1"/>
                <c:pt idx="0">
                  <c:v>1</c:v>
                </c:pt>
              </c:numCache>
            </c:numRef>
          </c:cat>
          <c:val>
            <c:numRef>
              <c:f>Profile!#REF!</c:f>
              <c:numCache>
                <c:formatCode>General</c:formatCode>
                <c:ptCount val="1"/>
                <c:pt idx="0">
                  <c:v>1</c:v>
                </c:pt>
              </c:numCache>
            </c:numRef>
          </c:val>
        </c:ser>
        <c:ser>
          <c:idx val="1"/>
          <c:order val="1"/>
          <c:tx>
            <c:strRef>
              <c:f>Profile!#REF!</c:f>
              <c:strCache>
                <c:ptCount val="1"/>
                <c:pt idx="0">
                  <c:v>#REF!</c:v>
                </c:pt>
              </c:strCache>
            </c:strRef>
          </c:tx>
          <c:spPr>
            <a:solidFill>
              <a:srgbClr val="969696"/>
            </a:solidFill>
            <a:ln w="25400">
              <a:solidFill>
                <a:srgbClr val="FFFFFF"/>
              </a:solidFill>
              <a:prstDash val="solid"/>
            </a:ln>
          </c:spPr>
          <c:invertIfNegative val="0"/>
          <c:dLbls>
            <c:spPr>
              <a:noFill/>
              <a:ln w="25400">
                <a:noFill/>
              </a:ln>
            </c:spPr>
            <c:txPr>
              <a:bodyPr rot="-5400000" vert="horz"/>
              <a:lstStyle/>
              <a:p>
                <a:pPr algn="ctr">
                  <a:defRPr sz="125"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errBars>
            <c:errBarType val="both"/>
            <c:errValType val="cust"/>
            <c:noEndCap val="0"/>
            <c:plus>
              <c:numRef>
                <c:f>Profile!#REF!</c:f>
                <c:numCache>
                  <c:formatCode>General</c:formatCode>
                  <c:ptCount val="1"/>
                  <c:pt idx="0">
                    <c:v>2</c:v>
                  </c:pt>
                </c:numCache>
              </c:numRef>
            </c:plus>
            <c:minus>
              <c:numRef>
                <c:f>Profile!#REF!</c:f>
                <c:numCache>
                  <c:formatCode>General</c:formatCode>
                  <c:ptCount val="1"/>
                  <c:pt idx="0">
                    <c:v>0</c:v>
                  </c:pt>
                </c:numCache>
              </c:numRef>
            </c:minus>
            <c:spPr>
              <a:ln w="12700">
                <a:solidFill>
                  <a:srgbClr val="808080"/>
                </a:solidFill>
                <a:prstDash val="solid"/>
              </a:ln>
            </c:spPr>
          </c:errBars>
          <c:cat>
            <c:numRef>
              <c:f>Profile!#REF!</c:f>
              <c:numCache>
                <c:formatCode>General</c:formatCode>
                <c:ptCount val="1"/>
                <c:pt idx="0">
                  <c:v>1</c:v>
                </c:pt>
              </c:numCache>
            </c:numRef>
          </c:cat>
          <c:val>
            <c:numRef>
              <c:f>Profile!#REF!</c:f>
              <c:numCache>
                <c:formatCode>General</c:formatCode>
                <c:ptCount val="1"/>
                <c:pt idx="0">
                  <c:v>1</c:v>
                </c:pt>
              </c:numCache>
            </c:numRef>
          </c:val>
        </c:ser>
        <c:dLbls>
          <c:showLegendKey val="0"/>
          <c:showVal val="0"/>
          <c:showCatName val="0"/>
          <c:showSerName val="0"/>
          <c:showPercent val="0"/>
          <c:showBubbleSize val="0"/>
        </c:dLbls>
        <c:gapWidth val="150"/>
        <c:axId val="104866560"/>
        <c:axId val="104868096"/>
      </c:barChart>
      <c:catAx>
        <c:axId val="104866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Calibri"/>
                <a:ea typeface="Calibri"/>
                <a:cs typeface="Calibri"/>
              </a:defRPr>
            </a:pPr>
            <a:endParaRPr lang="en-US"/>
          </a:p>
        </c:txPr>
        <c:crossAx val="104868096"/>
        <c:crosses val="autoZero"/>
        <c:auto val="1"/>
        <c:lblAlgn val="ctr"/>
        <c:lblOffset val="100"/>
        <c:tickLblSkip val="1"/>
        <c:tickMarkSkip val="1"/>
        <c:noMultiLvlLbl val="0"/>
      </c:catAx>
      <c:valAx>
        <c:axId val="104868096"/>
        <c:scaling>
          <c:orientation val="minMax"/>
          <c:max val="0.255"/>
          <c:min val="0"/>
        </c:scaling>
        <c:delete val="0"/>
        <c:axPos val="l"/>
        <c:majorGridlines>
          <c:spPr>
            <a:ln w="3175">
              <a:solidFill>
                <a:srgbClr val="96969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Calibri"/>
                <a:ea typeface="Calibri"/>
                <a:cs typeface="Calibri"/>
              </a:defRPr>
            </a:pPr>
            <a:endParaRPr lang="en-US"/>
          </a:p>
        </c:txPr>
        <c:crossAx val="104866560"/>
        <c:crosses val="autoZero"/>
        <c:crossBetween val="between"/>
        <c:majorUnit val="0.05"/>
      </c:valAx>
      <c:spPr>
        <a:noFill/>
        <a:ln w="25400">
          <a:noFill/>
        </a:ln>
      </c:spPr>
    </c:plotArea>
    <c:legend>
      <c:legendPos val="r"/>
      <c:overlay val="0"/>
      <c:spPr>
        <a:solidFill>
          <a:srgbClr val="FFFFFF"/>
        </a:solidFill>
        <a:ln w="25400">
          <a:noFill/>
        </a:ln>
      </c:spPr>
      <c:txPr>
        <a:bodyPr/>
        <a:lstStyle/>
        <a:p>
          <a:pPr>
            <a:defRPr sz="925"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Verdana"/>
          <a:ea typeface="Verdana"/>
          <a:cs typeface="Verdana"/>
        </a:defRPr>
      </a:pPr>
      <a:endParaRPr lang="en-US"/>
    </a:p>
  </c:txPr>
  <c:printSettings>
    <c:headerFooter alignWithMargins="0"/>
    <c:pageMargins b="1" l="0.75" r="0.75" t="1" header="0.5" footer="0.5"/>
    <c:pageSetup paperSize="9"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00" b="0" i="0" u="none" strike="noStrike" baseline="0">
                <a:solidFill>
                  <a:srgbClr val="000000"/>
                </a:solidFill>
                <a:latin typeface="Calibri"/>
                <a:ea typeface="Calibri"/>
                <a:cs typeface="Calibri"/>
              </a:defRPr>
            </a:pPr>
            <a:r>
              <a:rPr lang="en-GB" sz="150" b="1" i="0" u="none" strike="noStrike" baseline="0">
                <a:solidFill>
                  <a:srgbClr val="000000"/>
                </a:solidFill>
                <a:latin typeface="Calibri"/>
                <a:cs typeface="Calibri"/>
              </a:rPr>
              <a:t>YEAR 6 PUPILS - </a:t>
            </a:r>
            <a:r>
              <a:rPr lang="en-GB" sz="150" b="0" i="0" u="none" strike="noStrike" baseline="0">
                <a:solidFill>
                  <a:srgbClr val="000000"/>
                </a:solidFill>
                <a:latin typeface="Calibri"/>
                <a:cs typeface="Calibri"/>
              </a:rPr>
              <a:t>% Measured Obese</a:t>
            </a:r>
          </a:p>
        </c:rich>
      </c:tx>
      <c:overlay val="0"/>
      <c:spPr>
        <a:noFill/>
        <a:ln w="25400">
          <a:noFill/>
        </a:ln>
      </c:spPr>
    </c:title>
    <c:autoTitleDeleted val="0"/>
    <c:plotArea>
      <c:layout/>
      <c:barChart>
        <c:barDir val="col"/>
        <c:grouping val="clustered"/>
        <c:varyColors val="0"/>
        <c:ser>
          <c:idx val="0"/>
          <c:order val="0"/>
          <c:tx>
            <c:strRef>
              <c:f>Profile!#REF!</c:f>
              <c:strCache>
                <c:ptCount val="1"/>
                <c:pt idx="0">
                  <c:v>#REF!</c:v>
                </c:pt>
              </c:strCache>
            </c:strRef>
          </c:tx>
          <c:spPr>
            <a:solidFill>
              <a:srgbClr val="99CC00"/>
            </a:solidFill>
            <a:ln w="25400">
              <a:solidFill>
                <a:srgbClr val="FFFFFF"/>
              </a:solidFill>
              <a:prstDash val="solid"/>
            </a:ln>
          </c:spPr>
          <c:invertIfNegative val="0"/>
          <c:dLbls>
            <c:spPr>
              <a:noFill/>
              <a:ln w="25400">
                <a:noFill/>
              </a:ln>
            </c:spPr>
            <c:txPr>
              <a:bodyPr rot="-5400000" vert="horz"/>
              <a:lstStyle/>
              <a:p>
                <a:pPr algn="ctr">
                  <a:defRPr sz="125"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errBars>
            <c:errBarType val="both"/>
            <c:errValType val="cust"/>
            <c:noEndCap val="0"/>
            <c:plus>
              <c:numRef>
                <c:f>Profile!#REF!</c:f>
                <c:numCache>
                  <c:formatCode>General</c:formatCode>
                  <c:ptCount val="1"/>
                  <c:pt idx="0">
                    <c:v>2</c:v>
                  </c:pt>
                </c:numCache>
              </c:numRef>
            </c:plus>
            <c:minus>
              <c:numRef>
                <c:f>Profile!#REF!</c:f>
                <c:numCache>
                  <c:formatCode>General</c:formatCode>
                  <c:ptCount val="1"/>
                  <c:pt idx="0">
                    <c:v>0</c:v>
                  </c:pt>
                </c:numCache>
              </c:numRef>
            </c:minus>
            <c:spPr>
              <a:ln w="12700">
                <a:solidFill>
                  <a:srgbClr val="808080"/>
                </a:solidFill>
                <a:prstDash val="solid"/>
              </a:ln>
            </c:spPr>
          </c:errBars>
          <c:cat>
            <c:numRef>
              <c:f>Profile!#REF!</c:f>
              <c:numCache>
                <c:formatCode>General</c:formatCode>
                <c:ptCount val="1"/>
                <c:pt idx="0">
                  <c:v>1</c:v>
                </c:pt>
              </c:numCache>
            </c:numRef>
          </c:cat>
          <c:val>
            <c:numRef>
              <c:f>Profile!#REF!</c:f>
              <c:numCache>
                <c:formatCode>General</c:formatCode>
                <c:ptCount val="1"/>
                <c:pt idx="0">
                  <c:v>1</c:v>
                </c:pt>
              </c:numCache>
            </c:numRef>
          </c:val>
        </c:ser>
        <c:ser>
          <c:idx val="1"/>
          <c:order val="1"/>
          <c:tx>
            <c:strRef>
              <c:f>Profile!#REF!</c:f>
              <c:strCache>
                <c:ptCount val="1"/>
                <c:pt idx="0">
                  <c:v>#REF!</c:v>
                </c:pt>
              </c:strCache>
            </c:strRef>
          </c:tx>
          <c:spPr>
            <a:solidFill>
              <a:srgbClr val="969696"/>
            </a:solidFill>
            <a:ln w="25400">
              <a:solidFill>
                <a:srgbClr val="FFFFFF"/>
              </a:solidFill>
              <a:prstDash val="solid"/>
            </a:ln>
          </c:spPr>
          <c:invertIfNegative val="0"/>
          <c:dLbls>
            <c:spPr>
              <a:noFill/>
              <a:ln w="25400">
                <a:noFill/>
              </a:ln>
            </c:spPr>
            <c:txPr>
              <a:bodyPr rot="-5400000" vert="horz"/>
              <a:lstStyle/>
              <a:p>
                <a:pPr algn="ctr">
                  <a:defRPr sz="1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errBars>
            <c:errBarType val="both"/>
            <c:errValType val="cust"/>
            <c:noEndCap val="0"/>
            <c:plus>
              <c:numRef>
                <c:f>Profile!#REF!</c:f>
                <c:numCache>
                  <c:formatCode>General</c:formatCode>
                  <c:ptCount val="1"/>
                  <c:pt idx="0">
                    <c:v>2</c:v>
                  </c:pt>
                </c:numCache>
              </c:numRef>
            </c:plus>
            <c:minus>
              <c:numRef>
                <c:f>Profile!#REF!</c:f>
                <c:numCache>
                  <c:formatCode>General</c:formatCode>
                  <c:ptCount val="1"/>
                  <c:pt idx="0">
                    <c:v>0</c:v>
                  </c:pt>
                </c:numCache>
              </c:numRef>
            </c:minus>
            <c:spPr>
              <a:ln w="12700">
                <a:solidFill>
                  <a:srgbClr val="808080"/>
                </a:solidFill>
                <a:prstDash val="solid"/>
              </a:ln>
            </c:spPr>
          </c:errBars>
          <c:cat>
            <c:numRef>
              <c:f>Profile!#REF!</c:f>
              <c:numCache>
                <c:formatCode>General</c:formatCode>
                <c:ptCount val="1"/>
                <c:pt idx="0">
                  <c:v>1</c:v>
                </c:pt>
              </c:numCache>
            </c:numRef>
          </c:cat>
          <c:val>
            <c:numRef>
              <c:f>Profile!#REF!</c:f>
              <c:numCache>
                <c:formatCode>General</c:formatCode>
                <c:ptCount val="1"/>
                <c:pt idx="0">
                  <c:v>1</c:v>
                </c:pt>
              </c:numCache>
            </c:numRef>
          </c:val>
        </c:ser>
        <c:dLbls>
          <c:showLegendKey val="0"/>
          <c:showVal val="0"/>
          <c:showCatName val="0"/>
          <c:showSerName val="0"/>
          <c:showPercent val="0"/>
          <c:showBubbleSize val="0"/>
        </c:dLbls>
        <c:gapWidth val="150"/>
        <c:axId val="104923904"/>
        <c:axId val="104925440"/>
      </c:barChart>
      <c:catAx>
        <c:axId val="104923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Calibri"/>
                <a:ea typeface="Calibri"/>
                <a:cs typeface="Calibri"/>
              </a:defRPr>
            </a:pPr>
            <a:endParaRPr lang="en-US"/>
          </a:p>
        </c:txPr>
        <c:crossAx val="104925440"/>
        <c:crosses val="autoZero"/>
        <c:auto val="1"/>
        <c:lblAlgn val="ctr"/>
        <c:lblOffset val="100"/>
        <c:tickLblSkip val="1"/>
        <c:tickMarkSkip val="1"/>
        <c:noMultiLvlLbl val="0"/>
      </c:catAx>
      <c:valAx>
        <c:axId val="104925440"/>
        <c:scaling>
          <c:orientation val="minMax"/>
          <c:max val="0.35799999999999998"/>
          <c:min val="0"/>
        </c:scaling>
        <c:delete val="0"/>
        <c:axPos val="l"/>
        <c:majorGridlines>
          <c:spPr>
            <a:ln w="3175">
              <a:solidFill>
                <a:srgbClr val="96969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Calibri"/>
                <a:ea typeface="Calibri"/>
                <a:cs typeface="Calibri"/>
              </a:defRPr>
            </a:pPr>
            <a:endParaRPr lang="en-US"/>
          </a:p>
        </c:txPr>
        <c:crossAx val="104923904"/>
        <c:crosses val="autoZero"/>
        <c:crossBetween val="between"/>
        <c:majorUnit val="0.05"/>
      </c:valAx>
      <c:spPr>
        <a:noFill/>
        <a:ln w="25400">
          <a:noFill/>
        </a:ln>
      </c:spPr>
    </c:plotArea>
    <c:legend>
      <c:legendPos val="r"/>
      <c:overlay val="0"/>
      <c:spPr>
        <a:solidFill>
          <a:srgbClr val="FFFFFF"/>
        </a:solidFill>
        <a:ln w="25400">
          <a:noFill/>
        </a:ln>
      </c:spPr>
      <c:txPr>
        <a:bodyPr/>
        <a:lstStyle/>
        <a:p>
          <a:pPr>
            <a:defRPr sz="1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paperSize="9"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8518375626209307E-2"/>
          <c:y val="5.5901494456050138E-2"/>
          <c:w val="0.96031114657512939"/>
          <c:h val="0.77488620884414761"/>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Profile!$C$180:$C$185</c:f>
              <c:strCache>
                <c:ptCount val="6"/>
                <c:pt idx="0">
                  <c:v>2005-2007</c:v>
                </c:pt>
                <c:pt idx="1">
                  <c:v>2006-2008</c:v>
                </c:pt>
                <c:pt idx="2">
                  <c:v>2007-2009</c:v>
                </c:pt>
                <c:pt idx="3">
                  <c:v>2008-2010</c:v>
                </c:pt>
                <c:pt idx="4">
                  <c:v>2009-2011</c:v>
                </c:pt>
                <c:pt idx="5">
                  <c:v>2010-2012</c:v>
                </c:pt>
              </c:strCache>
            </c:strRef>
          </c:cat>
          <c:val>
            <c:numRef>
              <c:f>Profile!$B$180:$B$183</c:f>
              <c:numCache>
                <c:formatCode>General</c:formatCode>
                <c:ptCount val="4"/>
              </c:numCache>
            </c:numRef>
          </c:val>
        </c:ser>
        <c:ser>
          <c:idx val="2"/>
          <c:order val="1"/>
          <c:spPr>
            <a:solidFill>
              <a:schemeClr val="accent2">
                <a:lumMod val="60000"/>
                <a:lumOff val="40000"/>
              </a:schemeClr>
            </a:solidFill>
            <a:ln w="25400">
              <a:solidFill>
                <a:srgbClr val="FFFFFF"/>
              </a:solidFill>
              <a:prstDash val="solid"/>
            </a:ln>
          </c:spPr>
          <c:invertIfNegative val="0"/>
          <c:dLbls>
            <c:spPr>
              <a:noFill/>
              <a:ln w="25400">
                <a:noFill/>
              </a:ln>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errBars>
            <c:errBarType val="both"/>
            <c:errValType val="cust"/>
            <c:noEndCap val="0"/>
            <c:plus>
              <c:numRef>
                <c:f>Profile!$F$187:$F$192</c:f>
                <c:numCache>
                  <c:formatCode>General</c:formatCode>
                  <c:ptCount val="6"/>
                  <c:pt idx="0">
                    <c:v>6.904716298407557</c:v>
                  </c:pt>
                  <c:pt idx="1">
                    <c:v>6.5090849519013148</c:v>
                  </c:pt>
                  <c:pt idx="2">
                    <c:v>6.3000000000000043</c:v>
                  </c:pt>
                  <c:pt idx="3">
                    <c:v>6.1000000000000014</c:v>
                  </c:pt>
                  <c:pt idx="4">
                    <c:v>6.6999999999999957</c:v>
                  </c:pt>
                  <c:pt idx="5">
                    <c:v>6.6000000000000014</c:v>
                  </c:pt>
                </c:numCache>
              </c:numRef>
            </c:plus>
            <c:minus>
              <c:numRef>
                <c:f>Profile!$G$187:$G$192</c:f>
                <c:numCache>
                  <c:formatCode>General</c:formatCode>
                  <c:ptCount val="6"/>
                  <c:pt idx="0">
                    <c:v>6.0694889921861481</c:v>
                  </c:pt>
                  <c:pt idx="1">
                    <c:v>5.6793940836304877</c:v>
                  </c:pt>
                  <c:pt idx="2">
                    <c:v>5.2999999999999972</c:v>
                  </c:pt>
                  <c:pt idx="3">
                    <c:v>5.0999999999999979</c:v>
                  </c:pt>
                  <c:pt idx="4">
                    <c:v>5.6000000000000014</c:v>
                  </c:pt>
                  <c:pt idx="5">
                    <c:v>5.4000000000000021</c:v>
                  </c:pt>
                </c:numCache>
              </c:numRef>
            </c:minus>
            <c:spPr>
              <a:solidFill>
                <a:schemeClr val="accent2">
                  <a:lumMod val="60000"/>
                  <a:lumOff val="40000"/>
                </a:schemeClr>
              </a:solidFill>
              <a:ln w="12700">
                <a:solidFill>
                  <a:schemeClr val="tx1"/>
                </a:solidFill>
                <a:prstDash val="solid"/>
              </a:ln>
            </c:spPr>
          </c:errBars>
          <c:cat>
            <c:strRef>
              <c:f>Profile!$C$180:$C$185</c:f>
              <c:strCache>
                <c:ptCount val="6"/>
                <c:pt idx="0">
                  <c:v>2005-2007</c:v>
                </c:pt>
                <c:pt idx="1">
                  <c:v>2006-2008</c:v>
                </c:pt>
                <c:pt idx="2">
                  <c:v>2007-2009</c:v>
                </c:pt>
                <c:pt idx="3">
                  <c:v>2008-2010</c:v>
                </c:pt>
                <c:pt idx="4">
                  <c:v>2009-2011</c:v>
                </c:pt>
                <c:pt idx="5">
                  <c:v>2010-2012</c:v>
                </c:pt>
              </c:strCache>
            </c:strRef>
          </c:cat>
          <c:val>
            <c:numRef>
              <c:f>Profile!$E$180:$E$185</c:f>
              <c:numCache>
                <c:formatCode>0.0</c:formatCode>
                <c:ptCount val="6"/>
                <c:pt idx="0">
                  <c:v>37.299999999999997</c:v>
                </c:pt>
                <c:pt idx="1">
                  <c:v>33.1</c:v>
                </c:pt>
                <c:pt idx="2" formatCode="General">
                  <c:v>32.9</c:v>
                </c:pt>
                <c:pt idx="3" formatCode="General">
                  <c:v>29.9</c:v>
                </c:pt>
                <c:pt idx="4" formatCode="General">
                  <c:v>33.200000000000003</c:v>
                </c:pt>
                <c:pt idx="5" formatCode="General">
                  <c:v>30.6</c:v>
                </c:pt>
              </c:numCache>
            </c:numRef>
          </c:val>
        </c:ser>
        <c:ser>
          <c:idx val="3"/>
          <c:order val="2"/>
          <c:spPr>
            <a:solidFill>
              <a:schemeClr val="accent5">
                <a:lumMod val="75000"/>
              </a:schemeClr>
            </a:solidFill>
            <a:ln w="25400">
              <a:solidFill>
                <a:srgbClr val="FFFFFF"/>
              </a:solidFill>
              <a:prstDash val="solid"/>
            </a:ln>
          </c:spPr>
          <c:invertIfNegative val="0"/>
          <c:dPt>
            <c:idx val="0"/>
            <c:invertIfNegative val="0"/>
            <c:bubble3D val="0"/>
            <c:spPr>
              <a:solidFill>
                <a:schemeClr val="accent5">
                  <a:lumMod val="75000"/>
                </a:schemeClr>
              </a:solidFill>
              <a:ln w="25400">
                <a:solidFill>
                  <a:srgbClr val="FFFFFF"/>
                </a:solidFill>
                <a:prstDash val="solid"/>
              </a:ln>
            </c:spPr>
          </c:dPt>
          <c:dPt>
            <c:idx val="1"/>
            <c:invertIfNegative val="0"/>
            <c:bubble3D val="0"/>
            <c:spPr>
              <a:solidFill>
                <a:schemeClr val="accent5">
                  <a:lumMod val="75000"/>
                </a:schemeClr>
              </a:solidFill>
              <a:ln w="25400">
                <a:solidFill>
                  <a:srgbClr val="FFFFFF"/>
                </a:solidFill>
                <a:prstDash val="solid"/>
              </a:ln>
            </c:spPr>
          </c:dPt>
          <c:dPt>
            <c:idx val="2"/>
            <c:invertIfNegative val="0"/>
            <c:bubble3D val="0"/>
            <c:spPr>
              <a:solidFill>
                <a:schemeClr val="accent5">
                  <a:lumMod val="75000"/>
                </a:schemeClr>
              </a:solidFill>
              <a:ln w="25400">
                <a:solidFill>
                  <a:srgbClr val="FFFFFF"/>
                </a:solidFill>
                <a:prstDash val="solid"/>
              </a:ln>
            </c:spPr>
          </c:dPt>
          <c:dPt>
            <c:idx val="3"/>
            <c:invertIfNegative val="0"/>
            <c:bubble3D val="0"/>
            <c:spPr>
              <a:solidFill>
                <a:schemeClr val="accent5">
                  <a:lumMod val="75000"/>
                </a:schemeClr>
              </a:solidFill>
              <a:ln w="25400">
                <a:solidFill>
                  <a:srgbClr val="FFFFFF"/>
                </a:solidFill>
                <a:prstDash val="solid"/>
              </a:ln>
            </c:spPr>
          </c:dPt>
          <c:dPt>
            <c:idx val="4"/>
            <c:invertIfNegative val="0"/>
            <c:bubble3D val="0"/>
            <c:spPr>
              <a:solidFill>
                <a:schemeClr val="accent5">
                  <a:lumMod val="75000"/>
                </a:schemeClr>
              </a:solidFill>
              <a:ln w="25400">
                <a:solidFill>
                  <a:srgbClr val="FFFFFF"/>
                </a:solidFill>
                <a:prstDash val="solid"/>
              </a:ln>
            </c:spPr>
          </c:dPt>
          <c:dLbls>
            <c:spPr>
              <a:noFill/>
              <a:ln w="25400">
                <a:noFill/>
              </a:ln>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errBars>
            <c:errBarType val="both"/>
            <c:errValType val="cust"/>
            <c:noEndCap val="0"/>
            <c:plus>
              <c:numRef>
                <c:f>Profile!$J$187:$J$192</c:f>
                <c:numCache>
                  <c:formatCode>General</c:formatCode>
                  <c:ptCount val="6"/>
                  <c:pt idx="0">
                    <c:v>1.6980157298673504</c:v>
                  </c:pt>
                  <c:pt idx="1">
                    <c:v>1.6999999999999993</c:v>
                  </c:pt>
                  <c:pt idx="2">
                    <c:v>1.6999999999999993</c:v>
                  </c:pt>
                  <c:pt idx="3">
                    <c:v>1.6999999999999993</c:v>
                  </c:pt>
                  <c:pt idx="4">
                    <c:v>1.6000000000000014</c:v>
                  </c:pt>
                  <c:pt idx="5">
                    <c:v>1.5999999999999979</c:v>
                  </c:pt>
                </c:numCache>
              </c:numRef>
            </c:plus>
            <c:minus>
              <c:numRef>
                <c:f>Profile!$K$187:$K$192</c:f>
                <c:numCache>
                  <c:formatCode>General</c:formatCode>
                  <c:ptCount val="6"/>
                  <c:pt idx="0">
                    <c:v>1.6293088079357965</c:v>
                  </c:pt>
                  <c:pt idx="1">
                    <c:v>1.5999999999999979</c:v>
                  </c:pt>
                  <c:pt idx="2">
                    <c:v>1.6000000000000014</c:v>
                  </c:pt>
                  <c:pt idx="3">
                    <c:v>1.6000000000000014</c:v>
                  </c:pt>
                  <c:pt idx="4">
                    <c:v>1.6000000000000014</c:v>
                  </c:pt>
                  <c:pt idx="5">
                    <c:v>1.4000000000000021</c:v>
                  </c:pt>
                </c:numCache>
              </c:numRef>
            </c:minus>
            <c:spPr>
              <a:ln w="12700">
                <a:solidFill>
                  <a:srgbClr val="000000"/>
                </a:solidFill>
                <a:prstDash val="solid"/>
              </a:ln>
            </c:spPr>
          </c:errBars>
          <c:cat>
            <c:strRef>
              <c:f>Profile!$C$180:$C$185</c:f>
              <c:strCache>
                <c:ptCount val="6"/>
                <c:pt idx="0">
                  <c:v>2005-2007</c:v>
                </c:pt>
                <c:pt idx="1">
                  <c:v>2006-2008</c:v>
                </c:pt>
                <c:pt idx="2">
                  <c:v>2007-2009</c:v>
                </c:pt>
                <c:pt idx="3">
                  <c:v>2008-2010</c:v>
                </c:pt>
                <c:pt idx="4">
                  <c:v>2009-2011</c:v>
                </c:pt>
                <c:pt idx="5">
                  <c:v>2010-2012</c:v>
                </c:pt>
              </c:strCache>
            </c:strRef>
          </c:cat>
          <c:val>
            <c:numRef>
              <c:f>Profile!$I$180:$I$185</c:f>
              <c:numCache>
                <c:formatCode>General</c:formatCode>
                <c:ptCount val="6"/>
                <c:pt idx="0" formatCode="0.0">
                  <c:v>30.196843912419745</c:v>
                </c:pt>
                <c:pt idx="1">
                  <c:v>31.2</c:v>
                </c:pt>
                <c:pt idx="2">
                  <c:v>31.3</c:v>
                </c:pt>
                <c:pt idx="3">
                  <c:v>30.1</c:v>
                </c:pt>
                <c:pt idx="4" formatCode="0.0">
                  <c:v>27</c:v>
                </c:pt>
                <c:pt idx="5">
                  <c:v>24.6</c:v>
                </c:pt>
              </c:numCache>
            </c:numRef>
          </c:val>
        </c:ser>
        <c:ser>
          <c:idx val="4"/>
          <c:order val="3"/>
          <c:spPr>
            <a:solidFill>
              <a:srgbClr val="99CC00"/>
            </a:solidFill>
            <a:ln w="25400">
              <a:solidFill>
                <a:srgbClr val="FFFFFF"/>
              </a:solidFill>
              <a:prstDash val="solid"/>
            </a:ln>
          </c:spPr>
          <c:invertIfNegative val="0"/>
          <c:dLbls>
            <c:spPr>
              <a:noFill/>
              <a:ln w="25400">
                <a:noFill/>
              </a:ln>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errBars>
            <c:errBarType val="both"/>
            <c:errValType val="cust"/>
            <c:noEndCap val="0"/>
            <c:plus>
              <c:numRef>
                <c:f>Profile!$M$187:$M$192</c:f>
                <c:numCache>
                  <c:formatCode>General</c:formatCode>
                  <c:ptCount val="6"/>
                  <c:pt idx="0">
                    <c:v>0.23449041115956959</c:v>
                  </c:pt>
                  <c:pt idx="1">
                    <c:v>0.20000000000000284</c:v>
                  </c:pt>
                  <c:pt idx="2">
                    <c:v>0.19999999999999574</c:v>
                  </c:pt>
                  <c:pt idx="3">
                    <c:v>0.19999999999999574</c:v>
                  </c:pt>
                  <c:pt idx="4">
                    <c:v>0.20000000000000284</c:v>
                  </c:pt>
                  <c:pt idx="5">
                    <c:v>0.20000000000000284</c:v>
                  </c:pt>
                </c:numCache>
              </c:numRef>
            </c:plus>
            <c:minus>
              <c:numRef>
                <c:f>Profile!$N$187:$N$192</c:f>
                <c:numCache>
                  <c:formatCode>General</c:formatCode>
                  <c:ptCount val="6"/>
                  <c:pt idx="0">
                    <c:v>0.23348965458722404</c:v>
                  </c:pt>
                  <c:pt idx="1">
                    <c:v>0.29999999999999716</c:v>
                  </c:pt>
                  <c:pt idx="2">
                    <c:v>0.30000000000000426</c:v>
                  </c:pt>
                  <c:pt idx="3">
                    <c:v>0.30000000000000426</c:v>
                  </c:pt>
                  <c:pt idx="4">
                    <c:v>0.20000000000000284</c:v>
                  </c:pt>
                  <c:pt idx="5">
                    <c:v>0.19999999999999929</c:v>
                  </c:pt>
                </c:numCache>
              </c:numRef>
            </c:minus>
            <c:spPr>
              <a:ln w="12700">
                <a:solidFill>
                  <a:srgbClr val="000000"/>
                </a:solidFill>
                <a:prstDash val="solid"/>
              </a:ln>
            </c:spPr>
          </c:errBars>
          <c:cat>
            <c:strRef>
              <c:f>Profile!$C$180:$C$185</c:f>
              <c:strCache>
                <c:ptCount val="6"/>
                <c:pt idx="0">
                  <c:v>2005-2007</c:v>
                </c:pt>
                <c:pt idx="1">
                  <c:v>2006-2008</c:v>
                </c:pt>
                <c:pt idx="2">
                  <c:v>2007-2009</c:v>
                </c:pt>
                <c:pt idx="3">
                  <c:v>2008-2010</c:v>
                </c:pt>
                <c:pt idx="4">
                  <c:v>2009-2011</c:v>
                </c:pt>
                <c:pt idx="5">
                  <c:v>2010-2012</c:v>
                </c:pt>
              </c:strCache>
            </c:strRef>
          </c:cat>
          <c:val>
            <c:numRef>
              <c:f>Profile!$M$180:$M$185</c:f>
              <c:numCache>
                <c:formatCode>0.0</c:formatCode>
                <c:ptCount val="6"/>
                <c:pt idx="0">
                  <c:v>41.2</c:v>
                </c:pt>
                <c:pt idx="1">
                  <c:v>41</c:v>
                </c:pt>
                <c:pt idx="2" formatCode="General">
                  <c:v>40.200000000000003</c:v>
                </c:pt>
                <c:pt idx="3" formatCode="General">
                  <c:v>38.1</c:v>
                </c:pt>
                <c:pt idx="4">
                  <c:v>34</c:v>
                </c:pt>
                <c:pt idx="5" formatCode="General">
                  <c:v>30.9</c:v>
                </c:pt>
              </c:numCache>
            </c:numRef>
          </c:val>
        </c:ser>
        <c:dLbls>
          <c:showLegendKey val="0"/>
          <c:showVal val="0"/>
          <c:showCatName val="0"/>
          <c:showSerName val="0"/>
          <c:showPercent val="0"/>
          <c:showBubbleSize val="0"/>
        </c:dLbls>
        <c:gapWidth val="150"/>
        <c:axId val="104993536"/>
        <c:axId val="104995072"/>
      </c:barChart>
      <c:catAx>
        <c:axId val="104993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04995072"/>
        <c:crosses val="autoZero"/>
        <c:auto val="1"/>
        <c:lblAlgn val="ctr"/>
        <c:lblOffset val="100"/>
        <c:tickLblSkip val="1"/>
        <c:tickMarkSkip val="1"/>
        <c:noMultiLvlLbl val="0"/>
      </c:catAx>
      <c:valAx>
        <c:axId val="104995072"/>
        <c:scaling>
          <c:orientation val="minMax"/>
        </c:scaling>
        <c:delete val="0"/>
        <c:axPos val="l"/>
        <c:majorGridlines>
          <c:spPr>
            <a:ln w="3175">
              <a:solidFill>
                <a:srgbClr val="969696"/>
              </a:solidFill>
              <a:prstDash val="sysDash"/>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04993536"/>
        <c:crosses val="autoZero"/>
        <c:crossBetween val="between"/>
        <c:majorUnit val="10"/>
      </c:valAx>
      <c:spPr>
        <a:noFill/>
        <a:ln w="25400">
          <a:noFill/>
        </a:ln>
      </c:spPr>
    </c:plotArea>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Verdana"/>
          <a:ea typeface="Verdana"/>
          <a:cs typeface="Verdana"/>
        </a:defRPr>
      </a:pPr>
      <a:endParaRPr lang="en-US"/>
    </a:p>
  </c:txPr>
  <c:printSettings>
    <c:headerFooter alignWithMargins="0"/>
    <c:pageMargins b="1" l="0.75" r="0.75" t="1" header="0.5" footer="0.5"/>
    <c:pageSetup paperSize="9"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Calibri"/>
                <a:ea typeface="Calibri"/>
                <a:cs typeface="Calibri"/>
              </a:defRPr>
            </a:pPr>
            <a:r>
              <a:rPr lang="en-GB"/>
              <a:t>Family Size %  (of Families with a Child Aged 0-4)</a:t>
            </a:r>
          </a:p>
        </c:rich>
      </c:tx>
      <c:layout>
        <c:manualLayout>
          <c:xMode val="edge"/>
          <c:yMode val="edge"/>
          <c:x val="2.5380709320882627E-2"/>
          <c:y val="3.5712609094594879E-3"/>
        </c:manualLayout>
      </c:layout>
      <c:overlay val="0"/>
      <c:spPr>
        <a:noFill/>
        <a:ln w="25400">
          <a:noFill/>
        </a:ln>
      </c:spPr>
    </c:title>
    <c:autoTitleDeleted val="0"/>
    <c:plotArea>
      <c:layout>
        <c:manualLayout>
          <c:layoutTarget val="inner"/>
          <c:xMode val="edge"/>
          <c:yMode val="edge"/>
          <c:x val="0.13887857722030719"/>
          <c:y val="8.5575928883015503E-2"/>
          <c:w val="0.80929638553599537"/>
          <c:h val="0.81824208162790835"/>
        </c:manualLayout>
      </c:layout>
      <c:barChart>
        <c:barDir val="col"/>
        <c:grouping val="percentStacked"/>
        <c:varyColors val="0"/>
        <c:ser>
          <c:idx val="0"/>
          <c:order val="0"/>
          <c:tx>
            <c:strRef>
              <c:f>Profile!$L$203</c:f>
              <c:strCache>
                <c:ptCount val="1"/>
                <c:pt idx="0">
                  <c:v>one child</c:v>
                </c:pt>
              </c:strCache>
            </c:strRef>
          </c:tx>
          <c:spPr>
            <a:solidFill>
              <a:schemeClr val="accent3">
                <a:lumMod val="60000"/>
                <a:lumOff val="40000"/>
              </a:schemeClr>
            </a:solidFill>
            <a:ln w="12700">
              <a:solidFill>
                <a:srgbClr val="FFFFFF"/>
              </a:solidFill>
              <a:prstDash val="solid"/>
            </a:ln>
          </c:spPr>
          <c:invertIfNegative val="0"/>
          <c:dPt>
            <c:idx val="0"/>
            <c:invertIfNegative val="0"/>
            <c:bubble3D val="0"/>
            <c:spPr>
              <a:solidFill>
                <a:schemeClr val="bg1">
                  <a:lumMod val="65000"/>
                </a:schemeClr>
              </a:solidFill>
              <a:ln w="12700">
                <a:solidFill>
                  <a:srgbClr val="FFFFFF"/>
                </a:solidFill>
                <a:prstDash val="solid"/>
              </a:ln>
            </c:spPr>
          </c:dPt>
          <c:dPt>
            <c:idx val="1"/>
            <c:invertIfNegative val="0"/>
            <c:bubble3D val="0"/>
            <c:spPr>
              <a:solidFill>
                <a:schemeClr val="bg1">
                  <a:lumMod val="65000"/>
                </a:schemeClr>
              </a:solidFill>
              <a:ln w="12700">
                <a:solidFill>
                  <a:srgbClr val="FFFFFF"/>
                </a:solidFill>
                <a:prstDash val="solid"/>
              </a:ln>
            </c:spPr>
          </c:dPt>
          <c:dLbls>
            <c:txPr>
              <a:bodyPr/>
              <a:lstStyle/>
              <a:p>
                <a:pPr>
                  <a:defRPr sz="900">
                    <a:latin typeface="+mn-lt"/>
                  </a:defRPr>
                </a:pPr>
                <a:endParaRPr lang="en-US"/>
              </a:p>
            </c:txPr>
            <c:showLegendKey val="0"/>
            <c:showVal val="0"/>
            <c:showCatName val="0"/>
            <c:showSerName val="1"/>
            <c:showPercent val="0"/>
            <c:showBubbleSize val="0"/>
            <c:showLeaderLines val="0"/>
          </c:dLbls>
          <c:cat>
            <c:strRef>
              <c:f>Profile!$M$202:$N$202</c:f>
              <c:strCache>
                <c:ptCount val="2"/>
                <c:pt idx="0">
                  <c:v>Kingston Buci</c:v>
                </c:pt>
                <c:pt idx="1">
                  <c:v>Stepping Stones</c:v>
                </c:pt>
              </c:strCache>
            </c:strRef>
          </c:cat>
          <c:val>
            <c:numRef>
              <c:f>Profile!$M$203:$N$203</c:f>
              <c:numCache>
                <c:formatCode>0.0%</c:formatCode>
                <c:ptCount val="2"/>
                <c:pt idx="0">
                  <c:v>0.17577895355673134</c:v>
                </c:pt>
                <c:pt idx="1">
                  <c:v>0.15375375375375375</c:v>
                </c:pt>
              </c:numCache>
            </c:numRef>
          </c:val>
        </c:ser>
        <c:ser>
          <c:idx val="1"/>
          <c:order val="1"/>
          <c:tx>
            <c:strRef>
              <c:f>Profile!$L$204</c:f>
              <c:strCache>
                <c:ptCount val="1"/>
                <c:pt idx="0">
                  <c:v>two children</c:v>
                </c:pt>
              </c:strCache>
            </c:strRef>
          </c:tx>
          <c:spPr>
            <a:solidFill>
              <a:schemeClr val="accent6">
                <a:lumMod val="60000"/>
                <a:lumOff val="40000"/>
              </a:schemeClr>
            </a:solidFill>
            <a:ln w="12700">
              <a:solidFill>
                <a:srgbClr val="FFFFFF"/>
              </a:solidFill>
              <a:prstDash val="solid"/>
            </a:ln>
          </c:spPr>
          <c:invertIfNegative val="0"/>
          <c:dPt>
            <c:idx val="0"/>
            <c:invertIfNegative val="0"/>
            <c:bubble3D val="0"/>
            <c:spPr>
              <a:solidFill>
                <a:schemeClr val="accent5">
                  <a:lumMod val="40000"/>
                  <a:lumOff val="60000"/>
                </a:schemeClr>
              </a:solidFill>
              <a:ln w="12700">
                <a:solidFill>
                  <a:srgbClr val="FFFFFF"/>
                </a:solidFill>
                <a:prstDash val="solid"/>
              </a:ln>
            </c:spPr>
          </c:dPt>
          <c:dPt>
            <c:idx val="1"/>
            <c:invertIfNegative val="0"/>
            <c:bubble3D val="0"/>
            <c:spPr>
              <a:solidFill>
                <a:schemeClr val="accent5">
                  <a:lumMod val="40000"/>
                  <a:lumOff val="60000"/>
                </a:schemeClr>
              </a:solidFill>
              <a:ln w="12700">
                <a:solidFill>
                  <a:srgbClr val="FFFFFF"/>
                </a:solidFill>
                <a:prstDash val="solid"/>
              </a:ln>
            </c:spPr>
          </c:dPt>
          <c:dLbls>
            <c:txPr>
              <a:bodyPr/>
              <a:lstStyle/>
              <a:p>
                <a:pPr>
                  <a:defRPr sz="900">
                    <a:latin typeface="+mn-lt"/>
                  </a:defRPr>
                </a:pPr>
                <a:endParaRPr lang="en-US"/>
              </a:p>
            </c:txPr>
            <c:showLegendKey val="0"/>
            <c:showVal val="0"/>
            <c:showCatName val="0"/>
            <c:showSerName val="1"/>
            <c:showPercent val="0"/>
            <c:showBubbleSize val="0"/>
            <c:showLeaderLines val="0"/>
          </c:dLbls>
          <c:cat>
            <c:strRef>
              <c:f>Profile!$M$202:$N$202</c:f>
              <c:strCache>
                <c:ptCount val="2"/>
                <c:pt idx="0">
                  <c:v>Kingston Buci</c:v>
                </c:pt>
                <c:pt idx="1">
                  <c:v>Stepping Stones</c:v>
                </c:pt>
              </c:strCache>
            </c:strRef>
          </c:cat>
          <c:val>
            <c:numRef>
              <c:f>Profile!$M$204:$N$204</c:f>
              <c:numCache>
                <c:formatCode>0.0%</c:formatCode>
                <c:ptCount val="2"/>
                <c:pt idx="0">
                  <c:v>0.17401528512639625</c:v>
                </c:pt>
                <c:pt idx="1">
                  <c:v>0.16576576576576577</c:v>
                </c:pt>
              </c:numCache>
            </c:numRef>
          </c:val>
        </c:ser>
        <c:ser>
          <c:idx val="2"/>
          <c:order val="2"/>
          <c:tx>
            <c:strRef>
              <c:f>Profile!$L$205</c:f>
              <c:strCache>
                <c:ptCount val="1"/>
                <c:pt idx="0">
                  <c:v>3 or more</c:v>
                </c:pt>
              </c:strCache>
            </c:strRef>
          </c:tx>
          <c:spPr>
            <a:solidFill>
              <a:schemeClr val="tx2">
                <a:lumMod val="60000"/>
                <a:lumOff val="40000"/>
              </a:schemeClr>
            </a:solidFill>
            <a:ln w="12700">
              <a:solidFill>
                <a:srgbClr val="FFFFFF"/>
              </a:solidFill>
              <a:prstDash val="solid"/>
            </a:ln>
          </c:spPr>
          <c:invertIfNegative val="0"/>
          <c:dLbls>
            <c:txPr>
              <a:bodyPr/>
              <a:lstStyle/>
              <a:p>
                <a:pPr>
                  <a:defRPr sz="900">
                    <a:latin typeface="+mn-lt"/>
                  </a:defRPr>
                </a:pPr>
                <a:endParaRPr lang="en-US"/>
              </a:p>
            </c:txPr>
            <c:showLegendKey val="0"/>
            <c:showVal val="0"/>
            <c:showCatName val="0"/>
            <c:showSerName val="1"/>
            <c:showPercent val="0"/>
            <c:showBubbleSize val="0"/>
            <c:showLeaderLines val="0"/>
          </c:dLbls>
          <c:cat>
            <c:strRef>
              <c:f>Profile!$M$202:$N$202</c:f>
              <c:strCache>
                <c:ptCount val="2"/>
                <c:pt idx="0">
                  <c:v>Kingston Buci</c:v>
                </c:pt>
                <c:pt idx="1">
                  <c:v>Stepping Stones</c:v>
                </c:pt>
              </c:strCache>
            </c:strRef>
          </c:cat>
          <c:val>
            <c:numRef>
              <c:f>Profile!$M$205:$N$205</c:f>
              <c:numCache>
                <c:formatCode>0.0%</c:formatCode>
                <c:ptCount val="2"/>
                <c:pt idx="0">
                  <c:v>6.231628453850676E-2</c:v>
                </c:pt>
                <c:pt idx="1">
                  <c:v>6.3663663663663661E-2</c:v>
                </c:pt>
              </c:numCache>
            </c:numRef>
          </c:val>
        </c:ser>
        <c:dLbls>
          <c:showLegendKey val="0"/>
          <c:showVal val="0"/>
          <c:showCatName val="0"/>
          <c:showSerName val="0"/>
          <c:showPercent val="0"/>
          <c:showBubbleSize val="0"/>
        </c:dLbls>
        <c:gapWidth val="59"/>
        <c:overlap val="100"/>
        <c:axId val="105020032"/>
        <c:axId val="105038208"/>
      </c:barChart>
      <c:catAx>
        <c:axId val="105020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Calibri"/>
                <a:ea typeface="Calibri"/>
                <a:cs typeface="Calibri"/>
              </a:defRPr>
            </a:pPr>
            <a:endParaRPr lang="en-US"/>
          </a:p>
        </c:txPr>
        <c:crossAx val="105038208"/>
        <c:crosses val="autoZero"/>
        <c:auto val="1"/>
        <c:lblAlgn val="ctr"/>
        <c:lblOffset val="100"/>
        <c:tickLblSkip val="1"/>
        <c:tickMarkSkip val="1"/>
        <c:noMultiLvlLbl val="0"/>
      </c:catAx>
      <c:valAx>
        <c:axId val="105038208"/>
        <c:scaling>
          <c:orientation val="minMax"/>
        </c:scaling>
        <c:delete val="0"/>
        <c:axPos val="l"/>
        <c:majorGridlines>
          <c:spPr>
            <a:ln w="3175">
              <a:solidFill>
                <a:srgbClr val="969696"/>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Calibri"/>
                <a:ea typeface="Calibri"/>
                <a:cs typeface="Calibri"/>
              </a:defRPr>
            </a:pPr>
            <a:endParaRPr lang="en-US"/>
          </a:p>
        </c:txPr>
        <c:crossAx val="105020032"/>
        <c:crosses val="autoZero"/>
        <c:crossBetween val="between"/>
      </c:valAx>
      <c:spPr>
        <a:noFill/>
        <a:ln w="9525">
          <a:solidFill>
            <a:schemeClr val="bg1">
              <a:lumMod val="50000"/>
            </a:schemeClr>
          </a:solidFill>
        </a:ln>
      </c:spPr>
    </c:plotArea>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Verdana"/>
          <a:ea typeface="Verdana"/>
          <a:cs typeface="Verdana"/>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1623110249148196E-2"/>
          <c:y val="0.16081798152388063"/>
          <c:w val="0.85863984098883472"/>
          <c:h val="0.7552102539323271"/>
        </c:manualLayout>
      </c:layout>
      <c:lineChart>
        <c:grouping val="standard"/>
        <c:varyColors val="0"/>
        <c:ser>
          <c:idx val="0"/>
          <c:order val="0"/>
          <c:tx>
            <c:strRef>
              <c:f>Profile!$L$246</c:f>
              <c:strCache>
                <c:ptCount val="1"/>
                <c:pt idx="0">
                  <c:v>Kingston Buci</c:v>
                </c:pt>
              </c:strCache>
            </c:strRef>
          </c:tx>
          <c:spPr>
            <a:ln w="38100">
              <a:solidFill>
                <a:schemeClr val="accent3"/>
              </a:solidFill>
              <a:prstDash val="solid"/>
            </a:ln>
            <a:effectLst>
              <a:outerShdw blurRad="50800" dist="38100" dir="2700000" algn="tl" rotWithShape="0">
                <a:prstClr val="black">
                  <a:alpha val="40000"/>
                </a:prstClr>
              </a:outerShdw>
            </a:effectLst>
          </c:spPr>
          <c:marker>
            <c:symbol val="diamond"/>
            <c:size val="13"/>
            <c:spPr>
              <a:solidFill>
                <a:schemeClr val="accent3"/>
              </a:solidFill>
              <a:ln>
                <a:solidFill>
                  <a:srgbClr val="FFFFFF"/>
                </a:solidFill>
                <a:prstDash val="solid"/>
              </a:ln>
              <a:effectLst>
                <a:outerShdw blurRad="50800" dist="38100" dir="2700000" algn="tl" rotWithShape="0">
                  <a:prstClr val="black">
                    <a:alpha val="40000"/>
                  </a:prstClr>
                </a:outerShdw>
              </a:effectLst>
            </c:spPr>
          </c:marker>
          <c:dLbls>
            <c:numFmt formatCode="#,##0" sourceLinked="0"/>
            <c:spPr>
              <a:solidFill>
                <a:schemeClr val="accent3"/>
              </a:solidFill>
              <a:ln w="25400">
                <a:noFill/>
              </a:ln>
            </c:spPr>
            <c:txPr>
              <a:bodyPr/>
              <a:lstStyle/>
              <a:p>
                <a:pPr>
                  <a:defRPr sz="800" b="0" i="0" u="none" strike="noStrike" baseline="0">
                    <a:solidFill>
                      <a:srgbClr val="000000"/>
                    </a:solidFill>
                    <a:latin typeface="Gill Sans MT" pitchFamily="34" charset="0"/>
                    <a:ea typeface="Calibri"/>
                    <a:cs typeface="Calibri"/>
                  </a:defRPr>
                </a:pPr>
                <a:endParaRPr lang="en-US"/>
              </a:p>
            </c:txPr>
            <c:dLblPos val="ctr"/>
            <c:showLegendKey val="0"/>
            <c:showVal val="1"/>
            <c:showCatName val="0"/>
            <c:showSerName val="0"/>
            <c:showPercent val="0"/>
            <c:showBubbleSize val="0"/>
            <c:showLeaderLines val="0"/>
          </c:dLbls>
          <c:cat>
            <c:numRef>
              <c:f>Profile!$K$247:$K$250</c:f>
              <c:numCache>
                <c:formatCode>General</c:formatCode>
                <c:ptCount val="4"/>
                <c:pt idx="0">
                  <c:v>2010</c:v>
                </c:pt>
                <c:pt idx="1">
                  <c:v>2011</c:v>
                </c:pt>
                <c:pt idx="2">
                  <c:v>2012</c:v>
                </c:pt>
                <c:pt idx="3">
                  <c:v>2013</c:v>
                </c:pt>
              </c:numCache>
            </c:numRef>
          </c:cat>
          <c:val>
            <c:numRef>
              <c:f>Profile!$L$247:$L$250</c:f>
              <c:numCache>
                <c:formatCode>General</c:formatCode>
                <c:ptCount val="4"/>
                <c:pt idx="0">
                  <c:v>165</c:v>
                </c:pt>
                <c:pt idx="1">
                  <c:v>165</c:v>
                </c:pt>
                <c:pt idx="2" formatCode="#,##0">
                  <c:v>155</c:v>
                </c:pt>
                <c:pt idx="3" formatCode="#,##0">
                  <c:v>155</c:v>
                </c:pt>
              </c:numCache>
            </c:numRef>
          </c:val>
          <c:smooth val="0"/>
        </c:ser>
        <c:ser>
          <c:idx val="1"/>
          <c:order val="1"/>
          <c:tx>
            <c:strRef>
              <c:f>Profile!$M$246</c:f>
              <c:strCache>
                <c:ptCount val="1"/>
                <c:pt idx="0">
                  <c:v>Stepping Stones</c:v>
                </c:pt>
              </c:strCache>
            </c:strRef>
          </c:tx>
          <c:spPr>
            <a:ln w="38100">
              <a:solidFill>
                <a:schemeClr val="accent5">
                  <a:lumMod val="60000"/>
                  <a:lumOff val="40000"/>
                </a:schemeClr>
              </a:solidFill>
              <a:prstDash val="solid"/>
            </a:ln>
            <a:effectLst>
              <a:outerShdw blurRad="50800" dist="38100" dir="2700000" algn="tl" rotWithShape="0">
                <a:prstClr val="black">
                  <a:alpha val="40000"/>
                </a:prstClr>
              </a:outerShdw>
            </a:effectLst>
          </c:spPr>
          <c:marker>
            <c:symbol val="square"/>
            <c:size val="13"/>
            <c:spPr>
              <a:solidFill>
                <a:schemeClr val="accent5">
                  <a:lumMod val="60000"/>
                  <a:lumOff val="40000"/>
                </a:schemeClr>
              </a:solidFill>
              <a:ln>
                <a:solidFill>
                  <a:srgbClr val="FFFFFF"/>
                </a:solidFill>
                <a:prstDash val="solid"/>
              </a:ln>
              <a:effectLst>
                <a:outerShdw blurRad="50800" dist="38100" dir="2700000" algn="tl" rotWithShape="0">
                  <a:prstClr val="black">
                    <a:alpha val="40000"/>
                  </a:prstClr>
                </a:outerShdw>
              </a:effectLst>
            </c:spPr>
          </c:marker>
          <c:dLbls>
            <c:numFmt formatCode="#,##0" sourceLinked="0"/>
            <c:spPr>
              <a:solidFill>
                <a:schemeClr val="accent5">
                  <a:lumMod val="40000"/>
                  <a:lumOff val="60000"/>
                </a:schemeClr>
              </a:solidFill>
              <a:ln w="25400">
                <a:noFill/>
              </a:ln>
            </c:spPr>
            <c:txPr>
              <a:bodyPr/>
              <a:lstStyle/>
              <a:p>
                <a:pPr>
                  <a:defRPr sz="800" b="0" i="0" u="none" strike="noStrike" baseline="0">
                    <a:solidFill>
                      <a:srgbClr val="000000"/>
                    </a:solidFill>
                    <a:latin typeface="Gill Sans MT" pitchFamily="34" charset="0"/>
                    <a:ea typeface="Calibri"/>
                    <a:cs typeface="Calibri"/>
                  </a:defRPr>
                </a:pPr>
                <a:endParaRPr lang="en-US"/>
              </a:p>
            </c:txPr>
            <c:dLblPos val="ctr"/>
            <c:showLegendKey val="0"/>
            <c:showVal val="1"/>
            <c:showCatName val="0"/>
            <c:showSerName val="0"/>
            <c:showPercent val="0"/>
            <c:showBubbleSize val="0"/>
            <c:showLeaderLines val="0"/>
          </c:dLbls>
          <c:cat>
            <c:numRef>
              <c:f>Profile!$K$247:$K$250</c:f>
              <c:numCache>
                <c:formatCode>General</c:formatCode>
                <c:ptCount val="4"/>
                <c:pt idx="0">
                  <c:v>2010</c:v>
                </c:pt>
                <c:pt idx="1">
                  <c:v>2011</c:v>
                </c:pt>
                <c:pt idx="2">
                  <c:v>2012</c:v>
                </c:pt>
                <c:pt idx="3">
                  <c:v>2013</c:v>
                </c:pt>
              </c:numCache>
            </c:numRef>
          </c:cat>
          <c:val>
            <c:numRef>
              <c:f>Profile!$M$247:$M$250</c:f>
              <c:numCache>
                <c:formatCode>General</c:formatCode>
                <c:ptCount val="4"/>
                <c:pt idx="0">
                  <c:v>215</c:v>
                </c:pt>
                <c:pt idx="1">
                  <c:v>210</c:v>
                </c:pt>
                <c:pt idx="2" formatCode="#,##0">
                  <c:v>215</c:v>
                </c:pt>
                <c:pt idx="3" formatCode="#,##0">
                  <c:v>185</c:v>
                </c:pt>
              </c:numCache>
            </c:numRef>
          </c:val>
          <c:smooth val="0"/>
        </c:ser>
        <c:dLbls>
          <c:showLegendKey val="0"/>
          <c:showVal val="0"/>
          <c:showCatName val="0"/>
          <c:showSerName val="0"/>
          <c:showPercent val="0"/>
          <c:showBubbleSize val="0"/>
        </c:dLbls>
        <c:marker val="1"/>
        <c:smooth val="0"/>
        <c:axId val="105068800"/>
        <c:axId val="105086976"/>
      </c:lineChart>
      <c:catAx>
        <c:axId val="105068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Calibri"/>
                <a:ea typeface="Calibri"/>
                <a:cs typeface="Calibri"/>
              </a:defRPr>
            </a:pPr>
            <a:endParaRPr lang="en-US"/>
          </a:p>
        </c:txPr>
        <c:crossAx val="105086976"/>
        <c:crosses val="autoZero"/>
        <c:auto val="1"/>
        <c:lblAlgn val="ctr"/>
        <c:lblOffset val="100"/>
        <c:tickLblSkip val="1"/>
        <c:tickMarkSkip val="1"/>
        <c:noMultiLvlLbl val="0"/>
      </c:catAx>
      <c:valAx>
        <c:axId val="105086976"/>
        <c:scaling>
          <c:orientation val="minMax"/>
          <c:min val="0"/>
        </c:scaling>
        <c:delete val="0"/>
        <c:axPos val="l"/>
        <c:majorGridlines>
          <c:spPr>
            <a:ln w="3175">
              <a:solidFill>
                <a:srgbClr val="96969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Gill Sans MT" pitchFamily="34" charset="0"/>
                <a:ea typeface="Calibri"/>
                <a:cs typeface="Calibri"/>
              </a:defRPr>
            </a:pPr>
            <a:endParaRPr lang="en-US"/>
          </a:p>
        </c:txPr>
        <c:crossAx val="105068800"/>
        <c:crosses val="autoZero"/>
        <c:crossBetween val="between"/>
      </c:valAx>
      <c:spPr>
        <a:noFill/>
        <a:ln w="25400">
          <a:noFill/>
        </a:ln>
      </c:spPr>
    </c:plotArea>
    <c:legend>
      <c:legendPos val="r"/>
      <c:layout>
        <c:manualLayout>
          <c:xMode val="edge"/>
          <c:yMode val="edge"/>
          <c:x val="0.1046878943704905"/>
          <c:y val="2.9645017127604794E-2"/>
          <c:w val="0.8463127793147478"/>
          <c:h val="0.11206928000763293"/>
        </c:manualLayout>
      </c:layout>
      <c:overlay val="0"/>
      <c:spPr>
        <a:solidFill>
          <a:srgbClr val="FFFFFF"/>
        </a:solidFill>
        <a:ln w="25400">
          <a:noFill/>
        </a:ln>
      </c:spPr>
      <c:txPr>
        <a:bodyPr/>
        <a:lstStyle/>
        <a:p>
          <a:pPr>
            <a:defRPr sz="800" b="0" i="0" u="none" strike="noStrike" baseline="0">
              <a:solidFill>
                <a:srgbClr val="000000"/>
              </a:solidFill>
              <a:latin typeface="Gill Sans MT" pitchFamily="34" charset="0"/>
              <a:ea typeface="Calibri"/>
              <a:cs typeface="Calibri"/>
            </a:defRPr>
          </a:pPr>
          <a:endParaRPr lang="en-US"/>
        </a:p>
      </c:txPr>
    </c:legend>
    <c:plotVisOnly val="1"/>
    <c:dispBlanksAs val="gap"/>
    <c:showDLblsOverMax val="0"/>
  </c:chart>
  <c:spPr>
    <a:solidFill>
      <a:srgbClr val="FFFFFF"/>
    </a:solidFill>
    <a:ln w="9525">
      <a:noFill/>
    </a:ln>
  </c:spPr>
  <c:txPr>
    <a:bodyPr/>
    <a:lstStyle/>
    <a:p>
      <a:pPr>
        <a:defRPr sz="975"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paperSize="9"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09784735812131E-2"/>
          <c:y val="0.19122118826055837"/>
          <c:w val="0.94618395303326808"/>
          <c:h val="0.67590026246719159"/>
        </c:manualLayout>
      </c:layout>
      <c:barChart>
        <c:barDir val="col"/>
        <c:grouping val="clustered"/>
        <c:varyColors val="0"/>
        <c:ser>
          <c:idx val="0"/>
          <c:order val="0"/>
          <c:tx>
            <c:strRef>
              <c:f>Profile!$F$280</c:f>
              <c:strCache>
                <c:ptCount val="1"/>
                <c:pt idx="0">
                  <c:v>Kingston Buci</c:v>
                </c:pt>
              </c:strCache>
            </c:strRef>
          </c:tx>
          <c:spPr>
            <a:solidFill>
              <a:schemeClr val="accent3"/>
            </a:solidFill>
            <a:ln w="25400">
              <a:solidFill>
                <a:srgbClr val="FFFFFF"/>
              </a:solidFill>
              <a:prstDash val="solid"/>
            </a:ln>
          </c:spPr>
          <c:invertIfNegative val="0"/>
          <c:dLbls>
            <c:spPr>
              <a:noFill/>
              <a:ln w="25400">
                <a:noFill/>
              </a:ln>
            </c:spPr>
            <c:txPr>
              <a:bodyPr/>
              <a:lstStyle/>
              <a:p>
                <a:pP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errBars>
            <c:errBarType val="both"/>
            <c:errValType val="cust"/>
            <c:noEndCap val="0"/>
            <c:plus>
              <c:numRef>
                <c:f>(Profile!$I$280,Profile!$L$280)</c:f>
                <c:numCache>
                  <c:formatCode>General</c:formatCode>
                  <c:ptCount val="2"/>
                  <c:pt idx="0">
                    <c:v>6.6516261104696495E-2</c:v>
                  </c:pt>
                  <c:pt idx="1">
                    <c:v>6.1830334375267415E-2</c:v>
                  </c:pt>
                </c:numCache>
              </c:numRef>
            </c:plus>
            <c:minus>
              <c:numRef>
                <c:f>(Profile!$H$280,Profile!$K$280)</c:f>
                <c:numCache>
                  <c:formatCode>General</c:formatCode>
                  <c:ptCount val="2"/>
                  <c:pt idx="0">
                    <c:v>7.7544969860078083E-2</c:v>
                  </c:pt>
                  <c:pt idx="1">
                    <c:v>8.38705430866446E-2</c:v>
                  </c:pt>
                </c:numCache>
              </c:numRef>
            </c:minus>
            <c:spPr>
              <a:solidFill>
                <a:schemeClr val="accent2">
                  <a:lumMod val="60000"/>
                  <a:lumOff val="40000"/>
                </a:schemeClr>
              </a:solidFill>
              <a:ln w="12700">
                <a:solidFill>
                  <a:schemeClr val="tx1"/>
                </a:solidFill>
                <a:prstDash val="solid"/>
              </a:ln>
            </c:spPr>
          </c:errBars>
          <c:cat>
            <c:strRef>
              <c:f>(Profile!$G$279,Profile!$J$279)</c:f>
              <c:strCache>
                <c:ptCount val="2"/>
                <c:pt idx="0">
                  <c:v>% Exclusively breast fed (2012/2013)</c:v>
                </c:pt>
                <c:pt idx="1">
                  <c:v>% Breastfeeding (including partially) (2012/2013)</c:v>
                </c:pt>
              </c:strCache>
            </c:strRef>
          </c:cat>
          <c:val>
            <c:numRef>
              <c:f>(Profile!$G$280,Profile!$J$280)</c:f>
              <c:numCache>
                <c:formatCode>0.0%</c:formatCode>
                <c:ptCount val="2"/>
                <c:pt idx="0">
                  <c:v>0.42210762312085143</c:v>
                </c:pt>
                <c:pt idx="1">
                  <c:v>0.5499432456088803</c:v>
                </c:pt>
              </c:numCache>
            </c:numRef>
          </c:val>
        </c:ser>
        <c:ser>
          <c:idx val="1"/>
          <c:order val="1"/>
          <c:tx>
            <c:strRef>
              <c:f>Profile!$F$281</c:f>
              <c:strCache>
                <c:ptCount val="1"/>
                <c:pt idx="0">
                  <c:v>Stepping Stones</c:v>
                </c:pt>
              </c:strCache>
            </c:strRef>
          </c:tx>
          <c:spPr>
            <a:solidFill>
              <a:schemeClr val="accent5">
                <a:lumMod val="40000"/>
                <a:lumOff val="60000"/>
              </a:schemeClr>
            </a:solidFill>
            <a:ln w="25400">
              <a:solidFill>
                <a:srgbClr val="FFFFFF"/>
              </a:solidFill>
              <a:prstDash val="solid"/>
            </a:ln>
          </c:spPr>
          <c:invertIfNegative val="0"/>
          <c:dLbls>
            <c:spPr>
              <a:noFill/>
              <a:ln w="25400">
                <a:noFill/>
              </a:ln>
            </c:spPr>
            <c:txPr>
              <a:bodyPr/>
              <a:lstStyle/>
              <a:p>
                <a:pPr>
                  <a:defRPr sz="1000" b="0" i="0" u="none" strike="noStrike" baseline="0">
                    <a:solidFill>
                      <a:srgbClr val="000000"/>
                    </a:solidFill>
                    <a:latin typeface="Calibri"/>
                    <a:ea typeface="Calibri"/>
                    <a:cs typeface="Calibri"/>
                  </a:defRPr>
                </a:pPr>
                <a:endParaRPr lang="en-US"/>
              </a:p>
            </c:txPr>
            <c:dLblPos val="inBase"/>
            <c:showLegendKey val="0"/>
            <c:showVal val="1"/>
            <c:showCatName val="0"/>
            <c:showSerName val="0"/>
            <c:showPercent val="0"/>
            <c:showBubbleSize val="0"/>
            <c:showLeaderLines val="0"/>
          </c:dLbls>
          <c:errBars>
            <c:errBarType val="both"/>
            <c:errValType val="cust"/>
            <c:noEndCap val="0"/>
            <c:plus>
              <c:numRef>
                <c:f>(Profile!$I$281,Profile!$L$281)</c:f>
                <c:numCache>
                  <c:formatCode>General</c:formatCode>
                  <c:ptCount val="2"/>
                  <c:pt idx="0">
                    <c:v>0.10931366023001654</c:v>
                  </c:pt>
                  <c:pt idx="1">
                    <c:v>9.2846905045222416E-2</c:v>
                  </c:pt>
                </c:numCache>
              </c:numRef>
            </c:plus>
            <c:minus>
              <c:numRef>
                <c:f>(Profile!$H$281,Profile!$K$281)</c:f>
                <c:numCache>
                  <c:formatCode>General</c:formatCode>
                  <c:ptCount val="2"/>
                  <c:pt idx="0">
                    <c:v>6.2239533286777282E-2</c:v>
                  </c:pt>
                  <c:pt idx="1">
                    <c:v>7.9158324441517436E-2</c:v>
                  </c:pt>
                </c:numCache>
              </c:numRef>
            </c:minus>
            <c:spPr>
              <a:ln w="12700">
                <a:solidFill>
                  <a:srgbClr val="000000"/>
                </a:solidFill>
                <a:prstDash val="solid"/>
              </a:ln>
            </c:spPr>
          </c:errBars>
          <c:cat>
            <c:strRef>
              <c:f>(Profile!$G$279,Profile!$J$279)</c:f>
              <c:strCache>
                <c:ptCount val="2"/>
                <c:pt idx="0">
                  <c:v>% Exclusively breast fed (2012/2013)</c:v>
                </c:pt>
                <c:pt idx="1">
                  <c:v>% Breastfeeding (including partially) (2012/2013)</c:v>
                </c:pt>
              </c:strCache>
            </c:strRef>
          </c:cat>
          <c:val>
            <c:numRef>
              <c:f>(Profile!$G$281,Profile!$J$281)</c:f>
              <c:numCache>
                <c:formatCode>0.0%</c:formatCode>
                <c:ptCount val="2"/>
                <c:pt idx="0">
                  <c:v>0.39368252379312629</c:v>
                </c:pt>
                <c:pt idx="1">
                  <c:v>0.56805227360147259</c:v>
                </c:pt>
              </c:numCache>
            </c:numRef>
          </c:val>
        </c:ser>
        <c:dLbls>
          <c:showLegendKey val="0"/>
          <c:showVal val="0"/>
          <c:showCatName val="0"/>
          <c:showSerName val="0"/>
          <c:showPercent val="0"/>
          <c:showBubbleSize val="0"/>
        </c:dLbls>
        <c:gapWidth val="150"/>
        <c:axId val="105187200"/>
        <c:axId val="105188736"/>
      </c:barChart>
      <c:catAx>
        <c:axId val="1051872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Gill Sans MT" pitchFamily="34" charset="0"/>
                <a:ea typeface="Calibri"/>
                <a:cs typeface="Calibri"/>
              </a:defRPr>
            </a:pPr>
            <a:endParaRPr lang="en-US"/>
          </a:p>
        </c:txPr>
        <c:crossAx val="105188736"/>
        <c:crosses val="autoZero"/>
        <c:auto val="1"/>
        <c:lblAlgn val="ctr"/>
        <c:lblOffset val="100"/>
        <c:tickLblSkip val="1"/>
        <c:tickMarkSkip val="1"/>
        <c:noMultiLvlLbl val="0"/>
      </c:catAx>
      <c:valAx>
        <c:axId val="105188736"/>
        <c:scaling>
          <c:orientation val="minMax"/>
          <c:min val="0"/>
        </c:scaling>
        <c:delete val="0"/>
        <c:axPos val="l"/>
        <c:majorGridlines>
          <c:spPr>
            <a:ln w="3175">
              <a:solidFill>
                <a:srgbClr val="969696"/>
              </a:solidFill>
              <a:prstDash val="sysDash"/>
            </a:ln>
          </c:spPr>
        </c:majorGridlines>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Gill Sans MT" pitchFamily="34" charset="0"/>
                <a:ea typeface="Calibri"/>
                <a:cs typeface="Calibri"/>
              </a:defRPr>
            </a:pPr>
            <a:endParaRPr lang="en-US"/>
          </a:p>
        </c:txPr>
        <c:crossAx val="105187200"/>
        <c:crosses val="autoZero"/>
        <c:crossBetween val="between"/>
      </c:valAx>
      <c:spPr>
        <a:noFill/>
        <a:ln w="25400">
          <a:noFill/>
        </a:ln>
      </c:spPr>
    </c:plotArea>
    <c:legend>
      <c:legendPos val="r"/>
      <c:layout>
        <c:manualLayout>
          <c:xMode val="edge"/>
          <c:yMode val="edge"/>
          <c:x val="9.6798239351134768E-3"/>
          <c:y val="2.5735363415967379E-2"/>
          <c:w val="0.43931508628591931"/>
          <c:h val="0.18750050488776232"/>
        </c:manualLayout>
      </c:layout>
      <c:overlay val="0"/>
      <c:spPr>
        <a:noFill/>
        <a:ln w="25400">
          <a:noFill/>
        </a:ln>
      </c:spPr>
      <c:txPr>
        <a:bodyPr/>
        <a:lstStyle/>
        <a:p>
          <a:pPr>
            <a:defRPr sz="965" b="1" i="0" u="none" strike="noStrike" baseline="0">
              <a:solidFill>
                <a:srgbClr val="000000"/>
              </a:solidFill>
              <a:latin typeface="Gill Sans MT" pitchFamily="34" charset="0"/>
              <a:ea typeface="Calibri"/>
              <a:cs typeface="Calibri"/>
            </a:defRPr>
          </a:pPr>
          <a:endParaRPr lang="en-US"/>
        </a:p>
      </c:txPr>
    </c:legend>
    <c:plotVisOnly val="1"/>
    <c:dispBlanksAs val="gap"/>
    <c:showDLblsOverMax val="0"/>
  </c:chart>
  <c:spPr>
    <a:solidFill>
      <a:srgbClr val="FFFFFF"/>
    </a:solidFill>
    <a:ln w="9525">
      <a:noFill/>
    </a:ln>
  </c:spPr>
  <c:txPr>
    <a:bodyPr/>
    <a:lstStyle/>
    <a:p>
      <a:pPr>
        <a:defRPr sz="925"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paperSize="9"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291428461619761E-2"/>
          <c:y val="4.0760051818527633E-2"/>
          <c:w val="0.80532786885245899"/>
          <c:h val="0.88954153458090468"/>
        </c:manualLayout>
      </c:layout>
      <c:barChart>
        <c:barDir val="col"/>
        <c:grouping val="stacked"/>
        <c:varyColors val="0"/>
        <c:ser>
          <c:idx val="0"/>
          <c:order val="0"/>
          <c:tx>
            <c:strRef>
              <c:f>Profile!$J$151</c:f>
              <c:strCache>
                <c:ptCount val="1"/>
                <c:pt idx="0">
                  <c:v>Under 20</c:v>
                </c:pt>
              </c:strCache>
            </c:strRef>
          </c:tx>
          <c:spPr>
            <a:solidFill>
              <a:schemeClr val="accent3">
                <a:lumMod val="50000"/>
              </a:schemeClr>
            </a:solidFill>
            <a:ln w="12700">
              <a:solidFill>
                <a:srgbClr val="FFFFFF"/>
              </a:solidFill>
              <a:prstDash val="solid"/>
            </a:ln>
          </c:spPr>
          <c:invertIfNegative val="0"/>
          <c:cat>
            <c:strRef>
              <c:f>Profile!$I$152:$I$155</c:f>
              <c:strCache>
                <c:ptCount val="4"/>
                <c:pt idx="0">
                  <c:v>2009</c:v>
                </c:pt>
                <c:pt idx="1">
                  <c:v>2010</c:v>
                </c:pt>
                <c:pt idx="2">
                  <c:v>2011</c:v>
                </c:pt>
                <c:pt idx="3">
                  <c:v>2012</c:v>
                </c:pt>
              </c:strCache>
            </c:strRef>
          </c:cat>
          <c:val>
            <c:numRef>
              <c:f>Profile!$J$152:$J$155</c:f>
              <c:numCache>
                <c:formatCode>0</c:formatCode>
                <c:ptCount val="4"/>
                <c:pt idx="0">
                  <c:v>7</c:v>
                </c:pt>
                <c:pt idx="1">
                  <c:v>5</c:v>
                </c:pt>
                <c:pt idx="2">
                  <c:v>7</c:v>
                </c:pt>
                <c:pt idx="3">
                  <c:v>4</c:v>
                </c:pt>
              </c:numCache>
            </c:numRef>
          </c:val>
        </c:ser>
        <c:ser>
          <c:idx val="1"/>
          <c:order val="1"/>
          <c:tx>
            <c:strRef>
              <c:f>Profile!$K$151</c:f>
              <c:strCache>
                <c:ptCount val="1"/>
                <c:pt idx="0">
                  <c:v>All Births</c:v>
                </c:pt>
              </c:strCache>
            </c:strRef>
          </c:tx>
          <c:spPr>
            <a:solidFill>
              <a:schemeClr val="accent3"/>
            </a:solidFill>
            <a:ln w="12700">
              <a:solidFill>
                <a:srgbClr val="FFFFFF"/>
              </a:solidFill>
              <a:prstDash val="solid"/>
            </a:ln>
          </c:spPr>
          <c:invertIfNegative val="0"/>
          <c:cat>
            <c:strRef>
              <c:f>Profile!$I$152:$I$155</c:f>
              <c:strCache>
                <c:ptCount val="4"/>
                <c:pt idx="0">
                  <c:v>2009</c:v>
                </c:pt>
                <c:pt idx="1">
                  <c:v>2010</c:v>
                </c:pt>
                <c:pt idx="2">
                  <c:v>2011</c:v>
                </c:pt>
                <c:pt idx="3">
                  <c:v>2012</c:v>
                </c:pt>
              </c:strCache>
            </c:strRef>
          </c:cat>
          <c:val>
            <c:numRef>
              <c:f>Profile!$K$152:$K$155</c:f>
              <c:numCache>
                <c:formatCode>#,##0</c:formatCode>
                <c:ptCount val="4"/>
                <c:pt idx="0">
                  <c:v>143</c:v>
                </c:pt>
                <c:pt idx="1">
                  <c:v>163</c:v>
                </c:pt>
                <c:pt idx="2">
                  <c:v>162</c:v>
                </c:pt>
                <c:pt idx="3">
                  <c:v>174</c:v>
                </c:pt>
              </c:numCache>
            </c:numRef>
          </c:val>
        </c:ser>
        <c:dLbls>
          <c:showLegendKey val="0"/>
          <c:showVal val="0"/>
          <c:showCatName val="0"/>
          <c:showSerName val="0"/>
          <c:showPercent val="0"/>
          <c:showBubbleSize val="0"/>
        </c:dLbls>
        <c:gapWidth val="150"/>
        <c:overlap val="100"/>
        <c:axId val="105222144"/>
        <c:axId val="105223680"/>
      </c:barChart>
      <c:catAx>
        <c:axId val="1052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a:latin typeface="+mn-lt"/>
              </a:defRPr>
            </a:pPr>
            <a:endParaRPr lang="en-US"/>
          </a:p>
        </c:txPr>
        <c:crossAx val="105223680"/>
        <c:crosses val="autoZero"/>
        <c:auto val="1"/>
        <c:lblAlgn val="ctr"/>
        <c:lblOffset val="100"/>
        <c:tickLblSkip val="1"/>
        <c:tickMarkSkip val="1"/>
        <c:noMultiLvlLbl val="0"/>
      </c:catAx>
      <c:valAx>
        <c:axId val="105223680"/>
        <c:scaling>
          <c:orientation val="minMax"/>
          <c:min val="0"/>
        </c:scaling>
        <c:delete val="0"/>
        <c:axPos val="l"/>
        <c:majorGridlines>
          <c:spPr>
            <a:ln w="3175">
              <a:solidFill>
                <a:srgbClr val="969696"/>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a:latin typeface="+mn-lt"/>
              </a:defRPr>
            </a:pPr>
            <a:endParaRPr lang="en-US"/>
          </a:p>
        </c:txPr>
        <c:crossAx val="105222144"/>
        <c:crosses val="autoZero"/>
        <c:crossBetween val="between"/>
      </c:valAx>
      <c:spPr>
        <a:noFill/>
        <a:ln w="25400">
          <a:noFill/>
        </a:ln>
      </c:spPr>
    </c:plotArea>
    <c:legend>
      <c:legendPos val="r"/>
      <c:layout>
        <c:manualLayout>
          <c:xMode val="edge"/>
          <c:yMode val="edge"/>
          <c:x val="0.85635306266557176"/>
          <c:y val="0.10332114735658043"/>
          <c:w val="0.13343560780448827"/>
          <c:h val="0.76014897109405821"/>
        </c:manualLayout>
      </c:layout>
      <c:overlay val="0"/>
      <c:spPr>
        <a:solidFill>
          <a:srgbClr val="FFFFFF"/>
        </a:solidFill>
        <a:ln w="25400">
          <a:noFill/>
        </a:ln>
      </c:spPr>
      <c:txPr>
        <a:bodyPr/>
        <a:lstStyle/>
        <a:p>
          <a:pPr>
            <a:defRPr sz="1000">
              <a:latin typeface="+mn-lt"/>
            </a:defRPr>
          </a:pPr>
          <a:endParaRPr lang="en-US"/>
        </a:p>
      </c:txPr>
    </c:legend>
    <c:plotVisOnly val="1"/>
    <c:dispBlanksAs val="gap"/>
    <c:showDLblsOverMax val="0"/>
  </c:chart>
  <c:spPr>
    <a:solidFill>
      <a:srgbClr val="FFFFFF"/>
    </a:solidFill>
    <a:ln w="9525">
      <a:noFill/>
    </a:ln>
  </c:spPr>
  <c:txPr>
    <a:bodyPr/>
    <a:lstStyle/>
    <a:p>
      <a:pPr>
        <a:defRPr sz="900" b="0" i="0" u="none" strike="noStrike" baseline="0">
          <a:solidFill>
            <a:srgbClr val="000000"/>
          </a:solidFill>
          <a:latin typeface="Gill Sans MT" pitchFamily="34" charset="0"/>
          <a:ea typeface="Calibri"/>
          <a:cs typeface="Calibri"/>
        </a:defRPr>
      </a:pPr>
      <a:endParaRPr lang="en-US"/>
    </a:p>
  </c:txPr>
  <c:printSettings>
    <c:headerFooter alignWithMargins="0"/>
    <c:pageMargins b="1" l="0.75" r="0.75" t="1" header="0.5" footer="0.5"/>
    <c:pageSetup paperSize="9" orientation="landscape" horizontalDpi="200" verticalDpi="200"/>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6920865905335396E-2"/>
          <c:y val="0.12854683812005513"/>
          <c:w val="0.93450724594793"/>
          <c:h val="0.75983724429423538"/>
        </c:manualLayout>
      </c:layout>
      <c:barChart>
        <c:barDir val="col"/>
        <c:grouping val="clustered"/>
        <c:varyColors val="0"/>
        <c:ser>
          <c:idx val="0"/>
          <c:order val="0"/>
          <c:tx>
            <c:strRef>
              <c:f>Profile!$K$440</c:f>
              <c:strCache>
                <c:ptCount val="1"/>
                <c:pt idx="0">
                  <c:v>Kingston Buci</c:v>
                </c:pt>
              </c:strCache>
            </c:strRef>
          </c:tx>
          <c:spPr>
            <a:solidFill>
              <a:schemeClr val="accent3"/>
            </a:solidFill>
            <a:ln w="25400">
              <a:solidFill>
                <a:srgbClr val="FFFFFF"/>
              </a:solidFill>
              <a:prstDash val="solid"/>
            </a:ln>
          </c:spPr>
          <c:invertIfNegative val="0"/>
          <c:dLbls>
            <c:spPr>
              <a:noFill/>
              <a:ln w="25400">
                <a:noFill/>
              </a:ln>
            </c:spPr>
            <c:txPr>
              <a:bodyPr/>
              <a:lstStyle/>
              <a:p>
                <a:pPr>
                  <a:defRPr sz="9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errBars>
            <c:errBarType val="both"/>
            <c:errValType val="cust"/>
            <c:noEndCap val="0"/>
            <c:plus>
              <c:numRef>
                <c:f>(Profile!$K$442,Profile!$K$445,Profile!$K$448,Profile!$K$451)</c:f>
                <c:numCache>
                  <c:formatCode>General</c:formatCode>
                  <c:ptCount val="4"/>
                  <c:pt idx="0">
                    <c:v>8.14057286150731E-2</c:v>
                  </c:pt>
                  <c:pt idx="1">
                    <c:v>7.0998928149488216E-2</c:v>
                  </c:pt>
                  <c:pt idx="2">
                    <c:v>7.4118801758826139E-2</c:v>
                  </c:pt>
                  <c:pt idx="3">
                    <c:v>0.10746677905831528</c:v>
                  </c:pt>
                </c:numCache>
              </c:numRef>
            </c:plus>
            <c:minus>
              <c:numRef>
                <c:f>(Profile!$K$443,Profile!$K$446,Profile!$K$449,Profile!$K$452)</c:f>
                <c:numCache>
                  <c:formatCode>General</c:formatCode>
                  <c:ptCount val="4"/>
                  <c:pt idx="0">
                    <c:v>3.1664838034292118E-2</c:v>
                  </c:pt>
                  <c:pt idx="1">
                    <c:v>2.9755841524516696E-2</c:v>
                  </c:pt>
                  <c:pt idx="2">
                    <c:v>3.304600507514182E-2</c:v>
                  </c:pt>
                  <c:pt idx="3">
                    <c:v>5.6151778926389118E-2</c:v>
                  </c:pt>
                </c:numCache>
              </c:numRef>
            </c:minus>
            <c:spPr>
              <a:solidFill>
                <a:schemeClr val="accent2">
                  <a:lumMod val="60000"/>
                  <a:lumOff val="40000"/>
                </a:schemeClr>
              </a:solidFill>
              <a:ln w="12700">
                <a:solidFill>
                  <a:schemeClr val="tx1"/>
                </a:solidFill>
                <a:prstDash val="solid"/>
              </a:ln>
            </c:spPr>
          </c:errBars>
          <c:cat>
            <c:strRef>
              <c:f>(Profile!$J$441,Profile!$J$444,Profile!$J$447,Profile!$J$450)</c:f>
              <c:strCache>
                <c:ptCount val="4"/>
                <c:pt idx="0">
                  <c:v>% Smoking at the Time of BOOKING</c:v>
                </c:pt>
                <c:pt idx="1">
                  <c:v>% Smoking at the Time of DELIVERY</c:v>
                </c:pt>
                <c:pt idx="2">
                  <c:v>% Smoking at the Time of the 12-16 WEEK CHECK</c:v>
                </c:pt>
                <c:pt idx="3">
                  <c:v>% stating SMOKER IN THE HOUSEHOLD</c:v>
                </c:pt>
              </c:strCache>
            </c:strRef>
          </c:cat>
          <c:val>
            <c:numRef>
              <c:f>(Profile!$K$441,Profile!$K$444,Profile!$K$447,Profile!$K$450)</c:f>
              <c:numCache>
                <c:formatCode>0.0%</c:formatCode>
                <c:ptCount val="4"/>
                <c:pt idx="0">
                  <c:v>7.4494949494949489E-2</c:v>
                </c:pt>
                <c:pt idx="1">
                  <c:v>5.8712121212121209E-2</c:v>
                </c:pt>
                <c:pt idx="2">
                  <c:v>6.8813131313131312E-2</c:v>
                </c:pt>
                <c:pt idx="3">
                  <c:v>0.20391414141414141</c:v>
                </c:pt>
              </c:numCache>
            </c:numRef>
          </c:val>
        </c:ser>
        <c:ser>
          <c:idx val="1"/>
          <c:order val="1"/>
          <c:tx>
            <c:strRef>
              <c:f>Profile!$L$440</c:f>
              <c:strCache>
                <c:ptCount val="1"/>
                <c:pt idx="0">
                  <c:v>Stepping Stones</c:v>
                </c:pt>
              </c:strCache>
            </c:strRef>
          </c:tx>
          <c:spPr>
            <a:solidFill>
              <a:srgbClr val="C0C0C0"/>
            </a:solidFill>
            <a:ln w="25400">
              <a:solidFill>
                <a:srgbClr val="FFFFFF"/>
              </a:solidFill>
              <a:prstDash val="solid"/>
            </a:ln>
          </c:spPr>
          <c:invertIfNegative val="0"/>
          <c:dLbls>
            <c:spPr>
              <a:noFill/>
              <a:ln w="25400">
                <a:noFill/>
              </a:ln>
            </c:spPr>
            <c:txPr>
              <a:bodyPr/>
              <a:lstStyle/>
              <a:p>
                <a:pPr>
                  <a:defRPr sz="9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errBars>
            <c:errBarType val="both"/>
            <c:errValType val="cust"/>
            <c:noEndCap val="0"/>
            <c:plus>
              <c:numRef>
                <c:f>(Profile!$L$442,Profile!$L$445,Profile!$L$448,Profile!$L$451)</c:f>
                <c:numCache>
                  <c:formatCode>General</c:formatCode>
                  <c:ptCount val="4"/>
                  <c:pt idx="0">
                    <c:v>5.548622978558565E-2</c:v>
                  </c:pt>
                  <c:pt idx="1">
                    <c:v>3.0508412887976316E-2</c:v>
                  </c:pt>
                  <c:pt idx="2">
                    <c:v>5.273612479950468E-2</c:v>
                  </c:pt>
                  <c:pt idx="3">
                    <c:v>0.16773784720573778</c:v>
                  </c:pt>
                </c:numCache>
              </c:numRef>
            </c:plus>
            <c:minus>
              <c:numRef>
                <c:f>(Profile!$L$443,Profile!$L$446,Profile!$L$449,Profile!$L$452)</c:f>
                <c:numCache>
                  <c:formatCode>General</c:formatCode>
                  <c:ptCount val="4"/>
                  <c:pt idx="0">
                    <c:v>9.7375556209844477E-2</c:v>
                  </c:pt>
                  <c:pt idx="1">
                    <c:v>0.11361925247629466</c:v>
                  </c:pt>
                  <c:pt idx="2">
                    <c:v>0.11535702807024766</c:v>
                  </c:pt>
                  <c:pt idx="3">
                    <c:v>4.1591936169295407E-2</c:v>
                  </c:pt>
                </c:numCache>
              </c:numRef>
            </c:minus>
            <c:spPr>
              <a:ln w="12700">
                <a:solidFill>
                  <a:srgbClr val="000000"/>
                </a:solidFill>
                <a:prstDash val="solid"/>
              </a:ln>
            </c:spPr>
          </c:errBars>
          <c:cat>
            <c:strRef>
              <c:f>(Profile!$J$441,Profile!$J$444,Profile!$J$447,Profile!$J$450)</c:f>
              <c:strCache>
                <c:ptCount val="4"/>
                <c:pt idx="0">
                  <c:v>% Smoking at the Time of BOOKING</c:v>
                </c:pt>
                <c:pt idx="1">
                  <c:v>% Smoking at the Time of DELIVERY</c:v>
                </c:pt>
                <c:pt idx="2">
                  <c:v>% Smoking at the Time of the 12-16 WEEK CHECK</c:v>
                </c:pt>
                <c:pt idx="3">
                  <c:v>% stating SMOKER IN THE HOUSEHOLD</c:v>
                </c:pt>
              </c:strCache>
            </c:strRef>
          </c:cat>
          <c:val>
            <c:numRef>
              <c:f>(Profile!$L$441,Profile!$L$444,Profile!$L$447,Profile!$L$450)</c:f>
              <c:numCache>
                <c:formatCode>0.0%</c:formatCode>
                <c:ptCount val="4"/>
                <c:pt idx="0">
                  <c:v>0.15052910052910054</c:v>
                </c:pt>
                <c:pt idx="1">
                  <c:v>0.15661375661375662</c:v>
                </c:pt>
                <c:pt idx="2">
                  <c:v>0.18994708994708998</c:v>
                </c:pt>
                <c:pt idx="3">
                  <c:v>0.21177248677248675</c:v>
                </c:pt>
              </c:numCache>
            </c:numRef>
          </c:val>
        </c:ser>
        <c:ser>
          <c:idx val="2"/>
          <c:order val="2"/>
          <c:tx>
            <c:strRef>
              <c:f>Profile!$M$440</c:f>
              <c:strCache>
                <c:ptCount val="1"/>
                <c:pt idx="0">
                  <c:v>West Sussex</c:v>
                </c:pt>
              </c:strCache>
            </c:strRef>
          </c:tx>
          <c:spPr>
            <a:solidFill>
              <a:srgbClr val="CCFF33"/>
            </a:solidFill>
            <a:ln w="25400">
              <a:solidFill>
                <a:srgbClr val="FFFFFF"/>
              </a:solidFill>
              <a:prstDash val="solid"/>
            </a:ln>
          </c:spPr>
          <c:invertIfNegative val="0"/>
          <c:dPt>
            <c:idx val="0"/>
            <c:invertIfNegative val="0"/>
            <c:bubble3D val="0"/>
          </c:dPt>
          <c:dPt>
            <c:idx val="1"/>
            <c:invertIfNegative val="0"/>
            <c:bubble3D val="0"/>
          </c:dPt>
          <c:dPt>
            <c:idx val="2"/>
            <c:invertIfNegative val="0"/>
            <c:bubble3D val="0"/>
          </c:dPt>
          <c:dPt>
            <c:idx val="3"/>
            <c:invertIfNegative val="0"/>
            <c:bubble3D val="0"/>
          </c:dPt>
          <c:dLbls>
            <c:spPr>
              <a:noFill/>
              <a:ln w="25400">
                <a:noFill/>
              </a:ln>
            </c:spPr>
            <c:txPr>
              <a:bodyPr/>
              <a:lstStyle/>
              <a:p>
                <a:pPr>
                  <a:defRPr sz="9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0"/>
          </c:dLbls>
          <c:errBars>
            <c:errBarType val="both"/>
            <c:errValType val="cust"/>
            <c:noEndCap val="0"/>
            <c:plus>
              <c:numRef>
                <c:f>(Profile!$M$442,Profile!$M$445,Profile!$M$448,Profile!$M$451)</c:f>
                <c:numCache>
                  <c:formatCode>General</c:formatCode>
                  <c:ptCount val="4"/>
                  <c:pt idx="0">
                    <c:v>9.0583704320736091E-3</c:v>
                  </c:pt>
                  <c:pt idx="1">
                    <c:v>8.1795720955172707E-3</c:v>
                  </c:pt>
                  <c:pt idx="2">
                    <c:v>8.9497172495540539E-3</c:v>
                  </c:pt>
                  <c:pt idx="3">
                    <c:v>1.1862090348510046E-2</c:v>
                  </c:pt>
                </c:numCache>
              </c:numRef>
            </c:plus>
            <c:minus>
              <c:numRef>
                <c:f>(Profile!$M$443,Profile!$M$446,Profile!$M$449,Profile!$M$452)</c:f>
                <c:numCache>
                  <c:formatCode>General</c:formatCode>
                  <c:ptCount val="4"/>
                  <c:pt idx="0">
                    <c:v>8.455220119170756E-3</c:v>
                  </c:pt>
                  <c:pt idx="1">
                    <c:v>7.5390341125708971E-3</c:v>
                  </c:pt>
                  <c:pt idx="2">
                    <c:v>8.3401232189023455E-3</c:v>
                  </c:pt>
                  <c:pt idx="3">
                    <c:v>1.1431742281282742E-2</c:v>
                  </c:pt>
                </c:numCache>
              </c:numRef>
            </c:minus>
            <c:spPr>
              <a:ln w="12700">
                <a:solidFill>
                  <a:srgbClr val="000000"/>
                </a:solidFill>
                <a:prstDash val="solid"/>
              </a:ln>
            </c:spPr>
          </c:errBars>
          <c:cat>
            <c:strRef>
              <c:f>(Profile!$J$441,Profile!$J$444,Profile!$J$447,Profile!$J$450)</c:f>
              <c:strCache>
                <c:ptCount val="4"/>
                <c:pt idx="0">
                  <c:v>% Smoking at the Time of BOOKING</c:v>
                </c:pt>
                <c:pt idx="1">
                  <c:v>% Smoking at the Time of DELIVERY</c:v>
                </c:pt>
                <c:pt idx="2">
                  <c:v>% Smoking at the Time of the 12-16 WEEK CHECK</c:v>
                </c:pt>
                <c:pt idx="3">
                  <c:v>% stating SMOKER IN THE HOUSEHOLD</c:v>
                </c:pt>
              </c:strCache>
            </c:strRef>
          </c:cat>
          <c:val>
            <c:numRef>
              <c:f>(Profile!$M$441,Profile!$M$444,Profile!$M$447,Profile!$M$450)</c:f>
              <c:numCache>
                <c:formatCode>0.0%</c:formatCode>
                <c:ptCount val="4"/>
                <c:pt idx="0">
                  <c:v>0.1111111111111111</c:v>
                </c:pt>
                <c:pt idx="1">
                  <c:v>8.7088300666801371E-2</c:v>
                </c:pt>
                <c:pt idx="2">
                  <c:v>0.10767051204209674</c:v>
                </c:pt>
                <c:pt idx="3">
                  <c:v>0.22409589597724502</c:v>
                </c:pt>
              </c:numCache>
            </c:numRef>
          </c:val>
        </c:ser>
        <c:dLbls>
          <c:showLegendKey val="0"/>
          <c:showVal val="0"/>
          <c:showCatName val="0"/>
          <c:showSerName val="0"/>
          <c:showPercent val="0"/>
          <c:showBubbleSize val="0"/>
        </c:dLbls>
        <c:gapWidth val="150"/>
        <c:axId val="105272448"/>
        <c:axId val="105273984"/>
      </c:barChart>
      <c:catAx>
        <c:axId val="105272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Calibri"/>
                <a:ea typeface="Calibri"/>
                <a:cs typeface="Calibri"/>
              </a:defRPr>
            </a:pPr>
            <a:endParaRPr lang="en-US"/>
          </a:p>
        </c:txPr>
        <c:crossAx val="105273984"/>
        <c:crosses val="autoZero"/>
        <c:auto val="1"/>
        <c:lblAlgn val="ctr"/>
        <c:lblOffset val="100"/>
        <c:tickLblSkip val="1"/>
        <c:tickMarkSkip val="1"/>
        <c:noMultiLvlLbl val="0"/>
      </c:catAx>
      <c:valAx>
        <c:axId val="105273984"/>
        <c:scaling>
          <c:orientation val="minMax"/>
          <c:min val="0"/>
        </c:scaling>
        <c:delete val="0"/>
        <c:axPos val="l"/>
        <c:majorGridlines>
          <c:spPr>
            <a:ln w="3175">
              <a:solidFill>
                <a:srgbClr val="96969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Calibri"/>
                <a:ea typeface="Calibri"/>
                <a:cs typeface="Calibri"/>
              </a:defRPr>
            </a:pPr>
            <a:endParaRPr lang="en-US"/>
          </a:p>
        </c:txPr>
        <c:crossAx val="105272448"/>
        <c:crosses val="autoZero"/>
        <c:crossBetween val="between"/>
      </c:valAx>
      <c:spPr>
        <a:noFill/>
        <a:ln w="25400">
          <a:noFill/>
        </a:ln>
      </c:spPr>
    </c:plotArea>
    <c:legend>
      <c:legendPos val="r"/>
      <c:layout>
        <c:manualLayout>
          <c:xMode val="edge"/>
          <c:yMode val="edge"/>
          <c:x val="4.9399119042313672E-2"/>
          <c:y val="7.685455503033241E-4"/>
          <c:w val="0.58156465367251964"/>
          <c:h val="0.12098772725436875"/>
        </c:manualLayout>
      </c:layout>
      <c:overlay val="0"/>
      <c:spPr>
        <a:solidFill>
          <a:srgbClr val="FFFFFF"/>
        </a:solidFill>
        <a:ln w="25400">
          <a:noFill/>
        </a:ln>
      </c:spPr>
      <c:txPr>
        <a:bodyPr/>
        <a:lstStyle/>
        <a:p>
          <a:pPr>
            <a:defRPr sz="101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000" b="1"/>
            </a:pPr>
            <a:r>
              <a:rPr lang="en-GB" sz="1000" b="1"/>
              <a:t>Lone Parent Families on Low Income</a:t>
            </a:r>
          </a:p>
        </c:rich>
      </c:tx>
      <c:layout>
        <c:manualLayout>
          <c:xMode val="edge"/>
          <c:yMode val="edge"/>
          <c:x val="3.1187269279627429E-2"/>
          <c:y val="3.1078779470078203E-2"/>
        </c:manualLayout>
      </c:layout>
      <c:overlay val="0"/>
      <c:spPr>
        <a:noFill/>
        <a:ln w="25400">
          <a:noFill/>
        </a:ln>
      </c:spPr>
    </c:title>
    <c:autoTitleDeleted val="0"/>
    <c:plotArea>
      <c:layout>
        <c:manualLayout>
          <c:layoutTarget val="inner"/>
          <c:xMode val="edge"/>
          <c:yMode val="edge"/>
          <c:x val="0.11098126030713992"/>
          <c:y val="0.17050583958324103"/>
          <c:w val="0.85348703024663009"/>
          <c:h val="0.7140112295689991"/>
        </c:manualLayout>
      </c:layout>
      <c:barChart>
        <c:barDir val="col"/>
        <c:grouping val="clustered"/>
        <c:varyColors val="0"/>
        <c:ser>
          <c:idx val="0"/>
          <c:order val="0"/>
          <c:tx>
            <c:strRef>
              <c:f>Profile!$J$226</c:f>
              <c:strCache>
                <c:ptCount val="1"/>
                <c:pt idx="0">
                  <c:v>2011</c:v>
                </c:pt>
              </c:strCache>
            </c:strRef>
          </c:tx>
          <c:spPr>
            <a:solidFill>
              <a:srgbClr val="9999FF"/>
            </a:solidFill>
            <a:ln w="25400">
              <a:solidFill>
                <a:srgbClr val="FFFFFF"/>
              </a:solidFill>
              <a:prstDash val="solid"/>
            </a:ln>
          </c:spPr>
          <c:invertIfNegative val="0"/>
          <c:dPt>
            <c:idx val="0"/>
            <c:invertIfNegative val="0"/>
            <c:bubble3D val="0"/>
            <c:spPr>
              <a:solidFill>
                <a:schemeClr val="accent3"/>
              </a:solidFill>
              <a:ln w="25400">
                <a:solidFill>
                  <a:srgbClr val="FFFFFF"/>
                </a:solidFill>
                <a:prstDash val="solid"/>
              </a:ln>
            </c:spPr>
          </c:dPt>
          <c:dPt>
            <c:idx val="1"/>
            <c:invertIfNegative val="0"/>
            <c:bubble3D val="0"/>
            <c:spPr>
              <a:solidFill>
                <a:schemeClr val="accent5">
                  <a:lumMod val="60000"/>
                  <a:lumOff val="40000"/>
                </a:schemeClr>
              </a:solidFill>
              <a:ln w="25400">
                <a:solidFill>
                  <a:srgbClr val="FFFFFF"/>
                </a:solidFill>
                <a:prstDash val="solid"/>
              </a:ln>
            </c:spPr>
          </c:dPt>
          <c:dLbls>
            <c:spPr>
              <a:noFill/>
              <a:ln w="25400">
                <a:noFill/>
              </a:ln>
            </c:spPr>
            <c:txPr>
              <a:bodyPr rot="-5400000" vert="horz"/>
              <a:lstStyle/>
              <a:p>
                <a:pPr algn="ctr">
                  <a:defRPr>
                    <a:latin typeface="+mn-lt"/>
                  </a:defRPr>
                </a:pPr>
                <a:endParaRPr lang="en-US"/>
              </a:p>
            </c:txPr>
            <c:dLblPos val="inBase"/>
            <c:showLegendKey val="0"/>
            <c:showVal val="0"/>
            <c:showCatName val="0"/>
            <c:showSerName val="1"/>
            <c:showPercent val="0"/>
            <c:showBubbleSize val="0"/>
            <c:showLeaderLines val="0"/>
          </c:dLbls>
          <c:cat>
            <c:strRef>
              <c:f>Profile!$K$225:$L$225</c:f>
              <c:strCache>
                <c:ptCount val="2"/>
                <c:pt idx="0">
                  <c:v>Kingston Buci</c:v>
                </c:pt>
                <c:pt idx="1">
                  <c:v>Stepping Stones</c:v>
                </c:pt>
              </c:strCache>
            </c:strRef>
          </c:cat>
          <c:val>
            <c:numRef>
              <c:f>Profile!$K$226:$L$226</c:f>
              <c:numCache>
                <c:formatCode>#,##0</c:formatCode>
                <c:ptCount val="2"/>
                <c:pt idx="0">
                  <c:v>135</c:v>
                </c:pt>
                <c:pt idx="1">
                  <c:v>145</c:v>
                </c:pt>
              </c:numCache>
            </c:numRef>
          </c:val>
        </c:ser>
        <c:ser>
          <c:idx val="1"/>
          <c:order val="1"/>
          <c:tx>
            <c:strRef>
              <c:f>Profile!$J$227</c:f>
              <c:strCache>
                <c:ptCount val="1"/>
                <c:pt idx="0">
                  <c:v>2012</c:v>
                </c:pt>
              </c:strCache>
            </c:strRef>
          </c:tx>
          <c:spPr>
            <a:solidFill>
              <a:srgbClr val="FFCC00"/>
            </a:solidFill>
            <a:ln w="25400">
              <a:solidFill>
                <a:srgbClr val="FFFFFF"/>
              </a:solidFill>
              <a:prstDash val="solid"/>
            </a:ln>
          </c:spPr>
          <c:invertIfNegative val="0"/>
          <c:dPt>
            <c:idx val="0"/>
            <c:invertIfNegative val="0"/>
            <c:bubble3D val="0"/>
            <c:spPr>
              <a:solidFill>
                <a:schemeClr val="accent3"/>
              </a:solidFill>
              <a:ln w="25400">
                <a:solidFill>
                  <a:srgbClr val="FFFFFF"/>
                </a:solidFill>
                <a:prstDash val="solid"/>
              </a:ln>
            </c:spPr>
          </c:dPt>
          <c:dPt>
            <c:idx val="1"/>
            <c:invertIfNegative val="0"/>
            <c:bubble3D val="0"/>
            <c:spPr>
              <a:solidFill>
                <a:schemeClr val="accent5">
                  <a:lumMod val="60000"/>
                  <a:lumOff val="40000"/>
                </a:schemeClr>
              </a:solidFill>
              <a:ln w="25400">
                <a:solidFill>
                  <a:srgbClr val="FFFFFF"/>
                </a:solidFill>
                <a:prstDash val="solid"/>
              </a:ln>
            </c:spPr>
          </c:dPt>
          <c:dLbls>
            <c:dLbl>
              <c:idx val="0"/>
              <c:layout/>
              <c:spPr>
                <a:noFill/>
                <a:ln w="25400">
                  <a:noFill/>
                </a:ln>
              </c:spPr>
              <c:txPr>
                <a:bodyPr rot="-5400000" vert="horz"/>
                <a:lstStyle/>
                <a:p>
                  <a:pPr algn="ctr">
                    <a:defRPr>
                      <a:latin typeface="+mn-lt"/>
                    </a:defRPr>
                  </a:pPr>
                  <a:endParaRPr lang="en-US"/>
                </a:p>
              </c:txPr>
              <c:dLblPos val="inBase"/>
              <c:showLegendKey val="0"/>
              <c:showVal val="0"/>
              <c:showCatName val="0"/>
              <c:showSerName val="1"/>
              <c:showPercent val="0"/>
              <c:showBubbleSize val="0"/>
            </c:dLbl>
            <c:dLbl>
              <c:idx val="1"/>
              <c:layout/>
              <c:spPr>
                <a:noFill/>
                <a:ln w="25400">
                  <a:noFill/>
                </a:ln>
              </c:spPr>
              <c:txPr>
                <a:bodyPr rot="-5400000" vert="horz"/>
                <a:lstStyle/>
                <a:p>
                  <a:pPr algn="ctr">
                    <a:defRPr>
                      <a:latin typeface="+mn-lt"/>
                    </a:defRPr>
                  </a:pPr>
                  <a:endParaRPr lang="en-US"/>
                </a:p>
              </c:txPr>
              <c:dLblPos val="inBase"/>
              <c:showLegendKey val="0"/>
              <c:showVal val="0"/>
              <c:showCatName val="0"/>
              <c:showSerName val="1"/>
              <c:showPercent val="0"/>
              <c:showBubbleSize val="0"/>
            </c:dLbl>
            <c:txPr>
              <a:bodyPr/>
              <a:lstStyle/>
              <a:p>
                <a:pPr>
                  <a:defRPr>
                    <a:latin typeface="+mn-lt"/>
                  </a:defRPr>
                </a:pPr>
                <a:endParaRPr lang="en-US"/>
              </a:p>
            </c:txPr>
            <c:showLegendKey val="0"/>
            <c:showVal val="0"/>
            <c:showCatName val="0"/>
            <c:showSerName val="0"/>
            <c:showPercent val="0"/>
            <c:showBubbleSize val="0"/>
          </c:dLbls>
          <c:cat>
            <c:strRef>
              <c:f>Profile!$K$225:$L$225</c:f>
              <c:strCache>
                <c:ptCount val="2"/>
                <c:pt idx="0">
                  <c:v>Kingston Buci</c:v>
                </c:pt>
                <c:pt idx="1">
                  <c:v>Stepping Stones</c:v>
                </c:pt>
              </c:strCache>
            </c:strRef>
          </c:cat>
          <c:val>
            <c:numRef>
              <c:f>Profile!$K$227:$L$227</c:f>
              <c:numCache>
                <c:formatCode>#,##0</c:formatCode>
                <c:ptCount val="2"/>
                <c:pt idx="0">
                  <c:v>105</c:v>
                </c:pt>
                <c:pt idx="1">
                  <c:v>130</c:v>
                </c:pt>
              </c:numCache>
            </c:numRef>
          </c:val>
        </c:ser>
        <c:ser>
          <c:idx val="2"/>
          <c:order val="2"/>
          <c:tx>
            <c:strRef>
              <c:f>Profile!$J$228</c:f>
              <c:strCache>
                <c:ptCount val="1"/>
                <c:pt idx="0">
                  <c:v>2013</c:v>
                </c:pt>
              </c:strCache>
            </c:strRef>
          </c:tx>
          <c:spPr>
            <a:solidFill>
              <a:srgbClr val="FFCC00"/>
            </a:solidFill>
            <a:ln w="25400">
              <a:solidFill>
                <a:srgbClr val="FFFFFF"/>
              </a:solidFill>
              <a:prstDash val="solid"/>
            </a:ln>
          </c:spPr>
          <c:invertIfNegative val="0"/>
          <c:dPt>
            <c:idx val="0"/>
            <c:invertIfNegative val="0"/>
            <c:bubble3D val="0"/>
            <c:spPr>
              <a:solidFill>
                <a:schemeClr val="accent3"/>
              </a:solidFill>
              <a:ln w="25400">
                <a:solidFill>
                  <a:srgbClr val="FFFFFF"/>
                </a:solidFill>
                <a:prstDash val="solid"/>
              </a:ln>
            </c:spPr>
          </c:dPt>
          <c:dPt>
            <c:idx val="1"/>
            <c:invertIfNegative val="0"/>
            <c:bubble3D val="0"/>
            <c:spPr>
              <a:solidFill>
                <a:schemeClr val="accent5">
                  <a:lumMod val="60000"/>
                  <a:lumOff val="40000"/>
                </a:schemeClr>
              </a:solidFill>
              <a:ln w="25400">
                <a:solidFill>
                  <a:srgbClr val="FFFFFF"/>
                </a:solidFill>
                <a:prstDash val="solid"/>
              </a:ln>
            </c:spPr>
          </c:dPt>
          <c:dLbls>
            <c:spPr>
              <a:noFill/>
              <a:ln w="25400">
                <a:noFill/>
              </a:ln>
            </c:spPr>
            <c:txPr>
              <a:bodyPr rot="-5400000" vert="horz"/>
              <a:lstStyle/>
              <a:p>
                <a:pPr algn="ctr">
                  <a:defRPr>
                    <a:latin typeface="+mn-lt"/>
                  </a:defRPr>
                </a:pPr>
                <a:endParaRPr lang="en-US"/>
              </a:p>
            </c:txPr>
            <c:dLblPos val="inBase"/>
            <c:showLegendKey val="0"/>
            <c:showVal val="0"/>
            <c:showCatName val="0"/>
            <c:showSerName val="1"/>
            <c:showPercent val="0"/>
            <c:showBubbleSize val="0"/>
            <c:showLeaderLines val="0"/>
          </c:dLbls>
          <c:cat>
            <c:strRef>
              <c:f>Profile!$K$225:$L$225</c:f>
              <c:strCache>
                <c:ptCount val="2"/>
                <c:pt idx="0">
                  <c:v>Kingston Buci</c:v>
                </c:pt>
                <c:pt idx="1">
                  <c:v>Stepping Stones</c:v>
                </c:pt>
              </c:strCache>
            </c:strRef>
          </c:cat>
          <c:val>
            <c:numRef>
              <c:f>Profile!$K$228:$L$228</c:f>
              <c:numCache>
                <c:formatCode>#,##0</c:formatCode>
                <c:ptCount val="2"/>
                <c:pt idx="0">
                  <c:v>95</c:v>
                </c:pt>
                <c:pt idx="1">
                  <c:v>105</c:v>
                </c:pt>
              </c:numCache>
            </c:numRef>
          </c:val>
        </c:ser>
        <c:dLbls>
          <c:showLegendKey val="0"/>
          <c:showVal val="0"/>
          <c:showCatName val="0"/>
          <c:showSerName val="0"/>
          <c:showPercent val="0"/>
          <c:showBubbleSize val="0"/>
        </c:dLbls>
        <c:gapWidth val="150"/>
        <c:axId val="105326080"/>
        <c:axId val="105330560"/>
      </c:barChart>
      <c:catAx>
        <c:axId val="105326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a:latin typeface="+mn-lt"/>
              </a:defRPr>
            </a:pPr>
            <a:endParaRPr lang="en-US"/>
          </a:p>
        </c:txPr>
        <c:crossAx val="105330560"/>
        <c:crosses val="autoZero"/>
        <c:auto val="1"/>
        <c:lblAlgn val="ctr"/>
        <c:lblOffset val="100"/>
        <c:tickLblSkip val="1"/>
        <c:tickMarkSkip val="1"/>
        <c:noMultiLvlLbl val="0"/>
      </c:catAx>
      <c:valAx>
        <c:axId val="105330560"/>
        <c:scaling>
          <c:orientation val="minMax"/>
          <c:min val="0"/>
        </c:scaling>
        <c:delete val="0"/>
        <c:axPos val="l"/>
        <c:majorGridlines>
          <c:spPr>
            <a:ln w="3175">
              <a:solidFill>
                <a:srgbClr val="969696"/>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800">
                <a:latin typeface="+mn-lt"/>
              </a:defRPr>
            </a:pPr>
            <a:endParaRPr lang="en-US"/>
          </a:p>
        </c:txPr>
        <c:crossAx val="105326080"/>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Gill Sans MT" pitchFamily="34" charset="0"/>
          <a:ea typeface="Calibri"/>
          <a:cs typeface="Calibri"/>
        </a:defRPr>
      </a:pPr>
      <a:endParaRPr lang="en-US"/>
    </a:p>
  </c:txPr>
  <c:printSettings>
    <c:headerFooter alignWithMargins="0"/>
    <c:pageMargins b="1" l="0.75" r="0.75" t="1" header="0.5" footer="0.5"/>
    <c:pageSetup paperSize="9" orientation="landscape" verticalDpi="0"/>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0082215816518365E-2"/>
          <c:y val="2.2222526532009585E-2"/>
          <c:w val="0.80492893846346658"/>
          <c:h val="0.91029162374658823"/>
        </c:manualLayout>
      </c:layout>
      <c:barChart>
        <c:barDir val="col"/>
        <c:grouping val="stacked"/>
        <c:varyColors val="0"/>
        <c:ser>
          <c:idx val="0"/>
          <c:order val="0"/>
          <c:tx>
            <c:strRef>
              <c:f>Profile!$M$151</c:f>
              <c:strCache>
                <c:ptCount val="1"/>
                <c:pt idx="0">
                  <c:v>Under 20</c:v>
                </c:pt>
              </c:strCache>
            </c:strRef>
          </c:tx>
          <c:spPr>
            <a:solidFill>
              <a:schemeClr val="accent5">
                <a:lumMod val="50000"/>
              </a:schemeClr>
            </a:solidFill>
            <a:ln w="12700">
              <a:solidFill>
                <a:schemeClr val="accent5">
                  <a:lumMod val="50000"/>
                </a:schemeClr>
              </a:solidFill>
              <a:prstDash val="solid"/>
            </a:ln>
          </c:spPr>
          <c:invertIfNegative val="0"/>
          <c:cat>
            <c:strRef>
              <c:f>Profile!$I$152:$I$155</c:f>
              <c:strCache>
                <c:ptCount val="4"/>
                <c:pt idx="0">
                  <c:v>2009</c:v>
                </c:pt>
                <c:pt idx="1">
                  <c:v>2010</c:v>
                </c:pt>
                <c:pt idx="2">
                  <c:v>2011</c:v>
                </c:pt>
                <c:pt idx="3">
                  <c:v>2012</c:v>
                </c:pt>
              </c:strCache>
            </c:strRef>
          </c:cat>
          <c:val>
            <c:numRef>
              <c:f>Profile!$M$152:$M$155</c:f>
              <c:numCache>
                <c:formatCode>0</c:formatCode>
                <c:ptCount val="4"/>
                <c:pt idx="0">
                  <c:v>10</c:v>
                </c:pt>
                <c:pt idx="1">
                  <c:v>7</c:v>
                </c:pt>
                <c:pt idx="2">
                  <c:v>5</c:v>
                </c:pt>
                <c:pt idx="3">
                  <c:v>7</c:v>
                </c:pt>
              </c:numCache>
            </c:numRef>
          </c:val>
        </c:ser>
        <c:ser>
          <c:idx val="1"/>
          <c:order val="1"/>
          <c:tx>
            <c:strRef>
              <c:f>Profile!$N$151</c:f>
              <c:strCache>
                <c:ptCount val="1"/>
                <c:pt idx="0">
                  <c:v>All Births</c:v>
                </c:pt>
              </c:strCache>
            </c:strRef>
          </c:tx>
          <c:spPr>
            <a:solidFill>
              <a:schemeClr val="accent5">
                <a:lumMod val="60000"/>
                <a:lumOff val="40000"/>
              </a:schemeClr>
            </a:solidFill>
            <a:ln w="12700">
              <a:solidFill>
                <a:srgbClr val="FFFFFF"/>
              </a:solidFill>
              <a:prstDash val="solid"/>
            </a:ln>
          </c:spPr>
          <c:invertIfNegative val="0"/>
          <c:cat>
            <c:strRef>
              <c:f>Profile!$I$152:$I$155</c:f>
              <c:strCache>
                <c:ptCount val="4"/>
                <c:pt idx="0">
                  <c:v>2009</c:v>
                </c:pt>
                <c:pt idx="1">
                  <c:v>2010</c:v>
                </c:pt>
                <c:pt idx="2">
                  <c:v>2011</c:v>
                </c:pt>
                <c:pt idx="3">
                  <c:v>2012</c:v>
                </c:pt>
              </c:strCache>
            </c:strRef>
          </c:cat>
          <c:val>
            <c:numRef>
              <c:f>Profile!$N$152:$N$155</c:f>
              <c:numCache>
                <c:formatCode>#,##0</c:formatCode>
                <c:ptCount val="4"/>
                <c:pt idx="0">
                  <c:v>99</c:v>
                </c:pt>
                <c:pt idx="1">
                  <c:v>118</c:v>
                </c:pt>
                <c:pt idx="2">
                  <c:v>102</c:v>
                </c:pt>
                <c:pt idx="3">
                  <c:v>131</c:v>
                </c:pt>
              </c:numCache>
            </c:numRef>
          </c:val>
        </c:ser>
        <c:dLbls>
          <c:showLegendKey val="0"/>
          <c:showVal val="0"/>
          <c:showCatName val="0"/>
          <c:showSerName val="0"/>
          <c:showPercent val="0"/>
          <c:showBubbleSize val="0"/>
        </c:dLbls>
        <c:gapWidth val="150"/>
        <c:overlap val="100"/>
        <c:axId val="105355520"/>
        <c:axId val="105361408"/>
      </c:barChart>
      <c:catAx>
        <c:axId val="105355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a:pPr>
            <a:endParaRPr lang="en-US"/>
          </a:p>
        </c:txPr>
        <c:crossAx val="105361408"/>
        <c:crosses val="autoZero"/>
        <c:auto val="1"/>
        <c:lblAlgn val="ctr"/>
        <c:lblOffset val="100"/>
        <c:tickLblSkip val="1"/>
        <c:tickMarkSkip val="1"/>
        <c:noMultiLvlLbl val="0"/>
      </c:catAx>
      <c:valAx>
        <c:axId val="105361408"/>
        <c:scaling>
          <c:orientation val="minMax"/>
          <c:min val="0"/>
        </c:scaling>
        <c:delete val="0"/>
        <c:axPos val="l"/>
        <c:majorGridlines>
          <c:spPr>
            <a:ln w="3175">
              <a:solidFill>
                <a:srgbClr val="969696"/>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a:pPr>
            <a:endParaRPr lang="en-US"/>
          </a:p>
        </c:txPr>
        <c:crossAx val="105355520"/>
        <c:crosses val="autoZero"/>
        <c:crossBetween val="between"/>
      </c:valAx>
      <c:spPr>
        <a:noFill/>
        <a:ln w="25400">
          <a:noFill/>
        </a:ln>
      </c:spPr>
    </c:plotArea>
    <c:legend>
      <c:legendPos val="r"/>
      <c:layout>
        <c:manualLayout>
          <c:xMode val="edge"/>
          <c:yMode val="edge"/>
          <c:x val="0.85103076948077327"/>
          <c:y val="8.5185262211789473E-2"/>
          <c:w val="0.131537344258667"/>
          <c:h val="0.78148218811685122"/>
        </c:manualLayout>
      </c:layout>
      <c:overlay val="0"/>
      <c:spPr>
        <a:solidFill>
          <a:srgbClr val="FFFFFF"/>
        </a:solidFill>
        <a:ln w="25400">
          <a:noFill/>
        </a:ln>
      </c:spPr>
    </c:legend>
    <c:plotVisOnly val="1"/>
    <c:dispBlanksAs val="gap"/>
    <c:showDLblsOverMax val="0"/>
  </c:chart>
  <c:spPr>
    <a:solidFill>
      <a:srgbClr val="FFFFFF"/>
    </a:solidFill>
    <a:ln w="9525">
      <a:noFill/>
    </a:ln>
  </c:spPr>
  <c:txPr>
    <a:bodyPr/>
    <a:lstStyle/>
    <a:p>
      <a:pPr>
        <a:defRPr sz="900" b="0" i="0" u="none" strike="noStrike" baseline="0">
          <a:solidFill>
            <a:srgbClr val="000000"/>
          </a:solidFill>
          <a:latin typeface="+mn-lt"/>
          <a:ea typeface="Calibri"/>
          <a:cs typeface="Calibri"/>
        </a:defRPr>
      </a:pPr>
      <a:endParaRPr lang="en-US"/>
    </a:p>
  </c:txPr>
  <c:printSettings>
    <c:headerFooter alignWithMargins="0"/>
    <c:pageMargins b="1" l="0.75" r="0.75" t="1" header="0.5" footer="0.5"/>
    <c:pageSetup paperSize="9" orientation="landscape"/>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493211759722394"/>
          <c:y val="7.0176008808058077E-2"/>
          <c:w val="0.86754461474310174"/>
          <c:h val="0.80572198754155444"/>
        </c:manualLayout>
      </c:layout>
      <c:barChart>
        <c:barDir val="col"/>
        <c:grouping val="clustered"/>
        <c:varyColors val="0"/>
        <c:ser>
          <c:idx val="0"/>
          <c:order val="0"/>
          <c:spPr>
            <a:solidFill>
              <a:schemeClr val="bg1">
                <a:lumMod val="65000"/>
              </a:schemeClr>
            </a:solidFill>
          </c:spPr>
          <c:invertIfNegative val="0"/>
          <c:dPt>
            <c:idx val="0"/>
            <c:invertIfNegative val="0"/>
            <c:bubble3D val="0"/>
            <c:spPr>
              <a:solidFill>
                <a:schemeClr val="accent3"/>
              </a:solidFill>
            </c:spPr>
          </c:dPt>
          <c:dPt>
            <c:idx val="1"/>
            <c:invertIfNegative val="0"/>
            <c:bubble3D val="0"/>
            <c:spPr>
              <a:solidFill>
                <a:schemeClr val="accent5">
                  <a:lumMod val="60000"/>
                  <a:lumOff val="40000"/>
                </a:schemeClr>
              </a:solidFill>
            </c:spPr>
          </c:dPt>
          <c:errBars>
            <c:errBarType val="both"/>
            <c:errValType val="cust"/>
            <c:noEndCap val="0"/>
            <c:plus>
              <c:numRef>
                <c:f>Profile!$H$168:$I$168</c:f>
                <c:numCache>
                  <c:formatCode>General</c:formatCode>
                  <c:ptCount val="2"/>
                  <c:pt idx="0">
                    <c:v>4.5572660232110929E-2</c:v>
                  </c:pt>
                  <c:pt idx="1">
                    <c:v>5.4279588477324017E-2</c:v>
                  </c:pt>
                </c:numCache>
              </c:numRef>
            </c:plus>
            <c:minus>
              <c:numRef>
                <c:f>Profile!$H$167:$I$167</c:f>
                <c:numCache>
                  <c:formatCode>General</c:formatCode>
                  <c:ptCount val="2"/>
                  <c:pt idx="0">
                    <c:v>2.9866830574543653E-2</c:v>
                  </c:pt>
                  <c:pt idx="1">
                    <c:v>2.4766159762733834E-2</c:v>
                  </c:pt>
                </c:numCache>
              </c:numRef>
            </c:minus>
          </c:errBars>
          <c:cat>
            <c:strRef>
              <c:f>Profile!$H$165:$I$165</c:f>
              <c:strCache>
                <c:ptCount val="2"/>
                <c:pt idx="0">
                  <c:v>Kingston Buci</c:v>
                </c:pt>
                <c:pt idx="1">
                  <c:v>Stepping Stones</c:v>
                </c:pt>
              </c:strCache>
            </c:strRef>
          </c:cat>
          <c:val>
            <c:numRef>
              <c:f>Profile!$H$166:$I$166</c:f>
              <c:numCache>
                <c:formatCode>0.00%</c:formatCode>
                <c:ptCount val="2"/>
                <c:pt idx="0">
                  <c:v>7.9207920792079209E-2</c:v>
                </c:pt>
                <c:pt idx="1">
                  <c:v>4.3478260869565216E-2</c:v>
                </c:pt>
              </c:numCache>
            </c:numRef>
          </c:val>
        </c:ser>
        <c:dLbls>
          <c:showLegendKey val="0"/>
          <c:showVal val="0"/>
          <c:showCatName val="0"/>
          <c:showSerName val="0"/>
          <c:showPercent val="0"/>
          <c:showBubbleSize val="0"/>
        </c:dLbls>
        <c:gapWidth val="150"/>
        <c:axId val="105649664"/>
        <c:axId val="105651200"/>
      </c:barChart>
      <c:catAx>
        <c:axId val="105649664"/>
        <c:scaling>
          <c:orientation val="minMax"/>
        </c:scaling>
        <c:delete val="0"/>
        <c:axPos val="b"/>
        <c:numFmt formatCode="General" sourceLinked="1"/>
        <c:majorTickMark val="out"/>
        <c:minorTickMark val="none"/>
        <c:tickLblPos val="nextTo"/>
        <c:txPr>
          <a:bodyPr rot="0" vert="horz"/>
          <a:lstStyle/>
          <a:p>
            <a:pPr>
              <a:defRPr sz="900" b="0" i="0" u="none" strike="noStrike" baseline="0">
                <a:solidFill>
                  <a:srgbClr val="000000"/>
                </a:solidFill>
                <a:latin typeface="Gill Sans MT" pitchFamily="34" charset="0"/>
                <a:ea typeface="Calibri"/>
                <a:cs typeface="Calibri"/>
              </a:defRPr>
            </a:pPr>
            <a:endParaRPr lang="en-US"/>
          </a:p>
        </c:txPr>
        <c:crossAx val="105651200"/>
        <c:crosses val="autoZero"/>
        <c:auto val="1"/>
        <c:lblAlgn val="ctr"/>
        <c:lblOffset val="100"/>
        <c:noMultiLvlLbl val="0"/>
      </c:catAx>
      <c:valAx>
        <c:axId val="105651200"/>
        <c:scaling>
          <c:orientation val="minMax"/>
        </c:scaling>
        <c:delete val="0"/>
        <c:axPos val="l"/>
        <c:majorGridlines>
          <c:spPr>
            <a:ln>
              <a:solidFill>
                <a:schemeClr val="bg1">
                  <a:lumMod val="65000"/>
                </a:schemeClr>
              </a:solidFill>
              <a:prstDash val="dash"/>
            </a:ln>
          </c:spPr>
        </c:majorGridlines>
        <c:numFmt formatCode="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056496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5609095410545935E-2"/>
          <c:y val="0.14027024114584"/>
          <c:w val="0.94436132983377075"/>
          <c:h val="0.75827882910115052"/>
        </c:manualLayout>
      </c:layout>
      <c:barChart>
        <c:barDir val="col"/>
        <c:grouping val="clustered"/>
        <c:varyColors val="0"/>
        <c:ser>
          <c:idx val="0"/>
          <c:order val="0"/>
          <c:tx>
            <c:strRef>
              <c:f>Profile!$B$310</c:f>
              <c:strCache>
                <c:ptCount val="1"/>
                <c:pt idx="0">
                  <c:v>2009/10</c:v>
                </c:pt>
              </c:strCache>
            </c:strRef>
          </c:tx>
          <c:invertIfNegative val="0"/>
          <c:dPt>
            <c:idx val="0"/>
            <c:invertIfNegative val="0"/>
            <c:bubble3D val="0"/>
            <c:spPr>
              <a:solidFill>
                <a:srgbClr val="8CAF47"/>
              </a:solidFill>
              <a:ln>
                <a:solidFill>
                  <a:schemeClr val="bg1"/>
                </a:solidFill>
              </a:ln>
            </c:spPr>
          </c:dPt>
          <c:dPt>
            <c:idx val="1"/>
            <c:invertIfNegative val="0"/>
            <c:bubble3D val="0"/>
            <c:spPr>
              <a:solidFill>
                <a:schemeClr val="accent5">
                  <a:lumMod val="60000"/>
                  <a:lumOff val="40000"/>
                </a:schemeClr>
              </a:solidFill>
              <a:ln>
                <a:solidFill>
                  <a:schemeClr val="bg1"/>
                </a:solidFill>
              </a:ln>
            </c:spPr>
          </c:dPt>
          <c:dPt>
            <c:idx val="2"/>
            <c:invertIfNegative val="0"/>
            <c:bubble3D val="0"/>
            <c:spPr>
              <a:solidFill>
                <a:srgbClr val="CCFF33"/>
              </a:solidFill>
              <a:ln>
                <a:solidFill>
                  <a:schemeClr val="bg1"/>
                </a:solidFill>
              </a:ln>
            </c:spPr>
          </c:dPt>
          <c:dPt>
            <c:idx val="3"/>
            <c:invertIfNegative val="0"/>
            <c:bubble3D val="0"/>
            <c:spPr>
              <a:solidFill>
                <a:schemeClr val="bg1">
                  <a:lumMod val="65000"/>
                </a:schemeClr>
              </a:solidFill>
              <a:ln>
                <a:solidFill>
                  <a:schemeClr val="bg1"/>
                </a:solidFill>
              </a:ln>
            </c:spPr>
          </c:dPt>
          <c:dLbls>
            <c:txPr>
              <a:bodyPr rot="-5400000" vert="horz"/>
              <a:lstStyle/>
              <a:p>
                <a:pPr>
                  <a:defRPr sz="1100"/>
                </a:pPr>
                <a:endParaRPr lang="en-US"/>
              </a:p>
            </c:txPr>
            <c:dLblPos val="inBase"/>
            <c:showLegendKey val="0"/>
            <c:showVal val="0"/>
            <c:showCatName val="0"/>
            <c:showSerName val="1"/>
            <c:showPercent val="0"/>
            <c:showBubbleSize val="0"/>
            <c:showLeaderLines val="0"/>
          </c:dLbls>
          <c:errBars>
            <c:errBarType val="both"/>
            <c:errValType val="cust"/>
            <c:noEndCap val="0"/>
            <c:plus>
              <c:numRef>
                <c:f>Profile!$C$311:$F$311</c:f>
                <c:numCache>
                  <c:formatCode>General</c:formatCode>
                  <c:ptCount val="4"/>
                  <c:pt idx="0">
                    <c:v>5.1622522450943217E-2</c:v>
                  </c:pt>
                  <c:pt idx="1">
                    <c:v>6.7778448033775918E-2</c:v>
                  </c:pt>
                  <c:pt idx="2">
                    <c:v>7.0000000000000062E-3</c:v>
                  </c:pt>
                  <c:pt idx="3">
                    <c:v>1.0000000000000009E-3</c:v>
                  </c:pt>
                </c:numCache>
              </c:numRef>
            </c:plus>
            <c:minus>
              <c:numRef>
                <c:f>Profile!$C$312:$F$312</c:f>
                <c:numCache>
                  <c:formatCode>General</c:formatCode>
                  <c:ptCount val="4"/>
                  <c:pt idx="0">
                    <c:v>2.5217155828076224E-2</c:v>
                  </c:pt>
                  <c:pt idx="1">
                    <c:v>2.8608562696341055E-2</c:v>
                  </c:pt>
                  <c:pt idx="2">
                    <c:v>6.0000000000000053E-3</c:v>
                  </c:pt>
                  <c:pt idx="3">
                    <c:v>1.0000000000000009E-3</c:v>
                  </c:pt>
                </c:numCache>
              </c:numRef>
            </c:minus>
            <c:spPr>
              <a:ln>
                <a:solidFill>
                  <a:schemeClr val="tx1">
                    <a:lumMod val="65000"/>
                    <a:lumOff val="35000"/>
                  </a:schemeClr>
                </a:solidFill>
              </a:ln>
            </c:spPr>
          </c:errBars>
          <c:cat>
            <c:strRef>
              <c:f>Profile!$C$309:$F$309</c:f>
              <c:strCache>
                <c:ptCount val="4"/>
                <c:pt idx="0">
                  <c:v>Kingston Buci</c:v>
                </c:pt>
                <c:pt idx="1">
                  <c:v>Stepping Stones</c:v>
                </c:pt>
                <c:pt idx="2">
                  <c:v>West Sussex</c:v>
                </c:pt>
                <c:pt idx="3">
                  <c:v>England</c:v>
                </c:pt>
              </c:strCache>
            </c:strRef>
          </c:cat>
          <c:val>
            <c:numRef>
              <c:f>Profile!$C$310:$F$310</c:f>
              <c:numCache>
                <c:formatCode>0.0%</c:formatCode>
                <c:ptCount val="4"/>
                <c:pt idx="0">
                  <c:v>4.6875E-2</c:v>
                </c:pt>
                <c:pt idx="1">
                  <c:v>4.7058823529411764E-2</c:v>
                </c:pt>
                <c:pt idx="2">
                  <c:v>7.8E-2</c:v>
                </c:pt>
                <c:pt idx="3">
                  <c:v>9.8000000000000004E-2</c:v>
                </c:pt>
              </c:numCache>
            </c:numRef>
          </c:val>
        </c:ser>
        <c:ser>
          <c:idx val="1"/>
          <c:order val="1"/>
          <c:tx>
            <c:strRef>
              <c:f>Profile!$B$313</c:f>
              <c:strCache>
                <c:ptCount val="1"/>
                <c:pt idx="0">
                  <c:v>2010/11</c:v>
                </c:pt>
              </c:strCache>
            </c:strRef>
          </c:tx>
          <c:invertIfNegative val="0"/>
          <c:dPt>
            <c:idx val="0"/>
            <c:invertIfNegative val="0"/>
            <c:bubble3D val="0"/>
            <c:spPr>
              <a:solidFill>
                <a:srgbClr val="8CAF47"/>
              </a:solidFill>
              <a:ln>
                <a:solidFill>
                  <a:schemeClr val="bg1"/>
                </a:solidFill>
              </a:ln>
            </c:spPr>
          </c:dPt>
          <c:dPt>
            <c:idx val="1"/>
            <c:invertIfNegative val="0"/>
            <c:bubble3D val="0"/>
            <c:spPr>
              <a:solidFill>
                <a:schemeClr val="accent5">
                  <a:lumMod val="60000"/>
                  <a:lumOff val="40000"/>
                </a:schemeClr>
              </a:solidFill>
              <a:ln>
                <a:solidFill>
                  <a:schemeClr val="bg1"/>
                </a:solidFill>
              </a:ln>
            </c:spPr>
          </c:dPt>
          <c:dPt>
            <c:idx val="2"/>
            <c:invertIfNegative val="0"/>
            <c:bubble3D val="0"/>
            <c:spPr>
              <a:solidFill>
                <a:srgbClr val="CCFF33"/>
              </a:solidFill>
              <a:ln>
                <a:solidFill>
                  <a:schemeClr val="bg1"/>
                </a:solidFill>
              </a:ln>
            </c:spPr>
          </c:dPt>
          <c:dPt>
            <c:idx val="3"/>
            <c:invertIfNegative val="0"/>
            <c:bubble3D val="0"/>
            <c:spPr>
              <a:solidFill>
                <a:schemeClr val="bg1">
                  <a:lumMod val="65000"/>
                </a:schemeClr>
              </a:solidFill>
              <a:ln>
                <a:solidFill>
                  <a:schemeClr val="bg1"/>
                </a:solidFill>
              </a:ln>
            </c:spPr>
          </c:dPt>
          <c:dLbls>
            <c:txPr>
              <a:bodyPr rot="-5400000" vert="horz"/>
              <a:lstStyle/>
              <a:p>
                <a:pPr>
                  <a:defRPr/>
                </a:pPr>
                <a:endParaRPr lang="en-US"/>
              </a:p>
            </c:txPr>
            <c:dLblPos val="inBase"/>
            <c:showLegendKey val="0"/>
            <c:showVal val="0"/>
            <c:showCatName val="0"/>
            <c:showSerName val="1"/>
            <c:showPercent val="0"/>
            <c:showBubbleSize val="0"/>
            <c:showLeaderLines val="0"/>
          </c:dLbls>
          <c:errBars>
            <c:errBarType val="both"/>
            <c:errValType val="cust"/>
            <c:noEndCap val="0"/>
            <c:plus>
              <c:numRef>
                <c:f>Profile!$C$314:$F$314</c:f>
                <c:numCache>
                  <c:formatCode>General</c:formatCode>
                  <c:ptCount val="4"/>
                  <c:pt idx="0">
                    <c:v>4.8306466415456148E-2</c:v>
                  </c:pt>
                  <c:pt idx="1">
                    <c:v>2.6885635585534206E-2</c:v>
                  </c:pt>
                  <c:pt idx="2">
                    <c:v>5.9999999999999915E-3</c:v>
                  </c:pt>
                  <c:pt idx="3">
                    <c:v>1.0000000000000009E-3</c:v>
                  </c:pt>
                </c:numCache>
              </c:numRef>
            </c:plus>
            <c:minus>
              <c:numRef>
                <c:f>Profile!$C$315:$F$315</c:f>
                <c:numCache>
                  <c:formatCode>General</c:formatCode>
                  <c:ptCount val="4"/>
                  <c:pt idx="0">
                    <c:v>2.704656552851218E-2</c:v>
                  </c:pt>
                  <c:pt idx="1">
                    <c:v>2.6885635585534206E-2</c:v>
                  </c:pt>
                  <c:pt idx="2">
                    <c:v>6.0000000000000053E-3</c:v>
                  </c:pt>
                  <c:pt idx="3">
                    <c:v>1.0000000000000009E-3</c:v>
                  </c:pt>
                </c:numCache>
              </c:numRef>
            </c:minus>
            <c:spPr>
              <a:ln>
                <a:solidFill>
                  <a:schemeClr val="tx1">
                    <a:lumMod val="65000"/>
                    <a:lumOff val="35000"/>
                  </a:schemeClr>
                </a:solidFill>
              </a:ln>
            </c:spPr>
          </c:errBars>
          <c:cat>
            <c:strRef>
              <c:f>Profile!$C$309:$F$309</c:f>
              <c:strCache>
                <c:ptCount val="4"/>
                <c:pt idx="0">
                  <c:v>Kingston Buci</c:v>
                </c:pt>
                <c:pt idx="1">
                  <c:v>Stepping Stones</c:v>
                </c:pt>
                <c:pt idx="2">
                  <c:v>West Sussex</c:v>
                </c:pt>
                <c:pt idx="3">
                  <c:v>England</c:v>
                </c:pt>
              </c:strCache>
            </c:strRef>
          </c:cat>
          <c:val>
            <c:numRef>
              <c:f>Profile!$C$313:$F$313</c:f>
              <c:numCache>
                <c:formatCode>0.0%</c:formatCode>
                <c:ptCount val="4"/>
                <c:pt idx="0">
                  <c:v>5.7692307692307696E-2</c:v>
                </c:pt>
                <c:pt idx="1">
                  <c:v>0.05</c:v>
                </c:pt>
                <c:pt idx="2">
                  <c:v>0.08</c:v>
                </c:pt>
                <c:pt idx="3">
                  <c:v>9.4E-2</c:v>
                </c:pt>
              </c:numCache>
            </c:numRef>
          </c:val>
        </c:ser>
        <c:ser>
          <c:idx val="2"/>
          <c:order val="2"/>
          <c:tx>
            <c:strRef>
              <c:f>Profile!$B$316</c:f>
              <c:strCache>
                <c:ptCount val="1"/>
                <c:pt idx="0">
                  <c:v>2011/12</c:v>
                </c:pt>
              </c:strCache>
            </c:strRef>
          </c:tx>
          <c:invertIfNegative val="0"/>
          <c:dPt>
            <c:idx val="0"/>
            <c:invertIfNegative val="0"/>
            <c:bubble3D val="0"/>
            <c:spPr>
              <a:solidFill>
                <a:srgbClr val="8CAF47"/>
              </a:solidFill>
              <a:ln>
                <a:solidFill>
                  <a:schemeClr val="bg1"/>
                </a:solidFill>
              </a:ln>
            </c:spPr>
          </c:dPt>
          <c:dPt>
            <c:idx val="1"/>
            <c:invertIfNegative val="0"/>
            <c:bubble3D val="0"/>
            <c:spPr>
              <a:solidFill>
                <a:schemeClr val="accent5">
                  <a:lumMod val="60000"/>
                  <a:lumOff val="40000"/>
                </a:schemeClr>
              </a:solidFill>
              <a:ln>
                <a:solidFill>
                  <a:schemeClr val="bg1"/>
                </a:solidFill>
              </a:ln>
            </c:spPr>
          </c:dPt>
          <c:dPt>
            <c:idx val="2"/>
            <c:invertIfNegative val="0"/>
            <c:bubble3D val="0"/>
            <c:spPr>
              <a:solidFill>
                <a:srgbClr val="CCFF33"/>
              </a:solidFill>
              <a:ln>
                <a:solidFill>
                  <a:schemeClr val="bg1"/>
                </a:solidFill>
              </a:ln>
            </c:spPr>
          </c:dPt>
          <c:dPt>
            <c:idx val="3"/>
            <c:invertIfNegative val="0"/>
            <c:bubble3D val="0"/>
            <c:spPr>
              <a:solidFill>
                <a:schemeClr val="bg1">
                  <a:lumMod val="65000"/>
                </a:schemeClr>
              </a:solidFill>
              <a:ln>
                <a:solidFill>
                  <a:schemeClr val="bg1"/>
                </a:solidFill>
              </a:ln>
            </c:spPr>
          </c:dPt>
          <c:dLbls>
            <c:txPr>
              <a:bodyPr rot="-5400000" vert="horz"/>
              <a:lstStyle/>
              <a:p>
                <a:pPr>
                  <a:defRPr/>
                </a:pPr>
                <a:endParaRPr lang="en-US"/>
              </a:p>
            </c:txPr>
            <c:dLblPos val="inBase"/>
            <c:showLegendKey val="0"/>
            <c:showVal val="0"/>
            <c:showCatName val="0"/>
            <c:showSerName val="1"/>
            <c:showPercent val="0"/>
            <c:showBubbleSize val="0"/>
            <c:showLeaderLines val="0"/>
          </c:dLbls>
          <c:errBars>
            <c:errBarType val="both"/>
            <c:errValType val="cust"/>
            <c:noEndCap val="0"/>
            <c:plus>
              <c:numRef>
                <c:f>Profile!$C$317:$F$317</c:f>
                <c:numCache>
                  <c:formatCode>General</c:formatCode>
                  <c:ptCount val="4"/>
                  <c:pt idx="0">
                    <c:v>5.632224465307753E-2</c:v>
                  </c:pt>
                  <c:pt idx="1">
                    <c:v>5.6827414042257954E-2</c:v>
                  </c:pt>
                  <c:pt idx="2">
                    <c:v>6.0000000000000053E-3</c:v>
                  </c:pt>
                  <c:pt idx="3">
                    <c:v>1.0000000000000009E-3</c:v>
                  </c:pt>
                </c:numCache>
              </c:numRef>
            </c:plus>
            <c:minus>
              <c:numRef>
                <c:f>Profile!$C$318:$F$318</c:f>
                <c:numCache>
                  <c:formatCode>General</c:formatCode>
                  <c:ptCount val="4"/>
                  <c:pt idx="0">
                    <c:v>3.1899483327006609E-2</c:v>
                  </c:pt>
                  <c:pt idx="1">
                    <c:v>5.6827414042257954E-2</c:v>
                  </c:pt>
                  <c:pt idx="2">
                    <c:v>6.0000000000000053E-3</c:v>
                  </c:pt>
                  <c:pt idx="3">
                    <c:v>1.0000000000000009E-3</c:v>
                  </c:pt>
                </c:numCache>
              </c:numRef>
            </c:minus>
            <c:spPr>
              <a:ln>
                <a:solidFill>
                  <a:schemeClr val="tx1">
                    <a:lumMod val="65000"/>
                    <a:lumOff val="35000"/>
                  </a:schemeClr>
                </a:solidFill>
              </a:ln>
            </c:spPr>
          </c:errBars>
          <c:cat>
            <c:strRef>
              <c:f>Profile!$C$309:$F$309</c:f>
              <c:strCache>
                <c:ptCount val="4"/>
                <c:pt idx="0">
                  <c:v>Kingston Buci</c:v>
                </c:pt>
                <c:pt idx="1">
                  <c:v>Stepping Stones</c:v>
                </c:pt>
                <c:pt idx="2">
                  <c:v>West Sussex</c:v>
                </c:pt>
                <c:pt idx="3">
                  <c:v>England</c:v>
                </c:pt>
              </c:strCache>
            </c:strRef>
          </c:cat>
          <c:val>
            <c:numRef>
              <c:f>Profile!$C$316:$F$316</c:f>
              <c:numCache>
                <c:formatCode>0.0%</c:formatCode>
                <c:ptCount val="4"/>
                <c:pt idx="0">
                  <c:v>6.8181818181818177E-2</c:v>
                </c:pt>
                <c:pt idx="1">
                  <c:v>0.14130434782608695</c:v>
                </c:pt>
                <c:pt idx="2">
                  <c:v>7.7897495631916128E-2</c:v>
                </c:pt>
                <c:pt idx="3">
                  <c:v>9.5000000000000001E-2</c:v>
                </c:pt>
              </c:numCache>
            </c:numRef>
          </c:val>
        </c:ser>
        <c:ser>
          <c:idx val="3"/>
          <c:order val="3"/>
          <c:tx>
            <c:strRef>
              <c:f>Profile!$B$319</c:f>
              <c:strCache>
                <c:ptCount val="1"/>
                <c:pt idx="0">
                  <c:v>2012/13</c:v>
                </c:pt>
              </c:strCache>
            </c:strRef>
          </c:tx>
          <c:invertIfNegative val="0"/>
          <c:dPt>
            <c:idx val="0"/>
            <c:invertIfNegative val="0"/>
            <c:bubble3D val="0"/>
            <c:spPr>
              <a:solidFill>
                <a:srgbClr val="8CAF47"/>
              </a:solidFill>
              <a:ln>
                <a:solidFill>
                  <a:schemeClr val="bg1"/>
                </a:solidFill>
              </a:ln>
            </c:spPr>
          </c:dPt>
          <c:dPt>
            <c:idx val="1"/>
            <c:invertIfNegative val="0"/>
            <c:bubble3D val="0"/>
            <c:spPr>
              <a:solidFill>
                <a:schemeClr val="accent5">
                  <a:lumMod val="60000"/>
                  <a:lumOff val="40000"/>
                </a:schemeClr>
              </a:solidFill>
              <a:ln>
                <a:solidFill>
                  <a:schemeClr val="bg1"/>
                </a:solidFill>
              </a:ln>
            </c:spPr>
          </c:dPt>
          <c:dPt>
            <c:idx val="2"/>
            <c:invertIfNegative val="0"/>
            <c:bubble3D val="0"/>
            <c:spPr>
              <a:solidFill>
                <a:srgbClr val="CCFF33"/>
              </a:solidFill>
              <a:ln>
                <a:solidFill>
                  <a:schemeClr val="bg1"/>
                </a:solidFill>
              </a:ln>
            </c:spPr>
          </c:dPt>
          <c:dPt>
            <c:idx val="3"/>
            <c:invertIfNegative val="0"/>
            <c:bubble3D val="0"/>
            <c:spPr>
              <a:solidFill>
                <a:schemeClr val="bg1">
                  <a:lumMod val="65000"/>
                </a:schemeClr>
              </a:solidFill>
              <a:ln>
                <a:solidFill>
                  <a:schemeClr val="bg1"/>
                </a:solidFill>
              </a:ln>
            </c:spPr>
          </c:dPt>
          <c:dLbls>
            <c:txPr>
              <a:bodyPr rot="-5400000" vert="horz"/>
              <a:lstStyle/>
              <a:p>
                <a:pPr>
                  <a:defRPr/>
                </a:pPr>
                <a:endParaRPr lang="en-US"/>
              </a:p>
            </c:txPr>
            <c:dLblPos val="inBase"/>
            <c:showLegendKey val="0"/>
            <c:showVal val="0"/>
            <c:showCatName val="0"/>
            <c:showSerName val="1"/>
            <c:showPercent val="0"/>
            <c:showBubbleSize val="0"/>
            <c:showLeaderLines val="0"/>
          </c:dLbls>
          <c:errBars>
            <c:errBarType val="both"/>
            <c:errValType val="cust"/>
            <c:noEndCap val="0"/>
            <c:plus>
              <c:numRef>
                <c:f>Profile!$C$320:$F$320</c:f>
                <c:numCache>
                  <c:formatCode>General</c:formatCode>
                  <c:ptCount val="4"/>
                  <c:pt idx="0">
                    <c:v>5.5767108722317854E-2</c:v>
                  </c:pt>
                  <c:pt idx="1">
                    <c:v>6.8062667995254844E-2</c:v>
                  </c:pt>
                  <c:pt idx="2">
                    <c:v>6.0000000000000053E-3</c:v>
                  </c:pt>
                  <c:pt idx="3">
                    <c:v>1.0000000000000009E-3</c:v>
                  </c:pt>
                </c:numCache>
              </c:numRef>
            </c:plus>
            <c:minus>
              <c:numRef>
                <c:f>Profile!$C$321:$F$321</c:f>
                <c:numCache>
                  <c:formatCode>General</c:formatCode>
                  <c:ptCount val="4"/>
                  <c:pt idx="0">
                    <c:v>3.7703503318481935E-2</c:v>
                  </c:pt>
                  <c:pt idx="1">
                    <c:v>4.175507902496163E-2</c:v>
                  </c:pt>
                  <c:pt idx="2">
                    <c:v>6.0000000000000053E-3</c:v>
                  </c:pt>
                  <c:pt idx="3">
                    <c:v>1.0000000000000009E-3</c:v>
                  </c:pt>
                </c:numCache>
              </c:numRef>
            </c:minus>
            <c:spPr>
              <a:ln>
                <a:solidFill>
                  <a:schemeClr val="tx1">
                    <a:lumMod val="65000"/>
                    <a:lumOff val="35000"/>
                  </a:schemeClr>
                </a:solidFill>
              </a:ln>
            </c:spPr>
          </c:errBars>
          <c:cat>
            <c:strRef>
              <c:f>Profile!$C$309:$F$309</c:f>
              <c:strCache>
                <c:ptCount val="4"/>
                <c:pt idx="0">
                  <c:v>Kingston Buci</c:v>
                </c:pt>
                <c:pt idx="1">
                  <c:v>Stepping Stones</c:v>
                </c:pt>
                <c:pt idx="2">
                  <c:v>West Sussex</c:v>
                </c:pt>
                <c:pt idx="3">
                  <c:v>England</c:v>
                </c:pt>
              </c:strCache>
            </c:strRef>
          </c:cat>
          <c:val>
            <c:numRef>
              <c:f>Profile!$C$319:$F$319</c:f>
              <c:numCache>
                <c:formatCode>0.0%</c:formatCode>
                <c:ptCount val="4"/>
                <c:pt idx="0">
                  <c:v>0.10303030303030303</c:v>
                </c:pt>
                <c:pt idx="1">
                  <c:v>9.6491228070175433E-2</c:v>
                </c:pt>
                <c:pt idx="2">
                  <c:v>7.7897495631916128E-2</c:v>
                </c:pt>
                <c:pt idx="3">
                  <c:v>9.5000000000000001E-2</c:v>
                </c:pt>
              </c:numCache>
            </c:numRef>
          </c:val>
        </c:ser>
        <c:dLbls>
          <c:showLegendKey val="0"/>
          <c:showVal val="0"/>
          <c:showCatName val="0"/>
          <c:showSerName val="0"/>
          <c:showPercent val="0"/>
          <c:showBubbleSize val="0"/>
        </c:dLbls>
        <c:gapWidth val="150"/>
        <c:axId val="105760640"/>
        <c:axId val="105762176"/>
      </c:barChart>
      <c:catAx>
        <c:axId val="105760640"/>
        <c:scaling>
          <c:orientation val="minMax"/>
        </c:scaling>
        <c:delete val="0"/>
        <c:axPos val="b"/>
        <c:majorTickMark val="out"/>
        <c:minorTickMark val="none"/>
        <c:tickLblPos val="nextTo"/>
        <c:txPr>
          <a:bodyPr/>
          <a:lstStyle/>
          <a:p>
            <a:pPr>
              <a:defRPr sz="1100"/>
            </a:pPr>
            <a:endParaRPr lang="en-US"/>
          </a:p>
        </c:txPr>
        <c:crossAx val="105762176"/>
        <c:crosses val="autoZero"/>
        <c:auto val="1"/>
        <c:lblAlgn val="ctr"/>
        <c:lblOffset val="100"/>
        <c:noMultiLvlLbl val="0"/>
      </c:catAx>
      <c:valAx>
        <c:axId val="105762176"/>
        <c:scaling>
          <c:orientation val="minMax"/>
        </c:scaling>
        <c:delete val="0"/>
        <c:axPos val="l"/>
        <c:majorGridlines>
          <c:spPr>
            <a:ln>
              <a:prstDash val="dash"/>
            </a:ln>
          </c:spPr>
        </c:majorGridlines>
        <c:numFmt formatCode="0%" sourceLinked="0"/>
        <c:majorTickMark val="out"/>
        <c:minorTickMark val="none"/>
        <c:tickLblPos val="nextTo"/>
        <c:crossAx val="105760640"/>
        <c:crosses val="autoZero"/>
        <c:crossBetween val="between"/>
      </c:valAx>
    </c:plotArea>
    <c:plotVisOnly val="1"/>
    <c:dispBlanksAs val="gap"/>
    <c:showDLblsOverMax val="0"/>
  </c:chart>
  <c:spPr>
    <a:ln>
      <a:noFill/>
    </a:ln>
  </c:spPr>
  <c:printSettings>
    <c:headerFooter/>
    <c:pageMargins b="0.75" l="0.7" r="0.7" t="0.75" header="0.3" footer="0.3"/>
    <c:pageSetup/>
  </c:printSettings>
  <c:userShapes r:id="rId1"/>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573216594194385E-2"/>
          <c:y val="0.16076111981329436"/>
          <c:w val="0.93574519136600465"/>
          <c:h val="0.68819806178073895"/>
        </c:manualLayout>
      </c:layout>
      <c:barChart>
        <c:barDir val="col"/>
        <c:grouping val="clustered"/>
        <c:varyColors val="0"/>
        <c:ser>
          <c:idx val="0"/>
          <c:order val="0"/>
          <c:tx>
            <c:strRef>
              <c:f>Profile!$D$584</c:f>
              <c:strCache>
                <c:ptCount val="1"/>
                <c:pt idx="0">
                  <c:v>2013</c:v>
                </c:pt>
              </c:strCache>
            </c:strRef>
          </c:tx>
          <c:invertIfNegative val="0"/>
          <c:dPt>
            <c:idx val="0"/>
            <c:invertIfNegative val="0"/>
            <c:bubble3D val="0"/>
            <c:spPr>
              <a:solidFill>
                <a:srgbClr val="8CAF47"/>
              </a:solidFill>
              <a:ln>
                <a:solidFill>
                  <a:schemeClr val="bg1"/>
                </a:solidFill>
              </a:ln>
            </c:spPr>
          </c:dPt>
          <c:dPt>
            <c:idx val="1"/>
            <c:invertIfNegative val="0"/>
            <c:bubble3D val="0"/>
            <c:spPr>
              <a:solidFill>
                <a:schemeClr val="accent5">
                  <a:lumMod val="60000"/>
                  <a:lumOff val="40000"/>
                </a:schemeClr>
              </a:solidFill>
              <a:ln>
                <a:solidFill>
                  <a:schemeClr val="bg1"/>
                </a:solidFill>
              </a:ln>
            </c:spPr>
          </c:dPt>
          <c:dPt>
            <c:idx val="2"/>
            <c:invertIfNegative val="0"/>
            <c:bubble3D val="0"/>
            <c:spPr>
              <a:solidFill>
                <a:srgbClr val="CCFF33"/>
              </a:solidFill>
              <a:ln>
                <a:solidFill>
                  <a:schemeClr val="bg1"/>
                </a:solidFill>
              </a:ln>
            </c:spPr>
          </c:dPt>
          <c:dPt>
            <c:idx val="3"/>
            <c:invertIfNegative val="0"/>
            <c:bubble3D val="0"/>
            <c:spPr>
              <a:solidFill>
                <a:schemeClr val="bg1">
                  <a:lumMod val="65000"/>
                </a:schemeClr>
              </a:solidFill>
              <a:ln>
                <a:solidFill>
                  <a:schemeClr val="bg1"/>
                </a:solidFill>
              </a:ln>
            </c:spPr>
          </c:dPt>
          <c:dLbls>
            <c:txPr>
              <a:bodyPr rot="-5400000" vert="horz"/>
              <a:lstStyle/>
              <a:p>
                <a:pPr>
                  <a:defRPr/>
                </a:pPr>
                <a:endParaRPr lang="en-US"/>
              </a:p>
            </c:txPr>
            <c:dLblPos val="inBase"/>
            <c:showLegendKey val="0"/>
            <c:showVal val="1"/>
            <c:showCatName val="0"/>
            <c:showSerName val="1"/>
            <c:showPercent val="0"/>
            <c:showBubbleSize val="0"/>
            <c:showLeaderLines val="0"/>
          </c:dLbls>
          <c:errBars>
            <c:errBarType val="both"/>
            <c:errValType val="cust"/>
            <c:noEndCap val="0"/>
            <c:plus>
              <c:numRef>
                <c:f>Profile!$F$585:$F$588</c:f>
                <c:numCache>
                  <c:formatCode>General</c:formatCode>
                  <c:ptCount val="4"/>
                  <c:pt idx="0">
                    <c:v>7.26398480251505E-2</c:v>
                  </c:pt>
                  <c:pt idx="1">
                    <c:v>8.3063739028907846E-2</c:v>
                  </c:pt>
                </c:numCache>
              </c:numRef>
            </c:plus>
            <c:minus>
              <c:numRef>
                <c:f>Profile!$E$585:$E$588</c:f>
                <c:numCache>
                  <c:formatCode>General</c:formatCode>
                  <c:ptCount val="4"/>
                  <c:pt idx="0">
                    <c:v>7.2287728807640783E-2</c:v>
                  </c:pt>
                  <c:pt idx="1">
                    <c:v>8.3268686821630078E-2</c:v>
                  </c:pt>
                </c:numCache>
              </c:numRef>
            </c:minus>
          </c:errBars>
          <c:cat>
            <c:strRef>
              <c:f>Profile!$C$585:$C$588</c:f>
              <c:strCache>
                <c:ptCount val="4"/>
                <c:pt idx="0">
                  <c:v>Kingston Buci</c:v>
                </c:pt>
                <c:pt idx="1">
                  <c:v>Stepping Stones</c:v>
                </c:pt>
                <c:pt idx="2">
                  <c:v>West Sussex</c:v>
                </c:pt>
                <c:pt idx="3">
                  <c:v>England</c:v>
                </c:pt>
              </c:strCache>
            </c:strRef>
          </c:cat>
          <c:val>
            <c:numRef>
              <c:f>Profile!$D$585:$D$588</c:f>
              <c:numCache>
                <c:formatCode>0.0%</c:formatCode>
                <c:ptCount val="4"/>
                <c:pt idx="0">
                  <c:v>0.49162011173184356</c:v>
                </c:pt>
                <c:pt idx="1">
                  <c:v>0.50370370370370365</c:v>
                </c:pt>
                <c:pt idx="2">
                  <c:v>0.52</c:v>
                </c:pt>
                <c:pt idx="3">
                  <c:v>0.52</c:v>
                </c:pt>
              </c:numCache>
            </c:numRef>
          </c:val>
        </c:ser>
        <c:ser>
          <c:idx val="1"/>
          <c:order val="1"/>
          <c:tx>
            <c:strRef>
              <c:f>Profile!$G$584</c:f>
              <c:strCache>
                <c:ptCount val="1"/>
                <c:pt idx="0">
                  <c:v>2014</c:v>
                </c:pt>
              </c:strCache>
            </c:strRef>
          </c:tx>
          <c:spPr>
            <a:solidFill>
              <a:schemeClr val="accent5">
                <a:lumMod val="60000"/>
                <a:lumOff val="40000"/>
              </a:schemeClr>
            </a:solidFill>
            <a:ln>
              <a:solidFill>
                <a:schemeClr val="bg1"/>
              </a:solidFill>
            </a:ln>
          </c:spPr>
          <c:invertIfNegative val="0"/>
          <c:dPt>
            <c:idx val="0"/>
            <c:invertIfNegative val="0"/>
            <c:bubble3D val="0"/>
            <c:spPr>
              <a:solidFill>
                <a:srgbClr val="8CAF47"/>
              </a:solidFill>
              <a:ln>
                <a:solidFill>
                  <a:schemeClr val="bg1"/>
                </a:solidFill>
              </a:ln>
            </c:spPr>
          </c:dPt>
          <c:dPt>
            <c:idx val="2"/>
            <c:invertIfNegative val="0"/>
            <c:bubble3D val="0"/>
            <c:spPr>
              <a:solidFill>
                <a:srgbClr val="CCFF33"/>
              </a:solidFill>
              <a:ln>
                <a:solidFill>
                  <a:schemeClr val="bg1"/>
                </a:solidFill>
              </a:ln>
            </c:spPr>
          </c:dPt>
          <c:dPt>
            <c:idx val="3"/>
            <c:invertIfNegative val="0"/>
            <c:bubble3D val="0"/>
            <c:spPr>
              <a:solidFill>
                <a:schemeClr val="bg1">
                  <a:lumMod val="65000"/>
                </a:schemeClr>
              </a:solidFill>
              <a:ln>
                <a:solidFill>
                  <a:schemeClr val="bg1"/>
                </a:solidFill>
              </a:ln>
            </c:spPr>
          </c:dPt>
          <c:dLbls>
            <c:txPr>
              <a:bodyPr rot="-5400000" vert="horz"/>
              <a:lstStyle/>
              <a:p>
                <a:pPr>
                  <a:defRPr/>
                </a:pPr>
                <a:endParaRPr lang="en-US"/>
              </a:p>
            </c:txPr>
            <c:dLblPos val="inBase"/>
            <c:showLegendKey val="0"/>
            <c:showVal val="1"/>
            <c:showCatName val="0"/>
            <c:showSerName val="1"/>
            <c:showPercent val="0"/>
            <c:showBubbleSize val="0"/>
            <c:showLeaderLines val="0"/>
          </c:dLbls>
          <c:errBars>
            <c:errBarType val="both"/>
            <c:errValType val="cust"/>
            <c:noEndCap val="0"/>
            <c:plus>
              <c:numRef>
                <c:f>Profile!$I$585:$I$588</c:f>
                <c:numCache>
                  <c:formatCode>General</c:formatCode>
                  <c:ptCount val="4"/>
                  <c:pt idx="0">
                    <c:v>6.938062584097926E-2</c:v>
                  </c:pt>
                  <c:pt idx="1">
                    <c:v>8.5047785619826954E-2</c:v>
                  </c:pt>
                </c:numCache>
              </c:numRef>
            </c:plus>
            <c:minus>
              <c:numRef>
                <c:f>Profile!$H$585:$H$588</c:f>
                <c:numCache>
                  <c:formatCode>General</c:formatCode>
                  <c:ptCount val="4"/>
                  <c:pt idx="0">
                    <c:v>7.4461125755117541E-2</c:v>
                  </c:pt>
                  <c:pt idx="1">
                    <c:v>8.8550789697254551E-2</c:v>
                  </c:pt>
                </c:numCache>
              </c:numRef>
            </c:minus>
          </c:errBars>
          <c:cat>
            <c:strRef>
              <c:f>Profile!$C$585:$C$588</c:f>
              <c:strCache>
                <c:ptCount val="4"/>
                <c:pt idx="0">
                  <c:v>Kingston Buci</c:v>
                </c:pt>
                <c:pt idx="1">
                  <c:v>Stepping Stones</c:v>
                </c:pt>
                <c:pt idx="2">
                  <c:v>West Sussex</c:v>
                </c:pt>
                <c:pt idx="3">
                  <c:v>England</c:v>
                </c:pt>
              </c:strCache>
            </c:strRef>
          </c:cat>
          <c:val>
            <c:numRef>
              <c:f>Profile!$G$585:$G$588</c:f>
              <c:numCache>
                <c:formatCode>0.0%</c:formatCode>
                <c:ptCount val="4"/>
                <c:pt idx="0">
                  <c:v>0.61627906976744184</c:v>
                </c:pt>
                <c:pt idx="1">
                  <c:v>0.55737704918032782</c:v>
                </c:pt>
                <c:pt idx="2">
                  <c:v>0.59</c:v>
                </c:pt>
                <c:pt idx="3">
                  <c:v>0.6</c:v>
                </c:pt>
              </c:numCache>
            </c:numRef>
          </c:val>
        </c:ser>
        <c:dLbls>
          <c:showLegendKey val="0"/>
          <c:showVal val="0"/>
          <c:showCatName val="0"/>
          <c:showSerName val="0"/>
          <c:showPercent val="0"/>
          <c:showBubbleSize val="0"/>
        </c:dLbls>
        <c:gapWidth val="87"/>
        <c:axId val="105885696"/>
        <c:axId val="105887232"/>
      </c:barChart>
      <c:catAx>
        <c:axId val="105885696"/>
        <c:scaling>
          <c:orientation val="minMax"/>
        </c:scaling>
        <c:delete val="0"/>
        <c:axPos val="b"/>
        <c:majorTickMark val="out"/>
        <c:minorTickMark val="none"/>
        <c:tickLblPos val="nextTo"/>
        <c:crossAx val="105887232"/>
        <c:crosses val="autoZero"/>
        <c:auto val="1"/>
        <c:lblAlgn val="ctr"/>
        <c:lblOffset val="100"/>
        <c:noMultiLvlLbl val="0"/>
      </c:catAx>
      <c:valAx>
        <c:axId val="105887232"/>
        <c:scaling>
          <c:orientation val="minMax"/>
        </c:scaling>
        <c:delete val="0"/>
        <c:axPos val="l"/>
        <c:majorGridlines>
          <c:spPr>
            <a:ln>
              <a:prstDash val="dash"/>
            </a:ln>
          </c:spPr>
        </c:majorGridlines>
        <c:numFmt formatCode="0.0%" sourceLinked="1"/>
        <c:majorTickMark val="out"/>
        <c:minorTickMark val="none"/>
        <c:tickLblPos val="nextTo"/>
        <c:crossAx val="105885696"/>
        <c:crosses val="autoZero"/>
        <c:crossBetween val="between"/>
        <c:majorUnit val="0.2"/>
      </c:valAx>
    </c:plotArea>
    <c:plotVisOnly val="1"/>
    <c:dispBlanksAs val="gap"/>
    <c:showDLblsOverMax val="0"/>
  </c:chart>
  <c:spPr>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8459705071684974E-2"/>
          <c:y val="0.18494661851479091"/>
          <c:w val="0.94544620641082822"/>
          <c:h val="0.67146832209883534"/>
        </c:manualLayout>
      </c:layout>
      <c:barChart>
        <c:barDir val="col"/>
        <c:grouping val="clustered"/>
        <c:varyColors val="0"/>
        <c:ser>
          <c:idx val="0"/>
          <c:order val="0"/>
          <c:tx>
            <c:strRef>
              <c:f>Profile!$C$604</c:f>
              <c:strCache>
                <c:ptCount val="1"/>
                <c:pt idx="0">
                  <c:v>2013</c:v>
                </c:pt>
              </c:strCache>
            </c:strRef>
          </c:tx>
          <c:invertIfNegative val="0"/>
          <c:dPt>
            <c:idx val="0"/>
            <c:invertIfNegative val="0"/>
            <c:bubble3D val="0"/>
            <c:spPr>
              <a:solidFill>
                <a:srgbClr val="8CAF47"/>
              </a:solidFill>
            </c:spPr>
          </c:dPt>
          <c:dPt>
            <c:idx val="1"/>
            <c:invertIfNegative val="0"/>
            <c:bubble3D val="0"/>
            <c:spPr>
              <a:solidFill>
                <a:schemeClr val="accent5">
                  <a:lumMod val="60000"/>
                  <a:lumOff val="40000"/>
                </a:schemeClr>
              </a:solidFill>
            </c:spPr>
          </c:dPt>
          <c:dPt>
            <c:idx val="2"/>
            <c:invertIfNegative val="0"/>
            <c:bubble3D val="0"/>
            <c:spPr>
              <a:solidFill>
                <a:srgbClr val="CCFF33"/>
              </a:solidFill>
              <a:ln>
                <a:solidFill>
                  <a:schemeClr val="bg1"/>
                </a:solidFill>
              </a:ln>
            </c:spPr>
          </c:dPt>
          <c:dPt>
            <c:idx val="3"/>
            <c:invertIfNegative val="0"/>
            <c:bubble3D val="0"/>
            <c:spPr>
              <a:solidFill>
                <a:schemeClr val="bg1">
                  <a:lumMod val="65000"/>
                </a:schemeClr>
              </a:solidFill>
              <a:ln>
                <a:solidFill>
                  <a:schemeClr val="bg1"/>
                </a:solidFill>
              </a:ln>
            </c:spPr>
          </c:dPt>
          <c:dLbls>
            <c:txPr>
              <a:bodyPr rot="-5400000" vert="horz"/>
              <a:lstStyle/>
              <a:p>
                <a:pPr>
                  <a:defRPr/>
                </a:pPr>
                <a:endParaRPr lang="en-US"/>
              </a:p>
            </c:txPr>
            <c:dLblPos val="inBase"/>
            <c:showLegendKey val="0"/>
            <c:showVal val="1"/>
            <c:showCatName val="0"/>
            <c:showSerName val="1"/>
            <c:showPercent val="0"/>
            <c:showBubbleSize val="0"/>
            <c:showLeaderLines val="0"/>
          </c:dLbls>
          <c:cat>
            <c:strRef>
              <c:f>Profile!$B$605:$B$608</c:f>
              <c:strCache>
                <c:ptCount val="4"/>
                <c:pt idx="0">
                  <c:v>Kingston Buci</c:v>
                </c:pt>
                <c:pt idx="1">
                  <c:v>Stepping Stones</c:v>
                </c:pt>
                <c:pt idx="2">
                  <c:v>West Sussex</c:v>
                </c:pt>
                <c:pt idx="3">
                  <c:v>England</c:v>
                </c:pt>
              </c:strCache>
            </c:strRef>
          </c:cat>
          <c:val>
            <c:numRef>
              <c:f>Profile!$C$605:$C$608</c:f>
              <c:numCache>
                <c:formatCode>0.0%</c:formatCode>
                <c:ptCount val="4"/>
                <c:pt idx="0">
                  <c:v>0.29495798319327743</c:v>
                </c:pt>
                <c:pt idx="1">
                  <c:v>0.36710239651416121</c:v>
                </c:pt>
                <c:pt idx="2">
                  <c:v>0.30399999999999999</c:v>
                </c:pt>
                <c:pt idx="3">
                  <c:v>0.36599999999999999</c:v>
                </c:pt>
              </c:numCache>
            </c:numRef>
          </c:val>
        </c:ser>
        <c:ser>
          <c:idx val="1"/>
          <c:order val="1"/>
          <c:tx>
            <c:strRef>
              <c:f>Profile!$D$604</c:f>
              <c:strCache>
                <c:ptCount val="1"/>
                <c:pt idx="0">
                  <c:v>2014</c:v>
                </c:pt>
              </c:strCache>
            </c:strRef>
          </c:tx>
          <c:invertIfNegative val="0"/>
          <c:dPt>
            <c:idx val="0"/>
            <c:invertIfNegative val="0"/>
            <c:bubble3D val="0"/>
            <c:spPr>
              <a:solidFill>
                <a:srgbClr val="8CAF47"/>
              </a:solidFill>
              <a:ln>
                <a:solidFill>
                  <a:schemeClr val="bg1"/>
                </a:solidFill>
              </a:ln>
            </c:spPr>
          </c:dPt>
          <c:dPt>
            <c:idx val="1"/>
            <c:invertIfNegative val="0"/>
            <c:bubble3D val="0"/>
            <c:spPr>
              <a:solidFill>
                <a:schemeClr val="accent5">
                  <a:lumMod val="60000"/>
                  <a:lumOff val="40000"/>
                </a:schemeClr>
              </a:solidFill>
              <a:ln>
                <a:solidFill>
                  <a:schemeClr val="bg1"/>
                </a:solidFill>
              </a:ln>
            </c:spPr>
          </c:dPt>
          <c:dPt>
            <c:idx val="2"/>
            <c:invertIfNegative val="0"/>
            <c:bubble3D val="0"/>
            <c:spPr>
              <a:solidFill>
                <a:srgbClr val="CCFF33"/>
              </a:solidFill>
              <a:ln>
                <a:solidFill>
                  <a:schemeClr val="bg1"/>
                </a:solidFill>
              </a:ln>
            </c:spPr>
          </c:dPt>
          <c:dPt>
            <c:idx val="3"/>
            <c:invertIfNegative val="0"/>
            <c:bubble3D val="0"/>
            <c:spPr>
              <a:solidFill>
                <a:schemeClr val="bg1">
                  <a:lumMod val="65000"/>
                </a:schemeClr>
              </a:solidFill>
              <a:ln>
                <a:solidFill>
                  <a:schemeClr val="bg1"/>
                </a:solidFill>
              </a:ln>
            </c:spPr>
          </c:dPt>
          <c:dLbls>
            <c:txPr>
              <a:bodyPr rot="-5400000" vert="horz"/>
              <a:lstStyle/>
              <a:p>
                <a:pPr>
                  <a:defRPr/>
                </a:pPr>
                <a:endParaRPr lang="en-US"/>
              </a:p>
            </c:txPr>
            <c:dLblPos val="inBase"/>
            <c:showLegendKey val="0"/>
            <c:showVal val="1"/>
            <c:showCatName val="0"/>
            <c:showSerName val="1"/>
            <c:showPercent val="0"/>
            <c:showBubbleSize val="0"/>
            <c:showLeaderLines val="0"/>
          </c:dLbls>
          <c:cat>
            <c:strRef>
              <c:f>Profile!$B$605:$B$608</c:f>
              <c:strCache>
                <c:ptCount val="4"/>
                <c:pt idx="0">
                  <c:v>Kingston Buci</c:v>
                </c:pt>
                <c:pt idx="1">
                  <c:v>Stepping Stones</c:v>
                </c:pt>
                <c:pt idx="2">
                  <c:v>West Sussex</c:v>
                </c:pt>
                <c:pt idx="3">
                  <c:v>England</c:v>
                </c:pt>
              </c:strCache>
            </c:strRef>
          </c:cat>
          <c:val>
            <c:numRef>
              <c:f>Profile!$D$605:$D$608</c:f>
              <c:numCache>
                <c:formatCode>0.0%</c:formatCode>
                <c:ptCount val="4"/>
                <c:pt idx="0">
                  <c:v>0.20761245674740494</c:v>
                </c:pt>
                <c:pt idx="1">
                  <c:v>0.31862745098039214</c:v>
                </c:pt>
                <c:pt idx="2">
                  <c:v>0.27900000000000003</c:v>
                </c:pt>
                <c:pt idx="3">
                  <c:v>0.33900000000000002</c:v>
                </c:pt>
              </c:numCache>
            </c:numRef>
          </c:val>
        </c:ser>
        <c:dLbls>
          <c:showLegendKey val="0"/>
          <c:showVal val="0"/>
          <c:showCatName val="0"/>
          <c:showSerName val="0"/>
          <c:showPercent val="0"/>
          <c:showBubbleSize val="0"/>
        </c:dLbls>
        <c:gapWidth val="87"/>
        <c:axId val="105977344"/>
        <c:axId val="105978880"/>
      </c:barChart>
      <c:catAx>
        <c:axId val="105977344"/>
        <c:scaling>
          <c:orientation val="minMax"/>
        </c:scaling>
        <c:delete val="0"/>
        <c:axPos val="b"/>
        <c:majorTickMark val="out"/>
        <c:minorTickMark val="none"/>
        <c:tickLblPos val="nextTo"/>
        <c:crossAx val="105978880"/>
        <c:crosses val="autoZero"/>
        <c:auto val="1"/>
        <c:lblAlgn val="ctr"/>
        <c:lblOffset val="100"/>
        <c:noMultiLvlLbl val="0"/>
      </c:catAx>
      <c:valAx>
        <c:axId val="105978880"/>
        <c:scaling>
          <c:orientation val="minMax"/>
        </c:scaling>
        <c:delete val="0"/>
        <c:axPos val="l"/>
        <c:majorGridlines>
          <c:spPr>
            <a:ln>
              <a:prstDash val="dash"/>
            </a:ln>
          </c:spPr>
        </c:majorGridlines>
        <c:numFmt formatCode="0%" sourceLinked="0"/>
        <c:majorTickMark val="out"/>
        <c:minorTickMark val="none"/>
        <c:tickLblPos val="nextTo"/>
        <c:crossAx val="105977344"/>
        <c:crosses val="autoZero"/>
        <c:crossBetween val="between"/>
        <c:majorUnit val="0.1"/>
      </c:valAx>
    </c:plotArea>
    <c:plotVisOnly val="1"/>
    <c:dispBlanksAs val="gap"/>
    <c:showDLblsOverMax val="0"/>
  </c:chart>
  <c:spPr>
    <a:ln>
      <a:noFill/>
    </a:ln>
  </c:spPr>
  <c:printSettings>
    <c:headerFooter/>
    <c:pageMargins b="0.75" l="0.7" r="0.7" t="0.75" header="0.3" footer="0.3"/>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dPt>
            <c:idx val="7"/>
            <c:invertIfNegative val="0"/>
            <c:bubble3D val="0"/>
            <c:spPr>
              <a:solidFill>
                <a:srgbClr val="CCFF33"/>
              </a:solidFill>
              <a:ln>
                <a:solidFill>
                  <a:schemeClr val="bg1"/>
                </a:solidFill>
              </a:ln>
            </c:spPr>
          </c:dPt>
          <c:dPt>
            <c:idx val="8"/>
            <c:invertIfNegative val="0"/>
            <c:bubble3D val="0"/>
            <c:spPr>
              <a:solidFill>
                <a:schemeClr val="tx1"/>
              </a:solidFill>
              <a:ln>
                <a:solidFill>
                  <a:schemeClr val="bg1"/>
                </a:solidFill>
              </a:ln>
            </c:spPr>
          </c:dPt>
          <c:dPt>
            <c:idx val="9"/>
            <c:invertIfNegative val="0"/>
            <c:bubble3D val="0"/>
            <c:spPr>
              <a:solidFill>
                <a:schemeClr val="bg1">
                  <a:lumMod val="50000"/>
                </a:schemeClr>
              </a:solidFill>
              <a:ln>
                <a:solidFill>
                  <a:schemeClr val="bg1"/>
                </a:solidFill>
              </a:ln>
            </c:spPr>
          </c:dPt>
          <c:errBars>
            <c:errBarType val="both"/>
            <c:errValType val="cust"/>
            <c:noEndCap val="0"/>
            <c:plus>
              <c:numRef>
                <c:f>Profile!$F$561:$F$569</c:f>
                <c:numCache>
                  <c:formatCode>General</c:formatCode>
                  <c:ptCount val="9"/>
                  <c:pt idx="0">
                    <c:v>46.219133858939017</c:v>
                  </c:pt>
                  <c:pt idx="1">
                    <c:v>29.947839739047993</c:v>
                  </c:pt>
                  <c:pt idx="2">
                    <c:v>31.614587691294986</c:v>
                  </c:pt>
                  <c:pt idx="3">
                    <c:v>31.182056569361009</c:v>
                  </c:pt>
                  <c:pt idx="4">
                    <c:v>28.662145180308002</c:v>
                  </c:pt>
                  <c:pt idx="5">
                    <c:v>23.049740719289602</c:v>
                  </c:pt>
                  <c:pt idx="6">
                    <c:v>29.376031796468013</c:v>
                  </c:pt>
                  <c:pt idx="7">
                    <c:v>10.800881384504009</c:v>
                  </c:pt>
                  <c:pt idx="8">
                    <c:v>3.0472288196779971</c:v>
                  </c:pt>
                </c:numCache>
              </c:numRef>
            </c:plus>
            <c:minus>
              <c:numLit>
                <c:formatCode>General</c:formatCode>
                <c:ptCount val="1"/>
                <c:pt idx="0">
                  <c:v>1</c:v>
                </c:pt>
              </c:numLit>
            </c:minus>
          </c:errBars>
          <c:cat>
            <c:strRef>
              <c:f>Profile!$D$561:$D$569</c:f>
              <c:strCache>
                <c:ptCount val="9"/>
                <c:pt idx="0">
                  <c:v>Adur</c:v>
                </c:pt>
                <c:pt idx="1">
                  <c:v>Arun</c:v>
                </c:pt>
                <c:pt idx="2">
                  <c:v>Chichester</c:v>
                </c:pt>
                <c:pt idx="3">
                  <c:v>Crawley</c:v>
                </c:pt>
                <c:pt idx="4">
                  <c:v>Horsham</c:v>
                </c:pt>
                <c:pt idx="5">
                  <c:v>Mid Sussex</c:v>
                </c:pt>
                <c:pt idx="6">
                  <c:v>Worthing</c:v>
                </c:pt>
                <c:pt idx="7">
                  <c:v>West Sussex </c:v>
                </c:pt>
                <c:pt idx="8">
                  <c:v>South East</c:v>
                </c:pt>
              </c:strCache>
            </c:strRef>
          </c:cat>
          <c:val>
            <c:numRef>
              <c:f>Profile!$E$561:$E$569</c:f>
              <c:numCache>
                <c:formatCode>0.0</c:formatCode>
                <c:ptCount val="9"/>
                <c:pt idx="0">
                  <c:v>159.41637395298599</c:v>
                </c:pt>
                <c:pt idx="1">
                  <c:v>152.29076017404699</c:v>
                </c:pt>
                <c:pt idx="2">
                  <c:v>120.006857534716</c:v>
                </c:pt>
                <c:pt idx="3">
                  <c:v>179.129598461169</c:v>
                </c:pt>
                <c:pt idx="4">
                  <c:v>125.06948304613699</c:v>
                </c:pt>
                <c:pt idx="5">
                  <c:v>94.239604193662402</c:v>
                </c:pt>
                <c:pt idx="6">
                  <c:v>112.395124267849</c:v>
                </c:pt>
                <c:pt idx="7">
                  <c:v>133.842410002517</c:v>
                </c:pt>
                <c:pt idx="8">
                  <c:v>128.823001227758</c:v>
                </c:pt>
              </c:numCache>
            </c:numRef>
          </c:val>
        </c:ser>
        <c:dLbls>
          <c:showLegendKey val="0"/>
          <c:showVal val="0"/>
          <c:showCatName val="0"/>
          <c:showSerName val="0"/>
          <c:showPercent val="0"/>
          <c:showBubbleSize val="0"/>
        </c:dLbls>
        <c:gapWidth val="150"/>
        <c:axId val="106025728"/>
        <c:axId val="106027264"/>
      </c:barChart>
      <c:catAx>
        <c:axId val="106025728"/>
        <c:scaling>
          <c:orientation val="minMax"/>
        </c:scaling>
        <c:delete val="0"/>
        <c:axPos val="b"/>
        <c:majorTickMark val="out"/>
        <c:minorTickMark val="none"/>
        <c:tickLblPos val="nextTo"/>
        <c:crossAx val="106027264"/>
        <c:crosses val="autoZero"/>
        <c:auto val="1"/>
        <c:lblAlgn val="ctr"/>
        <c:lblOffset val="100"/>
        <c:noMultiLvlLbl val="0"/>
      </c:catAx>
      <c:valAx>
        <c:axId val="106027264"/>
        <c:scaling>
          <c:orientation val="minMax"/>
        </c:scaling>
        <c:delete val="0"/>
        <c:axPos val="l"/>
        <c:majorGridlines>
          <c:spPr>
            <a:ln>
              <a:prstDash val="dash"/>
            </a:ln>
          </c:spPr>
        </c:majorGridlines>
        <c:numFmt formatCode="0.0" sourceLinked="1"/>
        <c:majorTickMark val="out"/>
        <c:minorTickMark val="none"/>
        <c:tickLblPos val="nextTo"/>
        <c:crossAx val="106025728"/>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58190548875614"/>
          <c:y val="0.12547456464207535"/>
          <c:w val="0.88254176221821812"/>
          <c:h val="0.7330910140430944"/>
        </c:manualLayout>
      </c:layout>
      <c:barChart>
        <c:barDir val="col"/>
        <c:grouping val="percentStacked"/>
        <c:varyColors val="0"/>
        <c:ser>
          <c:idx val="0"/>
          <c:order val="0"/>
          <c:tx>
            <c:strRef>
              <c:f>Profile!$K$210</c:f>
              <c:strCache>
                <c:ptCount val="1"/>
                <c:pt idx="0">
                  <c:v>Couple households</c:v>
                </c:pt>
              </c:strCache>
            </c:strRef>
          </c:tx>
          <c:spPr>
            <a:solidFill>
              <a:schemeClr val="accent3">
                <a:lumMod val="60000"/>
                <a:lumOff val="40000"/>
              </a:schemeClr>
            </a:solidFill>
            <a:ln>
              <a:solidFill>
                <a:schemeClr val="bg1"/>
              </a:solidFill>
            </a:ln>
          </c:spPr>
          <c:invertIfNegative val="0"/>
          <c:cat>
            <c:strRef>
              <c:f>Profile!$L$209:$O$209</c:f>
              <c:strCache>
                <c:ptCount val="4"/>
                <c:pt idx="0">
                  <c:v>Kingston Buci</c:v>
                </c:pt>
                <c:pt idx="1">
                  <c:v>Stepping Stones</c:v>
                </c:pt>
                <c:pt idx="2">
                  <c:v>West Sussex</c:v>
                </c:pt>
                <c:pt idx="3">
                  <c:v>England</c:v>
                </c:pt>
              </c:strCache>
            </c:strRef>
          </c:cat>
          <c:val>
            <c:numRef>
              <c:f>Profile!$L$210:$O$210</c:f>
              <c:numCache>
                <c:formatCode>#,##0</c:formatCode>
                <c:ptCount val="4"/>
                <c:pt idx="0">
                  <c:v>1218</c:v>
                </c:pt>
                <c:pt idx="1">
                  <c:v>1069</c:v>
                </c:pt>
                <c:pt idx="2" formatCode="General">
                  <c:v>65639</c:v>
                </c:pt>
                <c:pt idx="3" formatCode="General">
                  <c:v>4482036</c:v>
                </c:pt>
              </c:numCache>
            </c:numRef>
          </c:val>
        </c:ser>
        <c:ser>
          <c:idx val="1"/>
          <c:order val="1"/>
          <c:tx>
            <c:strRef>
              <c:f>Profile!$K$211</c:f>
              <c:strCache>
                <c:ptCount val="1"/>
                <c:pt idx="0">
                  <c:v>Non-couple households</c:v>
                </c:pt>
              </c:strCache>
            </c:strRef>
          </c:tx>
          <c:spPr>
            <a:solidFill>
              <a:schemeClr val="tx1">
                <a:lumMod val="85000"/>
                <a:lumOff val="15000"/>
              </a:schemeClr>
            </a:solidFill>
            <a:ln>
              <a:solidFill>
                <a:schemeClr val="bg1"/>
              </a:solidFill>
            </a:ln>
          </c:spPr>
          <c:invertIfNegative val="0"/>
          <c:cat>
            <c:strRef>
              <c:f>Profile!$L$209:$O$209</c:f>
              <c:strCache>
                <c:ptCount val="4"/>
                <c:pt idx="0">
                  <c:v>Kingston Buci</c:v>
                </c:pt>
                <c:pt idx="1">
                  <c:v>Stepping Stones</c:v>
                </c:pt>
                <c:pt idx="2">
                  <c:v>West Sussex</c:v>
                </c:pt>
                <c:pt idx="3">
                  <c:v>England</c:v>
                </c:pt>
              </c:strCache>
            </c:strRef>
          </c:cat>
          <c:val>
            <c:numRef>
              <c:f>Profile!$L$211:$O$211</c:f>
              <c:numCache>
                <c:formatCode>#,##0</c:formatCode>
                <c:ptCount val="4"/>
                <c:pt idx="0">
                  <c:v>169</c:v>
                </c:pt>
                <c:pt idx="1">
                  <c:v>185</c:v>
                </c:pt>
                <c:pt idx="2" formatCode="General">
                  <c:v>7309</c:v>
                </c:pt>
                <c:pt idx="3" formatCode="General">
                  <c:v>741155</c:v>
                </c:pt>
              </c:numCache>
            </c:numRef>
          </c:val>
        </c:ser>
        <c:dLbls>
          <c:showLegendKey val="0"/>
          <c:showVal val="0"/>
          <c:showCatName val="0"/>
          <c:showSerName val="0"/>
          <c:showPercent val="0"/>
          <c:showBubbleSize val="0"/>
        </c:dLbls>
        <c:gapWidth val="111"/>
        <c:overlap val="100"/>
        <c:axId val="124992128"/>
        <c:axId val="135192960"/>
      </c:barChart>
      <c:catAx>
        <c:axId val="124992128"/>
        <c:scaling>
          <c:orientation val="minMax"/>
        </c:scaling>
        <c:delete val="0"/>
        <c:axPos val="b"/>
        <c:majorTickMark val="out"/>
        <c:minorTickMark val="none"/>
        <c:tickLblPos val="nextTo"/>
        <c:txPr>
          <a:bodyPr/>
          <a:lstStyle/>
          <a:p>
            <a:pPr>
              <a:defRPr sz="900"/>
            </a:pPr>
            <a:endParaRPr lang="en-US"/>
          </a:p>
        </c:txPr>
        <c:crossAx val="135192960"/>
        <c:crosses val="autoZero"/>
        <c:auto val="1"/>
        <c:lblAlgn val="ctr"/>
        <c:lblOffset val="100"/>
        <c:noMultiLvlLbl val="0"/>
      </c:catAx>
      <c:valAx>
        <c:axId val="135192960"/>
        <c:scaling>
          <c:orientation val="minMax"/>
        </c:scaling>
        <c:delete val="0"/>
        <c:axPos val="l"/>
        <c:majorGridlines>
          <c:spPr>
            <a:ln>
              <a:prstDash val="dash"/>
            </a:ln>
          </c:spPr>
        </c:majorGridlines>
        <c:numFmt formatCode="0%" sourceLinked="1"/>
        <c:majorTickMark val="out"/>
        <c:minorTickMark val="none"/>
        <c:tickLblPos val="nextTo"/>
        <c:txPr>
          <a:bodyPr/>
          <a:lstStyle/>
          <a:p>
            <a:pPr>
              <a:defRPr sz="900"/>
            </a:pPr>
            <a:endParaRPr lang="en-US"/>
          </a:p>
        </c:txPr>
        <c:crossAx val="124992128"/>
        <c:crosses val="autoZero"/>
        <c:crossBetween val="between"/>
      </c:valAx>
    </c:plotArea>
    <c:legend>
      <c:legendPos val="r"/>
      <c:layout>
        <c:manualLayout>
          <c:xMode val="edge"/>
          <c:yMode val="edge"/>
          <c:x val="7.4547762121840028E-2"/>
          <c:y val="4.245911568746201E-3"/>
          <c:w val="0.74210914836303354"/>
          <c:h val="9.5434416851739673E-2"/>
        </c:manualLayout>
      </c:layout>
      <c:overlay val="0"/>
      <c:txPr>
        <a:bodyPr/>
        <a:lstStyle/>
        <a:p>
          <a:pPr>
            <a:defRPr sz="900"/>
          </a:pPr>
          <a:endParaRPr lang="en-US"/>
        </a:p>
      </c:txPr>
    </c:legend>
    <c:plotVisOnly val="1"/>
    <c:dispBlanksAs val="gap"/>
    <c:showDLblsOverMax val="0"/>
  </c:chart>
  <c:spPr>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Drop" dropLines="10" dropStyle="combo" dx="20" fmlaLink="DATA!A1" fmlaRange="DATA!$A$3:$A$77" noThreeD="1" sel="18" val="16"/>
</file>

<file path=xl/ctrlProps/ctrlProp2.xml><?xml version="1.0" encoding="utf-8"?>
<formControlPr xmlns="http://schemas.microsoft.com/office/spreadsheetml/2009/9/main" objectType="Drop" dropLines="10" dropStyle="combo" dx="20" fmlaLink="DATA!B1" fmlaRange="DATA!$A$3:$A$77" noThreeD="1" sel="37" val="36"/>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2.xml"/><Relationship Id="rId18" Type="http://schemas.openxmlformats.org/officeDocument/2006/relationships/chart" Target="../charts/chart16.xml"/><Relationship Id="rId3" Type="http://schemas.openxmlformats.org/officeDocument/2006/relationships/chart" Target="../charts/chart3.xml"/><Relationship Id="rId21" Type="http://schemas.openxmlformats.org/officeDocument/2006/relationships/chart" Target="../charts/chart19.xml"/><Relationship Id="rId7" Type="http://schemas.openxmlformats.org/officeDocument/2006/relationships/chart" Target="../charts/chart7.xml"/><Relationship Id="rId12" Type="http://schemas.openxmlformats.org/officeDocument/2006/relationships/chart" Target="../charts/chart11.xml"/><Relationship Id="rId17" Type="http://schemas.openxmlformats.org/officeDocument/2006/relationships/image" Target="../media/image2.png"/><Relationship Id="rId2" Type="http://schemas.openxmlformats.org/officeDocument/2006/relationships/chart" Target="../charts/chart2.xml"/><Relationship Id="rId16" Type="http://schemas.openxmlformats.org/officeDocument/2006/relationships/chart" Target="../charts/chart15.xml"/><Relationship Id="rId20" Type="http://schemas.openxmlformats.org/officeDocument/2006/relationships/chart" Target="../charts/chart18.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jpeg"/><Relationship Id="rId5" Type="http://schemas.openxmlformats.org/officeDocument/2006/relationships/chart" Target="../charts/chart5.xml"/><Relationship Id="rId15" Type="http://schemas.openxmlformats.org/officeDocument/2006/relationships/chart" Target="../charts/chart14.xml"/><Relationship Id="rId23" Type="http://schemas.openxmlformats.org/officeDocument/2006/relationships/chart" Target="../charts/chart21.xml"/><Relationship Id="rId10" Type="http://schemas.openxmlformats.org/officeDocument/2006/relationships/chart" Target="../charts/chart10.xml"/><Relationship Id="rId19" Type="http://schemas.openxmlformats.org/officeDocument/2006/relationships/chart" Target="../charts/chart17.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3.xml"/><Relationship Id="rId22"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0</xdr:col>
      <xdr:colOff>106680</xdr:colOff>
      <xdr:row>262</xdr:row>
      <xdr:rowOff>22860</xdr:rowOff>
    </xdr:from>
    <xdr:to>
      <xdr:col>14</xdr:col>
      <xdr:colOff>487680</xdr:colOff>
      <xdr:row>262</xdr:row>
      <xdr:rowOff>3162300</xdr:rowOff>
    </xdr:to>
    <xdr:graphicFrame macro="">
      <xdr:nvGraphicFramePr>
        <xdr:cNvPr id="13448060"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45720</xdr:colOff>
          <xdr:row>5</xdr:row>
          <xdr:rowOff>53340</xdr:rowOff>
        </xdr:from>
        <xdr:to>
          <xdr:col>10</xdr:col>
          <xdr:colOff>434340</xdr:colOff>
          <xdr:row>5</xdr:row>
          <xdr:rowOff>350520</xdr:rowOff>
        </xdr:to>
        <xdr:sp macro="" textlink="">
          <xdr:nvSpPr>
            <xdr:cNvPr id="1026" name="Drop Down 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6</xdr:row>
          <xdr:rowOff>60960</xdr:rowOff>
        </xdr:from>
        <xdr:to>
          <xdr:col>10</xdr:col>
          <xdr:colOff>434340</xdr:colOff>
          <xdr:row>6</xdr:row>
          <xdr:rowOff>358140</xdr:rowOff>
        </xdr:to>
        <xdr:sp macro="" textlink="">
          <xdr:nvSpPr>
            <xdr:cNvPr id="1027" name="Drop Down 3"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twoCellAnchor>
    <xdr:from>
      <xdr:col>9</xdr:col>
      <xdr:colOff>59055</xdr:colOff>
      <xdr:row>95</xdr:row>
      <xdr:rowOff>38100</xdr:rowOff>
    </xdr:from>
    <xdr:to>
      <xdr:col>14</xdr:col>
      <xdr:colOff>622935</xdr:colOff>
      <xdr:row>104</xdr:row>
      <xdr:rowOff>487680</xdr:rowOff>
    </xdr:to>
    <xdr:graphicFrame macro="">
      <xdr:nvGraphicFramePr>
        <xdr:cNvPr id="13448061"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45720</xdr:colOff>
      <xdr:row>82</xdr:row>
      <xdr:rowOff>19050</xdr:rowOff>
    </xdr:from>
    <xdr:to>
      <xdr:col>14</xdr:col>
      <xdr:colOff>594360</xdr:colOff>
      <xdr:row>93</xdr:row>
      <xdr:rowOff>236220</xdr:rowOff>
    </xdr:to>
    <xdr:graphicFrame macro="">
      <xdr:nvGraphicFramePr>
        <xdr:cNvPr id="13448062"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330926</xdr:colOff>
      <xdr:row>120</xdr:row>
      <xdr:rowOff>106680</xdr:rowOff>
    </xdr:from>
    <xdr:to>
      <xdr:col>4</xdr:col>
      <xdr:colOff>487680</xdr:colOff>
      <xdr:row>129</xdr:row>
      <xdr:rowOff>95250</xdr:rowOff>
    </xdr:to>
    <xdr:graphicFrame macro="">
      <xdr:nvGraphicFramePr>
        <xdr:cNvPr id="13448063"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403860</xdr:colOff>
      <xdr:row>120</xdr:row>
      <xdr:rowOff>228601</xdr:rowOff>
    </xdr:from>
    <xdr:to>
      <xdr:col>14</xdr:col>
      <xdr:colOff>381000</xdr:colOff>
      <xdr:row>128</xdr:row>
      <xdr:rowOff>50801</xdr:rowOff>
    </xdr:to>
    <xdr:graphicFrame macro="">
      <xdr:nvGraphicFramePr>
        <xdr:cNvPr id="13448064"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0</xdr:colOff>
      <xdr:row>377</xdr:row>
      <xdr:rowOff>0</xdr:rowOff>
    </xdr:from>
    <xdr:to>
      <xdr:col>16</xdr:col>
      <xdr:colOff>0</xdr:colOff>
      <xdr:row>377</xdr:row>
      <xdr:rowOff>251460</xdr:rowOff>
    </xdr:to>
    <xdr:graphicFrame macro="">
      <xdr:nvGraphicFramePr>
        <xdr:cNvPr id="13448066"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0</xdr:colOff>
      <xdr:row>353</xdr:row>
      <xdr:rowOff>0</xdr:rowOff>
    </xdr:from>
    <xdr:to>
      <xdr:col>16</xdr:col>
      <xdr:colOff>0</xdr:colOff>
      <xdr:row>359</xdr:row>
      <xdr:rowOff>0</xdr:rowOff>
    </xdr:to>
    <xdr:graphicFrame macro="">
      <xdr:nvGraphicFramePr>
        <xdr:cNvPr id="13448067"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48260</xdr:colOff>
      <xdr:row>186</xdr:row>
      <xdr:rowOff>1694</xdr:rowOff>
    </xdr:from>
    <xdr:to>
      <xdr:col>14</xdr:col>
      <xdr:colOff>579120</xdr:colOff>
      <xdr:row>191</xdr:row>
      <xdr:rowOff>237068</xdr:rowOff>
    </xdr:to>
    <xdr:graphicFrame macro="">
      <xdr:nvGraphicFramePr>
        <xdr:cNvPr id="13448068"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62321</xdr:colOff>
      <xdr:row>199</xdr:row>
      <xdr:rowOff>145052</xdr:rowOff>
    </xdr:from>
    <xdr:to>
      <xdr:col>14</xdr:col>
      <xdr:colOff>641441</xdr:colOff>
      <xdr:row>205</xdr:row>
      <xdr:rowOff>350792</xdr:rowOff>
    </xdr:to>
    <xdr:graphicFrame macro="">
      <xdr:nvGraphicFramePr>
        <xdr:cNvPr id="13448069"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77894</xdr:colOff>
      <xdr:row>242</xdr:row>
      <xdr:rowOff>80433</xdr:rowOff>
    </xdr:from>
    <xdr:to>
      <xdr:col>14</xdr:col>
      <xdr:colOff>533400</xdr:colOff>
      <xdr:row>249</xdr:row>
      <xdr:rowOff>342900</xdr:rowOff>
    </xdr:to>
    <xdr:graphicFrame macro="">
      <xdr:nvGraphicFramePr>
        <xdr:cNvPr id="13448070" name="Chart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154940</xdr:colOff>
      <xdr:row>7</xdr:row>
      <xdr:rowOff>213360</xdr:rowOff>
    </xdr:from>
    <xdr:to>
      <xdr:col>12</xdr:col>
      <xdr:colOff>261620</xdr:colOff>
      <xdr:row>15</xdr:row>
      <xdr:rowOff>335280</xdr:rowOff>
    </xdr:to>
    <xdr:pic>
      <xdr:nvPicPr>
        <xdr:cNvPr id="13448071" name="Picture 168" descr="Fotolia_2265952_M"/>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t="12224" b="9821"/>
        <a:stretch>
          <a:fillRect/>
        </a:stretch>
      </xdr:blipFill>
      <xdr:spPr bwMode="auto">
        <a:xfrm>
          <a:off x="1488440" y="2842260"/>
          <a:ext cx="7167880" cy="3373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119742</xdr:colOff>
      <xdr:row>277</xdr:row>
      <xdr:rowOff>108857</xdr:rowOff>
    </xdr:from>
    <xdr:to>
      <xdr:col>14</xdr:col>
      <xdr:colOff>533400</xdr:colOff>
      <xdr:row>283</xdr:row>
      <xdr:rowOff>116476</xdr:rowOff>
    </xdr:to>
    <xdr:graphicFrame macro="">
      <xdr:nvGraphicFramePr>
        <xdr:cNvPr id="13448072" name="Chart 17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115147</xdr:colOff>
      <xdr:row>149</xdr:row>
      <xdr:rowOff>174413</xdr:rowOff>
    </xdr:from>
    <xdr:to>
      <xdr:col>6</xdr:col>
      <xdr:colOff>615043</xdr:colOff>
      <xdr:row>154</xdr:row>
      <xdr:rowOff>239850</xdr:rowOff>
    </xdr:to>
    <xdr:graphicFrame macro="">
      <xdr:nvGraphicFramePr>
        <xdr:cNvPr id="13448075" name="Chart 1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76200</xdr:colOff>
      <xdr:row>439</xdr:row>
      <xdr:rowOff>56727</xdr:rowOff>
    </xdr:from>
    <xdr:to>
      <xdr:col>14</xdr:col>
      <xdr:colOff>609600</xdr:colOff>
      <xdr:row>450</xdr:row>
      <xdr:rowOff>152400</xdr:rowOff>
    </xdr:to>
    <xdr:graphicFrame macro="">
      <xdr:nvGraphicFramePr>
        <xdr:cNvPr id="13448076" name="Chart 1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45720</xdr:colOff>
      <xdr:row>222</xdr:row>
      <xdr:rowOff>40278</xdr:rowOff>
    </xdr:from>
    <xdr:to>
      <xdr:col>14</xdr:col>
      <xdr:colOff>624840</xdr:colOff>
      <xdr:row>227</xdr:row>
      <xdr:rowOff>348343</xdr:rowOff>
    </xdr:to>
    <xdr:graphicFrame macro="">
      <xdr:nvGraphicFramePr>
        <xdr:cNvPr id="13448077" name="Chart 18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524933</xdr:colOff>
      <xdr:row>149</xdr:row>
      <xdr:rowOff>206829</xdr:rowOff>
    </xdr:from>
    <xdr:to>
      <xdr:col>14</xdr:col>
      <xdr:colOff>642258</xdr:colOff>
      <xdr:row>155</xdr:row>
      <xdr:rowOff>32657</xdr:rowOff>
    </xdr:to>
    <xdr:graphicFrame macro="">
      <xdr:nvGraphicFramePr>
        <xdr:cNvPr id="13448080" name="Chart 19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0</xdr:col>
      <xdr:colOff>407398</xdr:colOff>
      <xdr:row>2</xdr:row>
      <xdr:rowOff>24239</xdr:rowOff>
    </xdr:from>
    <xdr:to>
      <xdr:col>2</xdr:col>
      <xdr:colOff>666750</xdr:colOff>
      <xdr:row>4</xdr:row>
      <xdr:rowOff>190226</xdr:rowOff>
    </xdr:to>
    <xdr:pic>
      <xdr:nvPicPr>
        <xdr:cNvPr id="13448081" name="Picture 2"/>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r="3450"/>
        <a:stretch>
          <a:fillRect/>
        </a:stretch>
      </xdr:blipFill>
      <xdr:spPr bwMode="auto">
        <a:xfrm>
          <a:off x="407398" y="852914"/>
          <a:ext cx="1592852" cy="6803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342900</xdr:colOff>
      <xdr:row>423</xdr:row>
      <xdr:rowOff>228600</xdr:rowOff>
    </xdr:from>
    <xdr:to>
      <xdr:col>13</xdr:col>
      <xdr:colOff>350520</xdr:colOff>
      <xdr:row>426</xdr:row>
      <xdr:rowOff>0</xdr:rowOff>
    </xdr:to>
    <xdr:grpSp>
      <xdr:nvGrpSpPr>
        <xdr:cNvPr id="13448082" name="Group 353"/>
        <xdr:cNvGrpSpPr>
          <a:grpSpLocks/>
        </xdr:cNvGrpSpPr>
      </xdr:nvGrpSpPr>
      <xdr:grpSpPr bwMode="auto">
        <a:xfrm>
          <a:off x="342900" y="138281229"/>
          <a:ext cx="9053649" cy="5377542"/>
          <a:chOff x="35" y="7871"/>
          <a:chExt cx="900" cy="516"/>
        </a:xfrm>
      </xdr:grpSpPr>
      <xdr:sp macro="" textlink="">
        <xdr:nvSpPr>
          <xdr:cNvPr id="27" name="Text Box 312"/>
          <xdr:cNvSpPr txBox="1">
            <a:spLocks noChangeArrowheads="1"/>
          </xdr:cNvSpPr>
        </xdr:nvSpPr>
        <xdr:spPr bwMode="auto">
          <a:xfrm>
            <a:off x="35" y="8230"/>
            <a:ext cx="116" cy="94"/>
          </a:xfrm>
          <a:prstGeom prst="rect">
            <a:avLst/>
          </a:prstGeom>
          <a:solidFill>
            <a:srgbClr val="D3EBED"/>
          </a:solidFill>
          <a:ln w="3175">
            <a:solidFill>
              <a:srgbClr val="000000"/>
            </a:solidFill>
            <a:miter lim="800000"/>
            <a:headEnd/>
            <a:tailEnd/>
          </a:ln>
        </xdr:spPr>
        <xdr:txBody>
          <a:bodyPr vertOverflow="clip" wrap="square" lIns="91440" tIns="45720" rIns="91440" bIns="45720" anchor="t" upright="1"/>
          <a:lstStyle/>
          <a:p>
            <a:pPr algn="l" rtl="0">
              <a:lnSpc>
                <a:spcPts val="800"/>
              </a:lnSpc>
              <a:defRPr sz="1000"/>
            </a:pPr>
            <a:r>
              <a:rPr lang="en-GB" sz="800" b="0" i="0" u="none" strike="noStrike" baseline="0">
                <a:solidFill>
                  <a:srgbClr val="000000"/>
                </a:solidFill>
                <a:latin typeface="+mn-lt"/>
                <a:cs typeface="Calibri"/>
              </a:rPr>
              <a:t>12 week check .</a:t>
            </a:r>
          </a:p>
          <a:p>
            <a:pPr algn="l" rtl="0">
              <a:lnSpc>
                <a:spcPts val="800"/>
              </a:lnSpc>
              <a:defRPr sz="1000"/>
            </a:pPr>
            <a:r>
              <a:rPr lang="en-GB" sz="800" b="0" i="0" u="none" strike="noStrike" baseline="0">
                <a:solidFill>
                  <a:srgbClr val="000000"/>
                </a:solidFill>
                <a:latin typeface="+mn-lt"/>
                <a:cs typeface="Calibri"/>
              </a:rPr>
              <a:t>Women on database (with complete records)</a:t>
            </a:r>
          </a:p>
          <a:p>
            <a:pPr algn="l" rtl="0">
              <a:lnSpc>
                <a:spcPts val="900"/>
              </a:lnSpc>
              <a:defRPr sz="1000"/>
            </a:pPr>
            <a:r>
              <a:rPr lang="en-GB" sz="800" b="1" i="0" u="none" strike="noStrike" baseline="0">
                <a:solidFill>
                  <a:srgbClr val="0000FF"/>
                </a:solidFill>
                <a:latin typeface="+mn-lt"/>
                <a:cs typeface="Calibri"/>
              </a:rPr>
              <a:t>5,104</a:t>
            </a:r>
            <a:endParaRPr lang="en-GB" sz="800" b="0" i="0" u="none" strike="noStrike" baseline="0">
              <a:solidFill>
                <a:srgbClr val="000000"/>
              </a:solidFill>
              <a:latin typeface="+mn-lt"/>
              <a:cs typeface="Calibri"/>
            </a:endParaRPr>
          </a:p>
          <a:p>
            <a:pPr algn="l" rtl="0">
              <a:lnSpc>
                <a:spcPts val="1000"/>
              </a:lnSpc>
              <a:defRPr sz="1000"/>
            </a:pPr>
            <a:endParaRPr lang="en-GB" sz="1000" b="0" i="0" u="none" strike="noStrike" baseline="0">
              <a:solidFill>
                <a:srgbClr val="000000"/>
              </a:solidFill>
              <a:latin typeface="+mn-lt"/>
              <a:cs typeface="Calibri"/>
            </a:endParaRPr>
          </a:p>
        </xdr:txBody>
      </xdr:sp>
      <xdr:sp macro="" textlink="">
        <xdr:nvSpPr>
          <xdr:cNvPr id="28" name="Text Box 313"/>
          <xdr:cNvSpPr txBox="1">
            <a:spLocks noChangeArrowheads="1"/>
          </xdr:cNvSpPr>
        </xdr:nvSpPr>
        <xdr:spPr bwMode="auto">
          <a:xfrm>
            <a:off x="148" y="8147"/>
            <a:ext cx="92" cy="58"/>
          </a:xfrm>
          <a:prstGeom prst="rect">
            <a:avLst/>
          </a:prstGeom>
          <a:noFill/>
          <a:ln w="3175">
            <a:solidFill>
              <a:srgbClr val="000000"/>
            </a:solidFill>
            <a:miter lim="800000"/>
            <a:headEnd/>
            <a:tailEnd/>
          </a:ln>
          <a:extLst>
            <a:ext uri="{909E8E84-426E-40DD-AFC4-6F175D3DCCD1}">
              <a14:hiddenFill xmlns:a14="http://schemas.microsoft.com/office/drawing/2010/main">
                <a:solidFill>
                  <a:srgbClr val="D3EBED"/>
                </a:solidFill>
              </a14:hiddenFill>
            </a:ext>
          </a:extLst>
        </xdr:spPr>
        <xdr:txBody>
          <a:bodyPr vertOverflow="clip" wrap="square" lIns="91440" tIns="45720" rIns="91440" bIns="45720" anchor="t" upright="1"/>
          <a:lstStyle/>
          <a:p>
            <a:pPr algn="l" rtl="0">
              <a:lnSpc>
                <a:spcPts val="900"/>
              </a:lnSpc>
              <a:defRPr sz="1000"/>
            </a:pPr>
            <a:r>
              <a:rPr lang="en-GB" sz="800" b="0" i="0" u="none" strike="noStrike" baseline="0">
                <a:solidFill>
                  <a:srgbClr val="000000"/>
                </a:solidFill>
                <a:latin typeface="+mn-lt"/>
                <a:cs typeface="Calibri"/>
              </a:rPr>
              <a:t>Asked Woolley Screening Tool</a:t>
            </a:r>
          </a:p>
          <a:p>
            <a:pPr algn="l" rtl="0">
              <a:lnSpc>
                <a:spcPts val="1100"/>
              </a:lnSpc>
              <a:defRPr sz="1000"/>
            </a:pPr>
            <a:r>
              <a:rPr lang="en-GB" sz="800" b="1" i="0" u="none" strike="noStrike" baseline="0">
                <a:solidFill>
                  <a:srgbClr val="0000FF"/>
                </a:solidFill>
                <a:latin typeface="+mn-lt"/>
                <a:cs typeface="Calibri"/>
              </a:rPr>
              <a:t>5,048</a:t>
            </a:r>
            <a:endParaRPr lang="en-GB" sz="800" b="0" i="0" u="none" strike="noStrike" baseline="0">
              <a:solidFill>
                <a:srgbClr val="000000"/>
              </a:solidFill>
              <a:latin typeface="+mn-lt"/>
              <a:cs typeface="Calibri"/>
            </a:endParaRPr>
          </a:p>
          <a:p>
            <a:pPr algn="l" rtl="0">
              <a:lnSpc>
                <a:spcPts val="1100"/>
              </a:lnSpc>
              <a:defRPr sz="1000"/>
            </a:pPr>
            <a:endParaRPr lang="en-GB" sz="1000" b="0" i="0" u="none" strike="noStrike" baseline="0">
              <a:solidFill>
                <a:srgbClr val="000000"/>
              </a:solidFill>
              <a:latin typeface="+mn-lt"/>
              <a:cs typeface="Calibri"/>
            </a:endParaRPr>
          </a:p>
        </xdr:txBody>
      </xdr:sp>
      <xdr:sp macro="" textlink="">
        <xdr:nvSpPr>
          <xdr:cNvPr id="13448092" name="Line 314"/>
          <xdr:cNvSpPr>
            <a:spLocks noChangeShapeType="1"/>
          </xdr:cNvSpPr>
        </xdr:nvSpPr>
        <xdr:spPr bwMode="auto">
          <a:xfrm flipV="1">
            <a:off x="80" y="8185"/>
            <a:ext cx="0" cy="4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448093" name="Line 315"/>
          <xdr:cNvSpPr>
            <a:spLocks noChangeShapeType="1"/>
          </xdr:cNvSpPr>
        </xdr:nvSpPr>
        <xdr:spPr bwMode="auto">
          <a:xfrm>
            <a:off x="80" y="8185"/>
            <a:ext cx="61"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31" name="Text Box 316"/>
          <xdr:cNvSpPr txBox="1">
            <a:spLocks noChangeArrowheads="1"/>
          </xdr:cNvSpPr>
        </xdr:nvSpPr>
        <xdr:spPr bwMode="auto">
          <a:xfrm>
            <a:off x="277" y="8071"/>
            <a:ext cx="151" cy="62"/>
          </a:xfrm>
          <a:prstGeom prst="rect">
            <a:avLst/>
          </a:prstGeom>
          <a:noFill/>
          <a:ln w="3175">
            <a:solidFill>
              <a:srgbClr val="000000"/>
            </a:solidFill>
            <a:miter lim="800000"/>
            <a:headEnd/>
            <a:tailEnd/>
          </a:ln>
          <a:extLst>
            <a:ext uri="{909E8E84-426E-40DD-AFC4-6F175D3DCCD1}">
              <a14:hiddenFill xmlns:a14="http://schemas.microsoft.com/office/drawing/2010/main">
                <a:solidFill>
                  <a:srgbClr val="D3EBED"/>
                </a:solidFill>
              </a14:hiddenFill>
            </a:ext>
          </a:extLst>
        </xdr:spPr>
        <xdr:txBody>
          <a:bodyPr vertOverflow="clip" wrap="square" lIns="91440" tIns="45720" rIns="91440" bIns="45720" anchor="t" upright="1"/>
          <a:lstStyle/>
          <a:p>
            <a:pPr algn="l" rtl="0">
              <a:lnSpc>
                <a:spcPts val="800"/>
              </a:lnSpc>
              <a:defRPr sz="1000"/>
            </a:pPr>
            <a:r>
              <a:rPr lang="en-GB" sz="800" b="0" i="0" u="none" strike="noStrike" baseline="0">
                <a:solidFill>
                  <a:srgbClr val="000000"/>
                </a:solidFill>
                <a:latin typeface="+mn-lt"/>
                <a:cs typeface="Calibri"/>
              </a:rPr>
              <a:t>Answered ‘Yes’ on Woolley to Question 5 or Question 6</a:t>
            </a:r>
          </a:p>
          <a:p>
            <a:pPr algn="l" rtl="0">
              <a:lnSpc>
                <a:spcPts val="900"/>
              </a:lnSpc>
              <a:defRPr sz="1000"/>
            </a:pPr>
            <a:r>
              <a:rPr lang="en-GB" sz="800" b="1" i="0" u="none" strike="noStrike" baseline="0">
                <a:solidFill>
                  <a:srgbClr val="0000FF"/>
                </a:solidFill>
                <a:latin typeface="+mn-lt"/>
                <a:cs typeface="Calibri"/>
              </a:rPr>
              <a:t>614</a:t>
            </a:r>
            <a:endParaRPr lang="en-GB" sz="800" b="0" i="0" u="none" strike="noStrike" baseline="0">
              <a:solidFill>
                <a:srgbClr val="000000"/>
              </a:solidFill>
              <a:latin typeface="+mn-lt"/>
              <a:cs typeface="Calibri"/>
            </a:endParaRPr>
          </a:p>
          <a:p>
            <a:pPr algn="l" rtl="0">
              <a:lnSpc>
                <a:spcPts val="800"/>
              </a:lnSpc>
              <a:defRPr sz="1000"/>
            </a:pPr>
            <a:endParaRPr lang="en-GB" sz="800" b="0" i="0" u="none" strike="noStrike" baseline="0">
              <a:solidFill>
                <a:srgbClr val="000000"/>
              </a:solidFill>
              <a:latin typeface="+mn-lt"/>
              <a:cs typeface="Calibri"/>
            </a:endParaRPr>
          </a:p>
        </xdr:txBody>
      </xdr:sp>
      <xdr:sp macro="" textlink="">
        <xdr:nvSpPr>
          <xdr:cNvPr id="32" name="Text Box 317"/>
          <xdr:cNvSpPr txBox="1">
            <a:spLocks noChangeArrowheads="1"/>
          </xdr:cNvSpPr>
        </xdr:nvSpPr>
        <xdr:spPr bwMode="auto">
          <a:xfrm>
            <a:off x="269" y="8283"/>
            <a:ext cx="152" cy="56"/>
          </a:xfrm>
          <a:prstGeom prst="rect">
            <a:avLst/>
          </a:prstGeom>
          <a:noFill/>
          <a:ln w="3175">
            <a:solidFill>
              <a:srgbClr val="000000"/>
            </a:solidFill>
            <a:miter lim="800000"/>
            <a:headEnd/>
            <a:tailEnd/>
          </a:ln>
          <a:extLst>
            <a:ext uri="{909E8E84-426E-40DD-AFC4-6F175D3DCCD1}">
              <a14:hiddenFill xmlns:a14="http://schemas.microsoft.com/office/drawing/2010/main">
                <a:solidFill>
                  <a:srgbClr val="D3EBED"/>
                </a:solidFill>
              </a14:hiddenFill>
            </a:ext>
          </a:extLst>
        </xdr:spPr>
        <xdr:txBody>
          <a:bodyPr vertOverflow="clip" wrap="square" lIns="91440" tIns="45720" rIns="91440" bIns="45720" anchor="t" upright="1"/>
          <a:lstStyle/>
          <a:p>
            <a:pPr algn="l" rtl="0">
              <a:lnSpc>
                <a:spcPts val="900"/>
              </a:lnSpc>
              <a:defRPr sz="1000"/>
            </a:pPr>
            <a:r>
              <a:rPr lang="en-GB" sz="800" b="0" i="0" u="none" strike="noStrike" baseline="0">
                <a:solidFill>
                  <a:srgbClr val="000000"/>
                </a:solidFill>
                <a:latin typeface="+mn-lt"/>
                <a:cs typeface="Calibri"/>
              </a:rPr>
              <a:t>Answered ‘No’ on Woolley to Question 5 or Question 6</a:t>
            </a:r>
          </a:p>
          <a:p>
            <a:pPr algn="l" rtl="0">
              <a:lnSpc>
                <a:spcPts val="1100"/>
              </a:lnSpc>
              <a:defRPr sz="1000"/>
            </a:pPr>
            <a:r>
              <a:rPr lang="en-GB" sz="800" b="1" i="0" u="none" strike="noStrike" baseline="0">
                <a:solidFill>
                  <a:srgbClr val="0000FF"/>
                </a:solidFill>
                <a:latin typeface="+mn-lt"/>
                <a:cs typeface="Calibri"/>
              </a:rPr>
              <a:t>4,434</a:t>
            </a:r>
            <a:endParaRPr lang="en-GB" sz="800" b="0" i="0" u="none" strike="noStrike" baseline="0">
              <a:solidFill>
                <a:srgbClr val="000000"/>
              </a:solidFill>
              <a:latin typeface="+mn-lt"/>
              <a:cs typeface="Calibri"/>
            </a:endParaRPr>
          </a:p>
          <a:p>
            <a:pPr algn="l" rtl="0">
              <a:lnSpc>
                <a:spcPts val="1100"/>
              </a:lnSpc>
              <a:defRPr sz="1000"/>
            </a:pPr>
            <a:endParaRPr lang="en-GB" sz="1000" b="0" i="0" u="none" strike="noStrike" baseline="0">
              <a:solidFill>
                <a:srgbClr val="000000"/>
              </a:solidFill>
              <a:latin typeface="+mn-lt"/>
              <a:cs typeface="Calibri"/>
            </a:endParaRPr>
          </a:p>
        </xdr:txBody>
      </xdr:sp>
      <xdr:sp macro="" textlink="">
        <xdr:nvSpPr>
          <xdr:cNvPr id="13448096" name="Line 318"/>
          <xdr:cNvSpPr>
            <a:spLocks noChangeShapeType="1"/>
          </xdr:cNvSpPr>
        </xdr:nvSpPr>
        <xdr:spPr bwMode="auto">
          <a:xfrm>
            <a:off x="186" y="8101"/>
            <a:ext cx="91"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448097" name="Line 319"/>
          <xdr:cNvSpPr>
            <a:spLocks noChangeShapeType="1"/>
          </xdr:cNvSpPr>
        </xdr:nvSpPr>
        <xdr:spPr bwMode="auto">
          <a:xfrm>
            <a:off x="186" y="8101"/>
            <a:ext cx="0" cy="4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448098" name="Line 320"/>
          <xdr:cNvSpPr>
            <a:spLocks noChangeShapeType="1"/>
          </xdr:cNvSpPr>
        </xdr:nvSpPr>
        <xdr:spPr bwMode="auto">
          <a:xfrm>
            <a:off x="179" y="8207"/>
            <a:ext cx="0" cy="10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448099" name="Line 321"/>
          <xdr:cNvSpPr>
            <a:spLocks noChangeShapeType="1"/>
          </xdr:cNvSpPr>
        </xdr:nvSpPr>
        <xdr:spPr bwMode="auto">
          <a:xfrm>
            <a:off x="179" y="8313"/>
            <a:ext cx="9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37" name="Text Box 322"/>
          <xdr:cNvSpPr txBox="1">
            <a:spLocks noChangeArrowheads="1"/>
          </xdr:cNvSpPr>
        </xdr:nvSpPr>
        <xdr:spPr bwMode="auto">
          <a:xfrm>
            <a:off x="466" y="8048"/>
            <a:ext cx="170" cy="45"/>
          </a:xfrm>
          <a:prstGeom prst="rect">
            <a:avLst/>
          </a:prstGeom>
          <a:noFill/>
          <a:ln w="3175">
            <a:solidFill>
              <a:srgbClr val="000000"/>
            </a:solidFill>
            <a:miter lim="800000"/>
            <a:headEnd/>
            <a:tailEnd/>
          </a:ln>
          <a:extLst>
            <a:ext uri="{909E8E84-426E-40DD-AFC4-6F175D3DCCD1}">
              <a14:hiddenFill xmlns:a14="http://schemas.microsoft.com/office/drawing/2010/main">
                <a:solidFill>
                  <a:srgbClr val="D3EBED"/>
                </a:solidFill>
              </a14:hiddenFill>
            </a:ext>
          </a:extLst>
        </xdr:spPr>
        <xdr:txBody>
          <a:bodyPr vertOverflow="clip" wrap="square" lIns="91440" tIns="45720" rIns="91440" bIns="45720" anchor="t" upright="1"/>
          <a:lstStyle/>
          <a:p>
            <a:pPr algn="l" rtl="0">
              <a:lnSpc>
                <a:spcPts val="900"/>
              </a:lnSpc>
              <a:defRPr sz="1000"/>
            </a:pPr>
            <a:r>
              <a:rPr lang="en-GB" sz="800" b="0" i="0" u="none" strike="noStrike" baseline="0">
                <a:solidFill>
                  <a:srgbClr val="000000"/>
                </a:solidFill>
                <a:latin typeface="+mn-lt"/>
                <a:cs typeface="Calibri"/>
              </a:rPr>
              <a:t>Screened using Edinburgh Tool</a:t>
            </a:r>
          </a:p>
          <a:p>
            <a:pPr algn="l" rtl="0">
              <a:lnSpc>
                <a:spcPts val="1000"/>
              </a:lnSpc>
              <a:defRPr sz="1000"/>
            </a:pPr>
            <a:r>
              <a:rPr lang="en-GB" sz="800" b="1" i="0" u="none" strike="noStrike" baseline="0">
                <a:solidFill>
                  <a:srgbClr val="0000FF"/>
                </a:solidFill>
                <a:latin typeface="+mn-lt"/>
                <a:cs typeface="Calibri"/>
              </a:rPr>
              <a:t>340</a:t>
            </a:r>
            <a:endParaRPr lang="en-GB" sz="800" b="0" i="0" u="none" strike="noStrike" baseline="0">
              <a:solidFill>
                <a:srgbClr val="000000"/>
              </a:solidFill>
              <a:latin typeface="+mn-lt"/>
              <a:cs typeface="Calibri"/>
            </a:endParaRPr>
          </a:p>
          <a:p>
            <a:pPr algn="l" rtl="0">
              <a:lnSpc>
                <a:spcPts val="1000"/>
              </a:lnSpc>
              <a:defRPr sz="1000"/>
            </a:pPr>
            <a:endParaRPr lang="en-GB" sz="1000" b="0" i="0" u="none" strike="noStrike" baseline="0">
              <a:solidFill>
                <a:srgbClr val="000000"/>
              </a:solidFill>
              <a:latin typeface="+mn-lt"/>
              <a:cs typeface="Calibri"/>
            </a:endParaRPr>
          </a:p>
        </xdr:txBody>
      </xdr:sp>
      <xdr:sp macro="" textlink="">
        <xdr:nvSpPr>
          <xdr:cNvPr id="38" name="Text Box 323"/>
          <xdr:cNvSpPr txBox="1">
            <a:spLocks noChangeArrowheads="1"/>
          </xdr:cNvSpPr>
        </xdr:nvSpPr>
        <xdr:spPr bwMode="auto">
          <a:xfrm>
            <a:off x="466" y="8109"/>
            <a:ext cx="170" cy="24"/>
          </a:xfrm>
          <a:prstGeom prst="rect">
            <a:avLst/>
          </a:prstGeom>
          <a:noFill/>
          <a:ln w="3175">
            <a:solidFill>
              <a:srgbClr val="000000"/>
            </a:solidFill>
            <a:miter lim="800000"/>
            <a:headEnd/>
            <a:tailEnd/>
          </a:ln>
          <a:extLst>
            <a:ext uri="{909E8E84-426E-40DD-AFC4-6F175D3DCCD1}">
              <a14:hiddenFill xmlns:a14="http://schemas.microsoft.com/office/drawing/2010/main">
                <a:solidFill>
                  <a:srgbClr val="D3EBED"/>
                </a:solidFill>
              </a14:hiddenFill>
            </a:ext>
          </a:extLst>
        </xdr:spPr>
        <xdr:txBody>
          <a:bodyPr vertOverflow="clip" wrap="square" lIns="91440" tIns="45720" rIns="91440" bIns="45720" anchor="t" upright="1"/>
          <a:lstStyle/>
          <a:p>
            <a:pPr algn="l" rtl="0">
              <a:lnSpc>
                <a:spcPts val="1000"/>
              </a:lnSpc>
              <a:defRPr sz="1000"/>
            </a:pPr>
            <a:r>
              <a:rPr lang="en-GB" sz="800" b="0" i="0" u="none" strike="noStrike" baseline="0">
                <a:solidFill>
                  <a:srgbClr val="000000"/>
                </a:solidFill>
                <a:latin typeface="+mn-lt"/>
                <a:cs typeface="Calibri"/>
              </a:rPr>
              <a:t>Not Screened </a:t>
            </a:r>
            <a:r>
              <a:rPr lang="en-GB" sz="800" b="1" i="0" u="none" strike="noStrike" baseline="0">
                <a:solidFill>
                  <a:srgbClr val="0000FF"/>
                </a:solidFill>
                <a:latin typeface="+mn-lt"/>
                <a:cs typeface="Calibri"/>
              </a:rPr>
              <a:t>274</a:t>
            </a:r>
            <a:endParaRPr lang="en-GB" sz="800" b="0" i="0" u="none" strike="noStrike" baseline="0">
              <a:solidFill>
                <a:srgbClr val="000000"/>
              </a:solidFill>
              <a:latin typeface="+mn-lt"/>
              <a:cs typeface="Calibri"/>
            </a:endParaRPr>
          </a:p>
          <a:p>
            <a:pPr algn="l" rtl="0">
              <a:lnSpc>
                <a:spcPts val="1000"/>
              </a:lnSpc>
              <a:defRPr sz="1000"/>
            </a:pPr>
            <a:endParaRPr lang="en-GB" sz="1000" b="0" i="0" u="none" strike="noStrike" baseline="0">
              <a:solidFill>
                <a:srgbClr val="000000"/>
              </a:solidFill>
              <a:latin typeface="+mn-lt"/>
              <a:cs typeface="Calibri"/>
            </a:endParaRPr>
          </a:p>
        </xdr:txBody>
      </xdr:sp>
      <xdr:sp macro="" textlink="">
        <xdr:nvSpPr>
          <xdr:cNvPr id="13448102" name="Line 324"/>
          <xdr:cNvSpPr>
            <a:spLocks noChangeShapeType="1"/>
          </xdr:cNvSpPr>
        </xdr:nvSpPr>
        <xdr:spPr bwMode="auto">
          <a:xfrm flipV="1">
            <a:off x="436" y="8086"/>
            <a:ext cx="23" cy="8"/>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448103" name="Line 325"/>
          <xdr:cNvSpPr>
            <a:spLocks noChangeShapeType="1"/>
          </xdr:cNvSpPr>
        </xdr:nvSpPr>
        <xdr:spPr bwMode="auto">
          <a:xfrm>
            <a:off x="436" y="8109"/>
            <a:ext cx="23" cy="7"/>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41" name="Text Box 326"/>
          <xdr:cNvSpPr txBox="1">
            <a:spLocks noChangeArrowheads="1"/>
          </xdr:cNvSpPr>
        </xdr:nvSpPr>
        <xdr:spPr bwMode="auto">
          <a:xfrm>
            <a:off x="459" y="8253"/>
            <a:ext cx="173" cy="46"/>
          </a:xfrm>
          <a:prstGeom prst="rect">
            <a:avLst/>
          </a:prstGeom>
          <a:noFill/>
          <a:ln w="3175">
            <a:solidFill>
              <a:srgbClr val="000000"/>
            </a:solidFill>
            <a:miter lim="800000"/>
            <a:headEnd/>
            <a:tailEnd/>
          </a:ln>
          <a:extLst>
            <a:ext uri="{909E8E84-426E-40DD-AFC4-6F175D3DCCD1}">
              <a14:hiddenFill xmlns:a14="http://schemas.microsoft.com/office/drawing/2010/main">
                <a:solidFill>
                  <a:srgbClr val="D3EBED"/>
                </a:solidFill>
              </a14:hiddenFill>
            </a:ext>
          </a:extLst>
        </xdr:spPr>
        <xdr:txBody>
          <a:bodyPr vertOverflow="clip" wrap="square" lIns="91440" tIns="45720" rIns="91440" bIns="45720" anchor="t" upright="1"/>
          <a:lstStyle/>
          <a:p>
            <a:pPr algn="l" rtl="0">
              <a:lnSpc>
                <a:spcPts val="900"/>
              </a:lnSpc>
              <a:defRPr sz="1000"/>
            </a:pPr>
            <a:r>
              <a:rPr lang="en-GB" sz="800" b="0" i="0" u="none" strike="noStrike" baseline="0">
                <a:solidFill>
                  <a:srgbClr val="000000"/>
                </a:solidFill>
                <a:latin typeface="+mn-lt"/>
                <a:cs typeface="Calibri"/>
              </a:rPr>
              <a:t>Screened using Edinburgh Tool</a:t>
            </a:r>
          </a:p>
          <a:p>
            <a:pPr algn="l" rtl="0">
              <a:lnSpc>
                <a:spcPts val="1000"/>
              </a:lnSpc>
              <a:defRPr sz="1000"/>
            </a:pPr>
            <a:r>
              <a:rPr lang="en-GB" sz="800" b="1" i="0" u="none" strike="noStrike" baseline="0">
                <a:solidFill>
                  <a:srgbClr val="0000FF"/>
                </a:solidFill>
                <a:latin typeface="+mn-lt"/>
                <a:cs typeface="Calibri"/>
              </a:rPr>
              <a:t>233</a:t>
            </a:r>
            <a:endParaRPr lang="en-GB" sz="800" b="0" i="0" u="none" strike="noStrike" baseline="0">
              <a:solidFill>
                <a:srgbClr val="000000"/>
              </a:solidFill>
              <a:latin typeface="+mn-lt"/>
              <a:cs typeface="Calibri"/>
            </a:endParaRPr>
          </a:p>
          <a:p>
            <a:pPr algn="l" rtl="0">
              <a:lnSpc>
                <a:spcPts val="1000"/>
              </a:lnSpc>
              <a:defRPr sz="1000"/>
            </a:pPr>
            <a:endParaRPr lang="en-GB" sz="1000" b="0" i="0" u="none" strike="noStrike" baseline="0">
              <a:solidFill>
                <a:srgbClr val="000000"/>
              </a:solidFill>
              <a:latin typeface="+mn-lt"/>
              <a:cs typeface="Calibri"/>
            </a:endParaRPr>
          </a:p>
        </xdr:txBody>
      </xdr:sp>
      <xdr:sp macro="" textlink="">
        <xdr:nvSpPr>
          <xdr:cNvPr id="42" name="Text Box 327"/>
          <xdr:cNvSpPr txBox="1">
            <a:spLocks noChangeArrowheads="1"/>
          </xdr:cNvSpPr>
        </xdr:nvSpPr>
        <xdr:spPr bwMode="auto">
          <a:xfrm>
            <a:off x="459" y="8313"/>
            <a:ext cx="173" cy="27"/>
          </a:xfrm>
          <a:prstGeom prst="rect">
            <a:avLst/>
          </a:prstGeom>
          <a:noFill/>
          <a:ln w="3175">
            <a:solidFill>
              <a:srgbClr val="000000"/>
            </a:solidFill>
            <a:miter lim="800000"/>
            <a:headEnd/>
            <a:tailEnd/>
          </a:ln>
          <a:extLst>
            <a:ext uri="{909E8E84-426E-40DD-AFC4-6F175D3DCCD1}">
              <a14:hiddenFill xmlns:a14="http://schemas.microsoft.com/office/drawing/2010/main">
                <a:solidFill>
                  <a:srgbClr val="D3EBED"/>
                </a:solidFill>
              </a14:hiddenFill>
            </a:ext>
          </a:extLst>
        </xdr:spPr>
        <xdr:txBody>
          <a:bodyPr vertOverflow="clip" wrap="square" lIns="91440" tIns="45720" rIns="91440" bIns="45720" anchor="t" upright="1"/>
          <a:lstStyle/>
          <a:p>
            <a:pPr algn="l" rtl="0">
              <a:lnSpc>
                <a:spcPts val="1000"/>
              </a:lnSpc>
              <a:defRPr sz="1000"/>
            </a:pPr>
            <a:r>
              <a:rPr lang="en-GB" sz="800" b="0" i="0" u="none" strike="noStrike" baseline="0">
                <a:solidFill>
                  <a:srgbClr val="000000"/>
                </a:solidFill>
                <a:latin typeface="+mn-lt"/>
                <a:cs typeface="Calibri"/>
              </a:rPr>
              <a:t>Not Screened </a:t>
            </a:r>
            <a:r>
              <a:rPr lang="en-GB" sz="800" b="1" i="0" u="none" strike="noStrike" baseline="0">
                <a:solidFill>
                  <a:srgbClr val="0000FF"/>
                </a:solidFill>
                <a:latin typeface="+mn-lt"/>
                <a:cs typeface="Calibri"/>
              </a:rPr>
              <a:t>4,201</a:t>
            </a:r>
            <a:endParaRPr lang="en-GB" sz="800" b="0" i="0" u="none" strike="noStrike" baseline="0">
              <a:solidFill>
                <a:srgbClr val="000000"/>
              </a:solidFill>
              <a:latin typeface="+mn-lt"/>
              <a:cs typeface="Calibri"/>
            </a:endParaRPr>
          </a:p>
          <a:p>
            <a:pPr algn="l" rtl="0">
              <a:lnSpc>
                <a:spcPts val="1000"/>
              </a:lnSpc>
              <a:defRPr sz="1000"/>
            </a:pPr>
            <a:endParaRPr lang="en-GB" sz="1000" b="0" i="0" u="none" strike="noStrike" baseline="0">
              <a:solidFill>
                <a:srgbClr val="000000"/>
              </a:solidFill>
              <a:latin typeface="+mn-lt"/>
              <a:cs typeface="Calibri"/>
            </a:endParaRPr>
          </a:p>
        </xdr:txBody>
      </xdr:sp>
      <xdr:sp macro="" textlink="">
        <xdr:nvSpPr>
          <xdr:cNvPr id="13448106" name="Line 328"/>
          <xdr:cNvSpPr>
            <a:spLocks noChangeShapeType="1"/>
          </xdr:cNvSpPr>
        </xdr:nvSpPr>
        <xdr:spPr bwMode="auto">
          <a:xfrm flipV="1">
            <a:off x="428" y="8290"/>
            <a:ext cx="23" cy="8"/>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448107" name="Line 329"/>
          <xdr:cNvSpPr>
            <a:spLocks noChangeShapeType="1"/>
          </xdr:cNvSpPr>
        </xdr:nvSpPr>
        <xdr:spPr bwMode="auto">
          <a:xfrm>
            <a:off x="428" y="8313"/>
            <a:ext cx="23" cy="8"/>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448108" name="Line 330"/>
          <xdr:cNvSpPr>
            <a:spLocks noChangeShapeType="1"/>
          </xdr:cNvSpPr>
        </xdr:nvSpPr>
        <xdr:spPr bwMode="auto">
          <a:xfrm>
            <a:off x="784" y="8033"/>
            <a:ext cx="27"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46" name="Text Box 331"/>
          <xdr:cNvSpPr txBox="1">
            <a:spLocks noChangeArrowheads="1"/>
          </xdr:cNvSpPr>
        </xdr:nvSpPr>
        <xdr:spPr bwMode="auto">
          <a:xfrm>
            <a:off x="814" y="8139"/>
            <a:ext cx="121" cy="48"/>
          </a:xfrm>
          <a:prstGeom prst="rect">
            <a:avLst/>
          </a:prstGeom>
          <a:solidFill>
            <a:srgbClr xmlns:mc="http://schemas.openxmlformats.org/markup-compatibility/2006" xmlns:a14="http://schemas.microsoft.com/office/drawing/2010/main" val="FFFF00" mc:Ignorable="a14" a14:legacySpreadsheetColorIndex="13"/>
          </a:solidFill>
          <a:ln w="3175">
            <a:solidFill>
              <a:srgbClr xmlns:mc="http://schemas.openxmlformats.org/markup-compatibility/2006" xmlns:a14="http://schemas.microsoft.com/office/drawing/2010/main" val="000000" mc:Ignorable="a14" a14:legacySpreadsheetColorIndex="8"/>
            </a:solidFill>
            <a:miter lim="800000"/>
            <a:headEnd/>
            <a:tailEnd/>
          </a:ln>
        </xdr:spPr>
        <xdr:txBody>
          <a:bodyPr vertOverflow="clip" wrap="square" lIns="91440" tIns="45720" rIns="91440" bIns="45720" anchor="t" upright="1"/>
          <a:lstStyle/>
          <a:p>
            <a:pPr algn="l" rtl="0">
              <a:lnSpc>
                <a:spcPts val="900"/>
              </a:lnSpc>
              <a:defRPr sz="1000"/>
            </a:pPr>
            <a:r>
              <a:rPr lang="en-GB" sz="800" b="0" i="0" u="none" strike="noStrike" baseline="0">
                <a:solidFill>
                  <a:srgbClr val="000000"/>
                </a:solidFill>
                <a:latin typeface="+mn-lt"/>
                <a:cs typeface="Calibri"/>
              </a:rPr>
              <a:t>More help requested</a:t>
            </a:r>
          </a:p>
          <a:p>
            <a:pPr algn="l" rtl="0">
              <a:lnSpc>
                <a:spcPts val="1000"/>
              </a:lnSpc>
              <a:defRPr sz="1000"/>
            </a:pPr>
            <a:r>
              <a:rPr lang="en-GB" sz="800" b="1" i="0" u="none" strike="noStrike" baseline="0">
                <a:solidFill>
                  <a:srgbClr val="0000FF"/>
                </a:solidFill>
                <a:latin typeface="+mn-lt"/>
                <a:cs typeface="Calibri"/>
              </a:rPr>
              <a:t>87</a:t>
            </a:r>
            <a:endParaRPr lang="en-GB" sz="800" b="0" i="0" u="none" strike="noStrike" baseline="0">
              <a:solidFill>
                <a:srgbClr val="000000"/>
              </a:solidFill>
              <a:latin typeface="+mn-lt"/>
              <a:cs typeface="Calibri"/>
            </a:endParaRPr>
          </a:p>
          <a:p>
            <a:pPr algn="l" rtl="0">
              <a:lnSpc>
                <a:spcPts val="1000"/>
              </a:lnSpc>
              <a:defRPr sz="1000"/>
            </a:pPr>
            <a:endParaRPr lang="en-GB" sz="800" b="0" i="0" u="none" strike="noStrike" baseline="0">
              <a:solidFill>
                <a:srgbClr val="000000"/>
              </a:solidFill>
              <a:latin typeface="+mn-lt"/>
              <a:cs typeface="Calibri"/>
            </a:endParaRPr>
          </a:p>
        </xdr:txBody>
      </xdr:sp>
      <xdr:sp macro="" textlink="">
        <xdr:nvSpPr>
          <xdr:cNvPr id="47" name="Text Box 332"/>
          <xdr:cNvSpPr txBox="1">
            <a:spLocks noChangeArrowheads="1"/>
          </xdr:cNvSpPr>
        </xdr:nvSpPr>
        <xdr:spPr bwMode="auto">
          <a:xfrm>
            <a:off x="658" y="8003"/>
            <a:ext cx="127" cy="60"/>
          </a:xfrm>
          <a:prstGeom prst="rect">
            <a:avLst/>
          </a:prstGeom>
          <a:noFill/>
          <a:ln w="3175">
            <a:solidFill>
              <a:srgbClr val="000000"/>
            </a:solidFill>
            <a:miter lim="800000"/>
            <a:headEnd/>
            <a:tailEnd/>
          </a:ln>
          <a:extLst>
            <a:ext uri="{909E8E84-426E-40DD-AFC4-6F175D3DCCD1}">
              <a14:hiddenFill xmlns:a14="http://schemas.microsoft.com/office/drawing/2010/main">
                <a:solidFill>
                  <a:srgbClr val="D3EBED"/>
                </a:solidFill>
              </a14:hiddenFill>
            </a:ext>
          </a:extLst>
        </xdr:spPr>
        <xdr:txBody>
          <a:bodyPr vertOverflow="clip" wrap="square" lIns="91440" tIns="45720" rIns="91440" bIns="45720" anchor="t" upright="1"/>
          <a:lstStyle/>
          <a:p>
            <a:pPr algn="l" rtl="0">
              <a:lnSpc>
                <a:spcPts val="900"/>
              </a:lnSpc>
              <a:defRPr sz="1000"/>
            </a:pPr>
            <a:r>
              <a:rPr lang="en-GB" sz="800" b="0" i="0" u="none" strike="noStrike" baseline="0">
                <a:solidFill>
                  <a:srgbClr val="000000"/>
                </a:solidFill>
                <a:latin typeface="+mn-lt"/>
                <a:cs typeface="Calibri"/>
              </a:rPr>
              <a:t>Scored 10 or more on Edinburgh Tool</a:t>
            </a:r>
          </a:p>
          <a:p>
            <a:pPr algn="l" rtl="0">
              <a:lnSpc>
                <a:spcPts val="1100"/>
              </a:lnSpc>
              <a:defRPr sz="1000"/>
            </a:pPr>
            <a:r>
              <a:rPr lang="en-GB" sz="800" b="1" i="0" u="none" strike="noStrike" baseline="0">
                <a:solidFill>
                  <a:srgbClr val="0000FF"/>
                </a:solidFill>
                <a:latin typeface="+mn-lt"/>
                <a:cs typeface="Calibri"/>
              </a:rPr>
              <a:t>243</a:t>
            </a:r>
            <a:endParaRPr lang="en-GB" sz="800" b="0" i="0" u="none" strike="noStrike" baseline="0">
              <a:solidFill>
                <a:srgbClr val="000000"/>
              </a:solidFill>
              <a:latin typeface="+mn-lt"/>
              <a:cs typeface="Calibri"/>
            </a:endParaRPr>
          </a:p>
          <a:p>
            <a:pPr algn="l" rtl="0">
              <a:lnSpc>
                <a:spcPts val="1100"/>
              </a:lnSpc>
              <a:defRPr sz="1000"/>
            </a:pPr>
            <a:endParaRPr lang="en-GB" sz="800" b="0" i="0" u="none" strike="noStrike" baseline="0">
              <a:solidFill>
                <a:srgbClr val="000000"/>
              </a:solidFill>
              <a:latin typeface="+mn-lt"/>
              <a:cs typeface="Calibri"/>
            </a:endParaRPr>
          </a:p>
        </xdr:txBody>
      </xdr:sp>
      <xdr:sp macro="" textlink="">
        <xdr:nvSpPr>
          <xdr:cNvPr id="48" name="Text Box 333"/>
          <xdr:cNvSpPr txBox="1">
            <a:spLocks noChangeArrowheads="1"/>
          </xdr:cNvSpPr>
        </xdr:nvSpPr>
        <xdr:spPr bwMode="auto">
          <a:xfrm>
            <a:off x="658" y="8071"/>
            <a:ext cx="127" cy="62"/>
          </a:xfrm>
          <a:prstGeom prst="rect">
            <a:avLst/>
          </a:prstGeom>
          <a:noFill/>
          <a:ln w="3175">
            <a:solidFill>
              <a:srgbClr val="000000"/>
            </a:solidFill>
            <a:miter lim="800000"/>
            <a:headEnd/>
            <a:tailEnd/>
          </a:ln>
          <a:extLst>
            <a:ext uri="{909E8E84-426E-40DD-AFC4-6F175D3DCCD1}">
              <a14:hiddenFill xmlns:a14="http://schemas.microsoft.com/office/drawing/2010/main">
                <a:solidFill>
                  <a:srgbClr val="D3EBED"/>
                </a:solidFill>
              </a14:hiddenFill>
            </a:ext>
          </a:extLst>
        </xdr:spPr>
        <xdr:txBody>
          <a:bodyPr vertOverflow="clip" wrap="square" lIns="91440" tIns="45720" rIns="91440" bIns="45720" anchor="t" upright="1"/>
          <a:lstStyle/>
          <a:p>
            <a:pPr algn="l" rtl="0">
              <a:lnSpc>
                <a:spcPts val="900"/>
              </a:lnSpc>
              <a:defRPr sz="1000"/>
            </a:pPr>
            <a:r>
              <a:rPr lang="en-GB" sz="800" b="0" i="0" u="none" strike="noStrike" baseline="0">
                <a:solidFill>
                  <a:srgbClr val="000000"/>
                </a:solidFill>
                <a:latin typeface="+mn-lt"/>
                <a:cs typeface="Calibri"/>
              </a:rPr>
              <a:t>Less than 10 on Edinburgh Tool</a:t>
            </a:r>
          </a:p>
          <a:p>
            <a:pPr algn="l" rtl="0">
              <a:lnSpc>
                <a:spcPts val="1100"/>
              </a:lnSpc>
              <a:defRPr sz="1000"/>
            </a:pPr>
            <a:r>
              <a:rPr lang="en-GB" sz="800" b="1" i="0" u="none" strike="noStrike" baseline="0">
                <a:solidFill>
                  <a:srgbClr val="0000FF"/>
                </a:solidFill>
                <a:latin typeface="+mn-lt"/>
                <a:cs typeface="Calibri"/>
              </a:rPr>
              <a:t>97</a:t>
            </a:r>
            <a:endParaRPr lang="en-GB" sz="800" b="0" i="0" u="none" strike="noStrike" baseline="0">
              <a:solidFill>
                <a:srgbClr val="000000"/>
              </a:solidFill>
              <a:latin typeface="+mn-lt"/>
              <a:cs typeface="Calibri"/>
            </a:endParaRPr>
          </a:p>
          <a:p>
            <a:pPr algn="l" rtl="0">
              <a:lnSpc>
                <a:spcPts val="1100"/>
              </a:lnSpc>
              <a:defRPr sz="1000"/>
            </a:pPr>
            <a:endParaRPr lang="en-GB" sz="800" b="0" i="0" u="none" strike="noStrike" baseline="0">
              <a:solidFill>
                <a:srgbClr val="000000"/>
              </a:solidFill>
              <a:latin typeface="+mn-lt"/>
              <a:cs typeface="Calibri"/>
            </a:endParaRPr>
          </a:p>
        </xdr:txBody>
      </xdr:sp>
      <xdr:sp macro="" textlink="">
        <xdr:nvSpPr>
          <xdr:cNvPr id="13448112" name="Line 334"/>
          <xdr:cNvSpPr>
            <a:spLocks noChangeShapeType="1"/>
          </xdr:cNvSpPr>
        </xdr:nvSpPr>
        <xdr:spPr bwMode="auto">
          <a:xfrm flipV="1">
            <a:off x="632" y="8056"/>
            <a:ext cx="18" cy="8"/>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448113" name="Line 335"/>
          <xdr:cNvSpPr>
            <a:spLocks noChangeShapeType="1"/>
          </xdr:cNvSpPr>
        </xdr:nvSpPr>
        <xdr:spPr bwMode="auto">
          <a:xfrm>
            <a:off x="632" y="8079"/>
            <a:ext cx="18" cy="7"/>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51" name="Text Box 336"/>
          <xdr:cNvSpPr txBox="1">
            <a:spLocks noChangeArrowheads="1"/>
          </xdr:cNvSpPr>
        </xdr:nvSpPr>
        <xdr:spPr bwMode="auto">
          <a:xfrm>
            <a:off x="810" y="8003"/>
            <a:ext cx="125" cy="48"/>
          </a:xfrm>
          <a:prstGeom prst="rect">
            <a:avLst/>
          </a:prstGeom>
          <a:solidFill>
            <a:srgbClr xmlns:mc="http://schemas.openxmlformats.org/markup-compatibility/2006" xmlns:a14="http://schemas.microsoft.com/office/drawing/2010/main" val="FFFF00" mc:Ignorable="a14" a14:legacySpreadsheetColorIndex="13"/>
          </a:solidFill>
          <a:ln w="3175">
            <a:solidFill>
              <a:srgbClr val="000000"/>
            </a:solidFill>
            <a:miter lim="800000"/>
            <a:headEnd/>
            <a:tailEnd/>
          </a:ln>
        </xdr:spPr>
        <xdr:txBody>
          <a:bodyPr vertOverflow="clip" wrap="square" lIns="91440" tIns="45720" rIns="91440" bIns="45720" anchor="t" upright="1"/>
          <a:lstStyle/>
          <a:p>
            <a:pPr algn="l" rtl="0">
              <a:lnSpc>
                <a:spcPts val="900"/>
              </a:lnSpc>
              <a:defRPr sz="1000"/>
            </a:pPr>
            <a:r>
              <a:rPr lang="en-GB" sz="800" b="0" i="0" u="none" strike="noStrike" baseline="0">
                <a:solidFill>
                  <a:srgbClr val="000000"/>
                </a:solidFill>
                <a:latin typeface="+mn-lt"/>
                <a:cs typeface="Calibri"/>
              </a:rPr>
              <a:t>More help requested</a:t>
            </a:r>
          </a:p>
          <a:p>
            <a:pPr algn="l" rtl="0">
              <a:lnSpc>
                <a:spcPts val="1000"/>
              </a:lnSpc>
              <a:defRPr sz="1000"/>
            </a:pPr>
            <a:r>
              <a:rPr lang="en-GB" sz="800" b="1" i="0" u="none" strike="noStrike" baseline="0">
                <a:solidFill>
                  <a:srgbClr val="0000FF"/>
                </a:solidFill>
                <a:latin typeface="+mn-lt"/>
                <a:cs typeface="Calibri"/>
              </a:rPr>
              <a:t>148</a:t>
            </a:r>
            <a:endParaRPr lang="en-GB" sz="800" b="0" i="0" u="none" strike="noStrike" baseline="0">
              <a:solidFill>
                <a:srgbClr val="000000"/>
              </a:solidFill>
              <a:latin typeface="+mn-lt"/>
              <a:cs typeface="Calibri"/>
            </a:endParaRPr>
          </a:p>
          <a:p>
            <a:pPr algn="l" rtl="0">
              <a:lnSpc>
                <a:spcPts val="1000"/>
              </a:lnSpc>
              <a:defRPr sz="1000"/>
            </a:pPr>
            <a:endParaRPr lang="en-GB" sz="1000" b="0" i="0" u="none" strike="noStrike" baseline="0">
              <a:solidFill>
                <a:srgbClr val="000000"/>
              </a:solidFill>
              <a:latin typeface="+mn-lt"/>
              <a:cs typeface="Calibri"/>
            </a:endParaRPr>
          </a:p>
        </xdr:txBody>
      </xdr:sp>
      <xdr:sp macro="" textlink="">
        <xdr:nvSpPr>
          <xdr:cNvPr id="52" name="Text Box 337"/>
          <xdr:cNvSpPr txBox="1">
            <a:spLocks noChangeArrowheads="1"/>
          </xdr:cNvSpPr>
        </xdr:nvSpPr>
        <xdr:spPr bwMode="auto">
          <a:xfrm>
            <a:off x="810" y="8071"/>
            <a:ext cx="125" cy="47"/>
          </a:xfrm>
          <a:prstGeom prst="rect">
            <a:avLst/>
          </a:prstGeom>
          <a:solidFill>
            <a:srgbClr xmlns:mc="http://schemas.openxmlformats.org/markup-compatibility/2006" xmlns:a14="http://schemas.microsoft.com/office/drawing/2010/main" val="FFFF00" mc:Ignorable="a14" a14:legacySpreadsheetColorIndex="13"/>
          </a:solidFill>
          <a:ln w="3175">
            <a:solidFill>
              <a:srgbClr val="000000"/>
            </a:solidFill>
            <a:miter lim="800000"/>
            <a:headEnd/>
            <a:tailEnd/>
          </a:ln>
        </xdr:spPr>
        <xdr:txBody>
          <a:bodyPr vertOverflow="clip" wrap="square" lIns="91440" tIns="45720" rIns="91440" bIns="45720" anchor="t" upright="1"/>
          <a:lstStyle/>
          <a:p>
            <a:pPr algn="l" rtl="0">
              <a:lnSpc>
                <a:spcPts val="900"/>
              </a:lnSpc>
              <a:defRPr sz="1000"/>
            </a:pPr>
            <a:r>
              <a:rPr lang="en-GB" sz="800" b="0" i="0" u="none" strike="noStrike" baseline="0">
                <a:solidFill>
                  <a:srgbClr val="000000"/>
                </a:solidFill>
                <a:latin typeface="+mn-lt"/>
                <a:cs typeface="Calibri"/>
              </a:rPr>
              <a:t>More help requested</a:t>
            </a:r>
          </a:p>
          <a:p>
            <a:pPr algn="l" rtl="0">
              <a:lnSpc>
                <a:spcPts val="1000"/>
              </a:lnSpc>
              <a:defRPr sz="1000"/>
            </a:pPr>
            <a:r>
              <a:rPr lang="en-GB" sz="800" b="1" i="0" u="none" strike="noStrike" baseline="0">
                <a:solidFill>
                  <a:srgbClr val="0000FF"/>
                </a:solidFill>
                <a:latin typeface="+mn-lt"/>
                <a:cs typeface="Calibri"/>
              </a:rPr>
              <a:t>29</a:t>
            </a:r>
            <a:endParaRPr lang="en-GB" sz="800" b="0" i="0" u="none" strike="noStrike" baseline="0">
              <a:solidFill>
                <a:srgbClr val="000000"/>
              </a:solidFill>
              <a:latin typeface="+mn-lt"/>
              <a:cs typeface="Calibri"/>
            </a:endParaRPr>
          </a:p>
          <a:p>
            <a:pPr algn="l" rtl="0">
              <a:lnSpc>
                <a:spcPts val="1000"/>
              </a:lnSpc>
              <a:defRPr sz="1000"/>
            </a:pPr>
            <a:endParaRPr lang="en-GB" sz="800" b="0" i="0" u="none" strike="noStrike" baseline="0">
              <a:solidFill>
                <a:srgbClr val="000000"/>
              </a:solidFill>
              <a:latin typeface="+mn-lt"/>
              <a:cs typeface="Calibri"/>
            </a:endParaRPr>
          </a:p>
        </xdr:txBody>
      </xdr:sp>
      <xdr:sp macro="" textlink="">
        <xdr:nvSpPr>
          <xdr:cNvPr id="13448116" name="Line 338"/>
          <xdr:cNvSpPr>
            <a:spLocks noChangeShapeType="1"/>
          </xdr:cNvSpPr>
        </xdr:nvSpPr>
        <xdr:spPr bwMode="auto">
          <a:xfrm>
            <a:off x="783" y="8101"/>
            <a:ext cx="27"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448117" name="Line 339"/>
          <xdr:cNvSpPr>
            <a:spLocks noChangeShapeType="1"/>
          </xdr:cNvSpPr>
        </xdr:nvSpPr>
        <xdr:spPr bwMode="auto">
          <a:xfrm>
            <a:off x="632" y="8132"/>
            <a:ext cx="178" cy="37"/>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55" name="Text Box 340"/>
          <xdr:cNvSpPr txBox="1">
            <a:spLocks noChangeArrowheads="1"/>
          </xdr:cNvSpPr>
        </xdr:nvSpPr>
        <xdr:spPr bwMode="auto">
          <a:xfrm>
            <a:off x="658" y="8207"/>
            <a:ext cx="127" cy="63"/>
          </a:xfrm>
          <a:prstGeom prst="rect">
            <a:avLst/>
          </a:prstGeom>
          <a:noFill/>
          <a:ln w="3175">
            <a:solidFill>
              <a:srgbClr val="000000"/>
            </a:solidFill>
            <a:miter lim="800000"/>
            <a:headEnd/>
            <a:tailEnd/>
          </a:ln>
          <a:extLst>
            <a:ext uri="{909E8E84-426E-40DD-AFC4-6F175D3DCCD1}">
              <a14:hiddenFill xmlns:a14="http://schemas.microsoft.com/office/drawing/2010/main">
                <a:solidFill>
                  <a:srgbClr val="D3EBED"/>
                </a:solidFill>
              </a14:hiddenFill>
            </a:ext>
          </a:extLst>
        </xdr:spPr>
        <xdr:txBody>
          <a:bodyPr vertOverflow="clip" wrap="square" lIns="91440" tIns="45720" rIns="91440" bIns="45720" anchor="t" upright="1"/>
          <a:lstStyle/>
          <a:p>
            <a:pPr algn="l" rtl="0">
              <a:lnSpc>
                <a:spcPts val="900"/>
              </a:lnSpc>
              <a:defRPr sz="1000"/>
            </a:pPr>
            <a:r>
              <a:rPr lang="en-GB" sz="800" b="0" i="0" u="none" strike="noStrike" baseline="0">
                <a:solidFill>
                  <a:srgbClr val="000000"/>
                </a:solidFill>
                <a:latin typeface="+mn-lt"/>
                <a:cs typeface="Calibri"/>
              </a:rPr>
              <a:t>Scored 10 or more on Edinburgh Tool</a:t>
            </a:r>
          </a:p>
          <a:p>
            <a:pPr algn="l" rtl="0">
              <a:lnSpc>
                <a:spcPts val="1100"/>
              </a:lnSpc>
              <a:defRPr sz="1000"/>
            </a:pPr>
            <a:r>
              <a:rPr lang="en-GB" sz="800" b="1" i="0" u="none" strike="noStrike" baseline="0">
                <a:solidFill>
                  <a:srgbClr val="0000FF"/>
                </a:solidFill>
                <a:latin typeface="+mn-lt"/>
                <a:cs typeface="Calibri"/>
              </a:rPr>
              <a:t>243</a:t>
            </a:r>
            <a:endParaRPr lang="en-GB" sz="800" b="0" i="0" u="none" strike="noStrike" baseline="0">
              <a:solidFill>
                <a:srgbClr val="000000"/>
              </a:solidFill>
              <a:latin typeface="+mn-lt"/>
              <a:cs typeface="Calibri"/>
            </a:endParaRPr>
          </a:p>
          <a:p>
            <a:pPr algn="l" rtl="0">
              <a:lnSpc>
                <a:spcPts val="1100"/>
              </a:lnSpc>
              <a:defRPr sz="1000"/>
            </a:pPr>
            <a:endParaRPr lang="en-GB" sz="800" b="0" i="0" u="none" strike="noStrike" baseline="0">
              <a:solidFill>
                <a:srgbClr val="000000"/>
              </a:solidFill>
              <a:latin typeface="+mn-lt"/>
              <a:cs typeface="Calibri"/>
            </a:endParaRPr>
          </a:p>
        </xdr:txBody>
      </xdr:sp>
      <xdr:sp macro="" textlink="">
        <xdr:nvSpPr>
          <xdr:cNvPr id="56" name="Text Box 341"/>
          <xdr:cNvSpPr txBox="1">
            <a:spLocks noChangeArrowheads="1"/>
          </xdr:cNvSpPr>
        </xdr:nvSpPr>
        <xdr:spPr bwMode="auto">
          <a:xfrm>
            <a:off x="658" y="8275"/>
            <a:ext cx="127" cy="59"/>
          </a:xfrm>
          <a:prstGeom prst="rect">
            <a:avLst/>
          </a:prstGeom>
          <a:noFill/>
          <a:ln w="3175">
            <a:solidFill>
              <a:srgbClr val="000000"/>
            </a:solidFill>
            <a:miter lim="800000"/>
            <a:headEnd/>
            <a:tailEnd/>
          </a:ln>
          <a:extLst>
            <a:ext uri="{909E8E84-426E-40DD-AFC4-6F175D3DCCD1}">
              <a14:hiddenFill xmlns:a14="http://schemas.microsoft.com/office/drawing/2010/main">
                <a:solidFill>
                  <a:srgbClr val="D3EBED"/>
                </a:solidFill>
              </a14:hiddenFill>
            </a:ext>
          </a:extLst>
        </xdr:spPr>
        <xdr:txBody>
          <a:bodyPr vertOverflow="clip" wrap="square" lIns="91440" tIns="45720" rIns="91440" bIns="45720" anchor="t" upright="1"/>
          <a:lstStyle/>
          <a:p>
            <a:pPr algn="l" rtl="0">
              <a:lnSpc>
                <a:spcPts val="900"/>
              </a:lnSpc>
              <a:defRPr sz="1000"/>
            </a:pPr>
            <a:r>
              <a:rPr lang="en-GB" sz="800" b="0" i="0" u="none" strike="noStrike" baseline="0">
                <a:solidFill>
                  <a:srgbClr val="000000"/>
                </a:solidFill>
                <a:latin typeface="+mn-lt"/>
                <a:cs typeface="Calibri"/>
              </a:rPr>
              <a:t>Less than 10 on Edinburgh Tool</a:t>
            </a:r>
          </a:p>
          <a:p>
            <a:pPr algn="l" rtl="0">
              <a:lnSpc>
                <a:spcPts val="1100"/>
              </a:lnSpc>
              <a:defRPr sz="1000"/>
            </a:pPr>
            <a:r>
              <a:rPr lang="en-GB" sz="800" b="1" i="0" u="none" strike="noStrike" baseline="0">
                <a:solidFill>
                  <a:srgbClr val="0000FF"/>
                </a:solidFill>
                <a:latin typeface="+mn-lt"/>
                <a:cs typeface="Calibri"/>
              </a:rPr>
              <a:t>97</a:t>
            </a:r>
            <a:endParaRPr lang="en-GB" sz="800" b="0" i="0" u="none" strike="noStrike" baseline="0">
              <a:solidFill>
                <a:srgbClr val="000000"/>
              </a:solidFill>
              <a:latin typeface="+mn-lt"/>
              <a:cs typeface="Calibri"/>
            </a:endParaRPr>
          </a:p>
          <a:p>
            <a:pPr algn="l" rtl="0">
              <a:lnSpc>
                <a:spcPts val="1100"/>
              </a:lnSpc>
              <a:defRPr sz="1000"/>
            </a:pPr>
            <a:endParaRPr lang="en-GB" sz="800" b="0" i="0" u="none" strike="noStrike" baseline="0">
              <a:solidFill>
                <a:srgbClr val="000000"/>
              </a:solidFill>
              <a:latin typeface="+mn-lt"/>
              <a:cs typeface="Calibri"/>
            </a:endParaRPr>
          </a:p>
        </xdr:txBody>
      </xdr:sp>
      <xdr:sp macro="" textlink="">
        <xdr:nvSpPr>
          <xdr:cNvPr id="13448120" name="Line 342"/>
          <xdr:cNvSpPr>
            <a:spLocks noChangeShapeType="1"/>
          </xdr:cNvSpPr>
        </xdr:nvSpPr>
        <xdr:spPr bwMode="auto">
          <a:xfrm flipV="1">
            <a:off x="632" y="8253"/>
            <a:ext cx="18" cy="7"/>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448121" name="Line 343"/>
          <xdr:cNvSpPr>
            <a:spLocks noChangeShapeType="1"/>
          </xdr:cNvSpPr>
        </xdr:nvSpPr>
        <xdr:spPr bwMode="auto">
          <a:xfrm>
            <a:off x="632" y="8283"/>
            <a:ext cx="18" cy="7"/>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59" name="Text Box 344"/>
          <xdr:cNvSpPr txBox="1">
            <a:spLocks noChangeArrowheads="1"/>
          </xdr:cNvSpPr>
        </xdr:nvSpPr>
        <xdr:spPr bwMode="auto">
          <a:xfrm>
            <a:off x="810" y="8207"/>
            <a:ext cx="125" cy="48"/>
          </a:xfrm>
          <a:prstGeom prst="rect">
            <a:avLst/>
          </a:prstGeom>
          <a:solidFill>
            <a:srgbClr xmlns:mc="http://schemas.openxmlformats.org/markup-compatibility/2006" xmlns:a14="http://schemas.microsoft.com/office/drawing/2010/main" val="FFFF00" mc:Ignorable="a14" a14:legacySpreadsheetColorIndex="13"/>
          </a:solidFill>
          <a:ln w="3175">
            <a:solidFill>
              <a:srgbClr val="000000"/>
            </a:solidFill>
            <a:miter lim="800000"/>
            <a:headEnd/>
            <a:tailEnd/>
          </a:ln>
        </xdr:spPr>
        <xdr:txBody>
          <a:bodyPr vertOverflow="clip" wrap="square" lIns="91440" tIns="45720" rIns="91440" bIns="45720" anchor="t" upright="1"/>
          <a:lstStyle/>
          <a:p>
            <a:pPr algn="l" rtl="0">
              <a:lnSpc>
                <a:spcPts val="900"/>
              </a:lnSpc>
              <a:defRPr sz="1000"/>
            </a:pPr>
            <a:r>
              <a:rPr lang="en-GB" sz="800" b="0" i="0" u="none" strike="noStrike" baseline="0">
                <a:solidFill>
                  <a:srgbClr val="000000"/>
                </a:solidFill>
                <a:latin typeface="+mn-lt"/>
                <a:cs typeface="Calibri"/>
              </a:rPr>
              <a:t>More help requested</a:t>
            </a:r>
          </a:p>
          <a:p>
            <a:pPr algn="l" rtl="0">
              <a:lnSpc>
                <a:spcPts val="1000"/>
              </a:lnSpc>
              <a:defRPr sz="1000"/>
            </a:pPr>
            <a:r>
              <a:rPr lang="en-GB" sz="800" b="1" i="0" u="none" strike="noStrike" baseline="0">
                <a:solidFill>
                  <a:srgbClr val="0000FF"/>
                </a:solidFill>
                <a:latin typeface="+mn-lt"/>
                <a:cs typeface="Calibri"/>
              </a:rPr>
              <a:t>2</a:t>
            </a:r>
            <a:endParaRPr lang="en-GB" sz="800" b="0" i="0" u="none" strike="noStrike" baseline="0">
              <a:solidFill>
                <a:srgbClr val="000000"/>
              </a:solidFill>
              <a:latin typeface="+mn-lt"/>
              <a:cs typeface="Calibri"/>
            </a:endParaRPr>
          </a:p>
          <a:p>
            <a:pPr algn="l" rtl="0">
              <a:lnSpc>
                <a:spcPts val="1000"/>
              </a:lnSpc>
              <a:defRPr sz="1000"/>
            </a:pPr>
            <a:endParaRPr lang="en-GB" sz="800" b="0" i="0" u="none" strike="noStrike" baseline="0">
              <a:solidFill>
                <a:srgbClr val="000000"/>
              </a:solidFill>
              <a:latin typeface="+mn-lt"/>
              <a:cs typeface="Calibri"/>
            </a:endParaRPr>
          </a:p>
        </xdr:txBody>
      </xdr:sp>
      <xdr:sp macro="" textlink="">
        <xdr:nvSpPr>
          <xdr:cNvPr id="60" name="Text Box 345"/>
          <xdr:cNvSpPr txBox="1">
            <a:spLocks noChangeArrowheads="1"/>
          </xdr:cNvSpPr>
        </xdr:nvSpPr>
        <xdr:spPr bwMode="auto">
          <a:xfrm>
            <a:off x="810" y="8275"/>
            <a:ext cx="125" cy="47"/>
          </a:xfrm>
          <a:prstGeom prst="rect">
            <a:avLst/>
          </a:prstGeom>
          <a:solidFill>
            <a:srgbClr xmlns:mc="http://schemas.openxmlformats.org/markup-compatibility/2006" xmlns:a14="http://schemas.microsoft.com/office/drawing/2010/main" val="FFFF00" mc:Ignorable="a14" a14:legacySpreadsheetColorIndex="13"/>
          </a:solidFill>
          <a:ln w="3175">
            <a:solidFill>
              <a:srgbClr val="000000"/>
            </a:solidFill>
            <a:miter lim="800000"/>
            <a:headEnd/>
            <a:tailEnd/>
          </a:ln>
        </xdr:spPr>
        <xdr:txBody>
          <a:bodyPr vertOverflow="clip" wrap="square" lIns="91440" tIns="45720" rIns="91440" bIns="45720" anchor="t" upright="1"/>
          <a:lstStyle/>
          <a:p>
            <a:pPr algn="l" rtl="0">
              <a:lnSpc>
                <a:spcPts val="900"/>
              </a:lnSpc>
              <a:defRPr sz="1000"/>
            </a:pPr>
            <a:r>
              <a:rPr lang="en-GB" sz="800" b="0" i="0" u="none" strike="noStrike" baseline="0">
                <a:solidFill>
                  <a:srgbClr val="000000"/>
                </a:solidFill>
                <a:latin typeface="+mn-lt"/>
                <a:cs typeface="Calibri"/>
              </a:rPr>
              <a:t>More help requested</a:t>
            </a:r>
            <a:endParaRPr lang="en-GB" sz="800" b="0" i="0" u="none" strike="noStrike" baseline="0">
              <a:solidFill>
                <a:srgbClr val="0000FF"/>
              </a:solidFill>
              <a:latin typeface="+mn-lt"/>
              <a:cs typeface="Calibri"/>
            </a:endParaRPr>
          </a:p>
          <a:p>
            <a:pPr algn="l" rtl="0">
              <a:lnSpc>
                <a:spcPts val="1000"/>
              </a:lnSpc>
              <a:defRPr sz="1000"/>
            </a:pPr>
            <a:r>
              <a:rPr lang="en-GB" sz="800" b="1" i="0" u="none" strike="noStrike" baseline="0">
                <a:solidFill>
                  <a:srgbClr val="0000FF"/>
                </a:solidFill>
                <a:latin typeface="+mn-lt"/>
                <a:cs typeface="Calibri"/>
              </a:rPr>
              <a:t>2</a:t>
            </a:r>
            <a:endParaRPr lang="en-GB" sz="800" b="0" i="0" u="none" strike="noStrike" baseline="0">
              <a:solidFill>
                <a:srgbClr val="000000"/>
              </a:solidFill>
              <a:latin typeface="+mn-lt"/>
              <a:cs typeface="Calibri"/>
            </a:endParaRPr>
          </a:p>
          <a:p>
            <a:pPr algn="l" rtl="0">
              <a:lnSpc>
                <a:spcPts val="1000"/>
              </a:lnSpc>
              <a:defRPr sz="1000"/>
            </a:pPr>
            <a:endParaRPr lang="en-GB" sz="800" b="0" i="0" u="none" strike="noStrike" baseline="0">
              <a:solidFill>
                <a:srgbClr val="000000"/>
              </a:solidFill>
              <a:latin typeface="+mn-lt"/>
              <a:cs typeface="Calibri"/>
            </a:endParaRPr>
          </a:p>
        </xdr:txBody>
      </xdr:sp>
      <xdr:sp macro="" textlink="">
        <xdr:nvSpPr>
          <xdr:cNvPr id="13448124" name="Line 346"/>
          <xdr:cNvSpPr>
            <a:spLocks noChangeShapeType="1"/>
          </xdr:cNvSpPr>
        </xdr:nvSpPr>
        <xdr:spPr bwMode="auto">
          <a:xfrm>
            <a:off x="783" y="8305"/>
            <a:ext cx="27"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448125" name="Line 347"/>
          <xdr:cNvSpPr>
            <a:spLocks noChangeShapeType="1"/>
          </xdr:cNvSpPr>
        </xdr:nvSpPr>
        <xdr:spPr bwMode="auto">
          <a:xfrm>
            <a:off x="632" y="8336"/>
            <a:ext cx="181" cy="32"/>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63" name="Text Box 348"/>
          <xdr:cNvSpPr txBox="1">
            <a:spLocks noChangeArrowheads="1"/>
          </xdr:cNvSpPr>
        </xdr:nvSpPr>
        <xdr:spPr bwMode="auto">
          <a:xfrm>
            <a:off x="814" y="8343"/>
            <a:ext cx="120" cy="44"/>
          </a:xfrm>
          <a:prstGeom prst="rect">
            <a:avLst/>
          </a:prstGeom>
          <a:solidFill>
            <a:srgbClr xmlns:mc="http://schemas.openxmlformats.org/markup-compatibility/2006" xmlns:a14="http://schemas.microsoft.com/office/drawing/2010/main" val="FFFF00" mc:Ignorable="a14" a14:legacySpreadsheetColorIndex="13"/>
          </a:solidFill>
          <a:ln w="3175">
            <a:solidFill>
              <a:srgbClr val="000000"/>
            </a:solidFill>
            <a:miter lim="800000"/>
            <a:headEnd/>
            <a:tailEnd/>
          </a:ln>
        </xdr:spPr>
        <xdr:txBody>
          <a:bodyPr vertOverflow="clip" wrap="square" lIns="91440" tIns="45720" rIns="91440" bIns="45720" anchor="t" upright="1"/>
          <a:lstStyle/>
          <a:p>
            <a:pPr algn="l" rtl="0">
              <a:lnSpc>
                <a:spcPts val="900"/>
              </a:lnSpc>
              <a:defRPr sz="1000"/>
            </a:pPr>
            <a:r>
              <a:rPr lang="en-GB" sz="800" b="0" i="0" u="none" strike="noStrike" baseline="0">
                <a:solidFill>
                  <a:srgbClr val="000000"/>
                </a:solidFill>
                <a:latin typeface="+mn-lt"/>
                <a:cs typeface="Calibri"/>
              </a:rPr>
              <a:t>More help requested</a:t>
            </a:r>
          </a:p>
          <a:p>
            <a:pPr algn="l" rtl="0">
              <a:lnSpc>
                <a:spcPts val="1000"/>
              </a:lnSpc>
              <a:defRPr sz="1000"/>
            </a:pPr>
            <a:r>
              <a:rPr lang="en-GB" sz="800" b="1" i="0" u="none" strike="noStrike" baseline="0">
                <a:solidFill>
                  <a:srgbClr val="0000FF"/>
                </a:solidFill>
                <a:latin typeface="+mn-lt"/>
                <a:cs typeface="Calibri"/>
              </a:rPr>
              <a:t>5</a:t>
            </a:r>
            <a:endParaRPr lang="en-GB" sz="800" b="0" i="0" u="none" strike="noStrike" baseline="0">
              <a:solidFill>
                <a:srgbClr val="000000"/>
              </a:solidFill>
              <a:latin typeface="+mn-lt"/>
              <a:cs typeface="Calibri"/>
            </a:endParaRPr>
          </a:p>
          <a:p>
            <a:pPr algn="l" rtl="0">
              <a:lnSpc>
                <a:spcPts val="1000"/>
              </a:lnSpc>
              <a:defRPr sz="1000"/>
            </a:pPr>
            <a:endParaRPr lang="en-GB" sz="800" b="0" i="0" u="none" strike="noStrike" baseline="0">
              <a:solidFill>
                <a:srgbClr val="000000"/>
              </a:solidFill>
              <a:latin typeface="+mn-lt"/>
              <a:cs typeface="Calibri"/>
            </a:endParaRPr>
          </a:p>
        </xdr:txBody>
      </xdr:sp>
      <xdr:sp macro="" textlink="">
        <xdr:nvSpPr>
          <xdr:cNvPr id="13448127" name="Line 349"/>
          <xdr:cNvSpPr>
            <a:spLocks noChangeShapeType="1"/>
          </xdr:cNvSpPr>
        </xdr:nvSpPr>
        <xdr:spPr bwMode="auto">
          <a:xfrm>
            <a:off x="784" y="8230"/>
            <a:ext cx="27"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65" name="Text Box 350"/>
          <xdr:cNvSpPr txBox="1">
            <a:spLocks noChangeArrowheads="1"/>
          </xdr:cNvSpPr>
        </xdr:nvSpPr>
        <xdr:spPr bwMode="auto">
          <a:xfrm>
            <a:off x="120" y="7872"/>
            <a:ext cx="121" cy="115"/>
          </a:xfrm>
          <a:prstGeom prst="rect">
            <a:avLst/>
          </a:prstGeom>
          <a:solidFill>
            <a:srgbClr val="DDDDDD"/>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en-GB" sz="1100" b="1" i="0" u="none" strike="noStrike" baseline="0">
                <a:solidFill>
                  <a:srgbClr val="0000FF"/>
                </a:solidFill>
                <a:latin typeface="+mn-lt"/>
                <a:cs typeface="Calibri"/>
              </a:rPr>
              <a:t>STEP 1</a:t>
            </a:r>
            <a:r>
              <a:rPr lang="en-GB" sz="1100" b="0" i="0" u="none" strike="noStrike" baseline="0">
                <a:solidFill>
                  <a:srgbClr val="0000FF"/>
                </a:solidFill>
                <a:latin typeface="+mn-lt"/>
                <a:cs typeface="Calibri"/>
              </a:rPr>
              <a:t> </a:t>
            </a:r>
          </a:p>
          <a:p>
            <a:pPr algn="l" rtl="0">
              <a:lnSpc>
                <a:spcPts val="1200"/>
              </a:lnSpc>
              <a:defRPr sz="1000"/>
            </a:pPr>
            <a:r>
              <a:rPr lang="en-GB" sz="1100" b="0" i="0" u="none" strike="noStrike" baseline="0">
                <a:solidFill>
                  <a:srgbClr val="000000"/>
                </a:solidFill>
                <a:latin typeface="+mn-lt"/>
                <a:cs typeface="Calibri"/>
              </a:rPr>
              <a:t>Women initially screened using the Woolley Tool.</a:t>
            </a:r>
            <a:endParaRPr lang="en-GB" sz="1200" b="0" i="0" u="none" strike="noStrike" baseline="0">
              <a:solidFill>
                <a:srgbClr val="0000FF"/>
              </a:solidFill>
              <a:latin typeface="+mn-lt"/>
              <a:cs typeface="Calibri"/>
            </a:endParaRPr>
          </a:p>
          <a:p>
            <a:pPr algn="l" rtl="0">
              <a:lnSpc>
                <a:spcPts val="1100"/>
              </a:lnSpc>
              <a:defRPr sz="1000"/>
            </a:pPr>
            <a:endParaRPr lang="en-GB" sz="1200" b="0" i="0" u="none" strike="noStrike" baseline="0">
              <a:solidFill>
                <a:srgbClr val="0000FF"/>
              </a:solidFill>
              <a:latin typeface="+mn-lt"/>
              <a:cs typeface="Calibri"/>
            </a:endParaRPr>
          </a:p>
        </xdr:txBody>
      </xdr:sp>
      <xdr:sp macro="" textlink="">
        <xdr:nvSpPr>
          <xdr:cNvPr id="66" name="Text Box 351"/>
          <xdr:cNvSpPr txBox="1">
            <a:spLocks noChangeArrowheads="1"/>
          </xdr:cNvSpPr>
        </xdr:nvSpPr>
        <xdr:spPr bwMode="auto">
          <a:xfrm>
            <a:off x="282" y="7871"/>
            <a:ext cx="340" cy="115"/>
          </a:xfrm>
          <a:prstGeom prst="rect">
            <a:avLst/>
          </a:prstGeom>
          <a:solidFill>
            <a:srgbClr val="DDDDDD"/>
          </a:solidFill>
          <a:ln w="9525">
            <a:solidFill>
              <a:srgbClr val="000000"/>
            </a:solidFill>
            <a:miter lim="800000"/>
            <a:headEnd/>
            <a:tailEnd/>
          </a:ln>
        </xdr:spPr>
        <xdr:txBody>
          <a:bodyPr vertOverflow="clip" wrap="square" lIns="91440" tIns="45720" rIns="91440" bIns="45720" anchor="t" upright="1"/>
          <a:lstStyle/>
          <a:p>
            <a:pPr algn="l" rtl="0">
              <a:defRPr sz="1000"/>
            </a:pPr>
            <a:r>
              <a:rPr lang="en-GB" sz="1100" b="1" i="0" u="none" strike="noStrike" baseline="0">
                <a:solidFill>
                  <a:srgbClr val="0000FF"/>
                </a:solidFill>
                <a:latin typeface="+mn-lt"/>
                <a:cs typeface="Calibri"/>
              </a:rPr>
              <a:t>STEP 2</a:t>
            </a:r>
          </a:p>
          <a:p>
            <a:pPr algn="l" rtl="0">
              <a:defRPr sz="1000"/>
            </a:pPr>
            <a:r>
              <a:rPr lang="en-GB" sz="1100" b="0" i="0" u="none" strike="noStrike" baseline="0">
                <a:solidFill>
                  <a:srgbClr val="000000"/>
                </a:solidFill>
                <a:latin typeface="+mn-lt"/>
                <a:cs typeface="Calibri"/>
              </a:rPr>
              <a:t>Following Woolley tool, women who have answered yes to either Q5 or Q6 offered to be screened using the Edinburgh Post Natal Depression Scale.</a:t>
            </a:r>
            <a:endParaRPr lang="en-GB" sz="1200" b="0" i="0" u="none" strike="noStrike" baseline="0">
              <a:solidFill>
                <a:srgbClr val="0000FF"/>
              </a:solidFill>
              <a:latin typeface="+mn-lt"/>
              <a:cs typeface="Calibri"/>
            </a:endParaRPr>
          </a:p>
          <a:p>
            <a:pPr algn="l" rtl="0">
              <a:lnSpc>
                <a:spcPts val="1400"/>
              </a:lnSpc>
              <a:defRPr sz="1000"/>
            </a:pPr>
            <a:endParaRPr lang="en-GB" sz="1200" b="0" i="0" u="none" strike="noStrike" baseline="0">
              <a:solidFill>
                <a:srgbClr val="0000FF"/>
              </a:solidFill>
              <a:latin typeface="+mn-lt"/>
              <a:cs typeface="Calibri"/>
            </a:endParaRPr>
          </a:p>
        </xdr:txBody>
      </xdr:sp>
    </xdr:grpSp>
    <xdr:clientData/>
  </xdr:twoCellAnchor>
  <xdr:twoCellAnchor editAs="oneCell">
    <xdr:from>
      <xdr:col>9</xdr:col>
      <xdr:colOff>114300</xdr:colOff>
      <xdr:row>423</xdr:row>
      <xdr:rowOff>201930</xdr:rowOff>
    </xdr:from>
    <xdr:to>
      <xdr:col>14</xdr:col>
      <xdr:colOff>142875</xdr:colOff>
      <xdr:row>425</xdr:row>
      <xdr:rowOff>718459</xdr:rowOff>
    </xdr:to>
    <xdr:sp macro="" textlink="">
      <xdr:nvSpPr>
        <xdr:cNvPr id="67" name="Text Box 352"/>
        <xdr:cNvSpPr txBox="1">
          <a:spLocks noChangeArrowheads="1"/>
        </xdr:cNvSpPr>
      </xdr:nvSpPr>
      <xdr:spPr bwMode="auto">
        <a:xfrm>
          <a:off x="6504214" y="127074930"/>
          <a:ext cx="3337832" cy="1169670"/>
        </a:xfrm>
        <a:prstGeom prst="rect">
          <a:avLst/>
        </a:prstGeom>
        <a:solidFill>
          <a:srgbClr val="DDDDDD"/>
        </a:solidFill>
        <a:ln w="9525">
          <a:solidFill>
            <a:srgbClr val="000000"/>
          </a:solidFill>
          <a:miter lim="800000"/>
          <a:headEnd/>
          <a:tailEnd/>
        </a:ln>
      </xdr:spPr>
      <xdr:txBody>
        <a:bodyPr vertOverflow="clip" wrap="square" lIns="91440" tIns="45720" rIns="91440" bIns="45720" anchor="t" upright="1"/>
        <a:lstStyle/>
        <a:p>
          <a:pPr algn="l" rtl="0">
            <a:defRPr sz="1000"/>
          </a:pPr>
          <a:r>
            <a:rPr lang="en-GB" sz="1100" b="1" i="0" u="none" strike="noStrike" baseline="0">
              <a:solidFill>
                <a:srgbClr val="0000FF"/>
              </a:solidFill>
              <a:latin typeface="+mn-lt"/>
              <a:cs typeface="Calibri"/>
            </a:rPr>
            <a:t>STEP 3</a:t>
          </a:r>
        </a:p>
        <a:p>
          <a:pPr algn="l" rtl="0">
            <a:defRPr sz="1000"/>
          </a:pPr>
          <a:r>
            <a:rPr lang="en-GB" sz="1100" b="0" i="0" u="none" strike="noStrike" baseline="0">
              <a:solidFill>
                <a:srgbClr val="000000"/>
              </a:solidFill>
              <a:latin typeface="+mn-lt"/>
              <a:cs typeface="Calibri"/>
            </a:rPr>
            <a:t>Women identified as being at risk of Post Natal Depression (scoring 10 or more on the EPNDS). Help requested / offered.</a:t>
          </a:r>
          <a:endParaRPr lang="en-GB" sz="1200" b="0" i="0" u="none" strike="noStrike" baseline="0">
            <a:solidFill>
              <a:srgbClr val="0000FF"/>
            </a:solidFill>
            <a:latin typeface="+mn-lt"/>
            <a:cs typeface="Calibri"/>
          </a:endParaRPr>
        </a:p>
        <a:p>
          <a:pPr algn="l" rtl="0">
            <a:defRPr sz="1000"/>
          </a:pPr>
          <a:endParaRPr lang="en-GB" sz="1200" b="0" i="0" u="none" strike="noStrike" baseline="0">
            <a:solidFill>
              <a:srgbClr val="0000FF"/>
            </a:solidFill>
            <a:latin typeface="+mn-lt"/>
            <a:cs typeface="Calibri"/>
          </a:endParaRPr>
        </a:p>
      </xdr:txBody>
    </xdr:sp>
    <xdr:clientData/>
  </xdr:twoCellAnchor>
  <xdr:twoCellAnchor>
    <xdr:from>
      <xdr:col>7</xdr:col>
      <xdr:colOff>33867</xdr:colOff>
      <xdr:row>163</xdr:row>
      <xdr:rowOff>16933</xdr:rowOff>
    </xdr:from>
    <xdr:to>
      <xdr:col>14</xdr:col>
      <xdr:colOff>402772</xdr:colOff>
      <xdr:row>168</xdr:row>
      <xdr:rowOff>32657</xdr:rowOff>
    </xdr:to>
    <xdr:graphicFrame macro="">
      <xdr:nvGraphicFramePr>
        <xdr:cNvPr id="1344808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121920</xdr:colOff>
      <xdr:row>307</xdr:row>
      <xdr:rowOff>129540</xdr:rowOff>
    </xdr:from>
    <xdr:to>
      <xdr:col>14</xdr:col>
      <xdr:colOff>642620</xdr:colOff>
      <xdr:row>325</xdr:row>
      <xdr:rowOff>125306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63500</xdr:colOff>
      <xdr:row>583</xdr:row>
      <xdr:rowOff>50800</xdr:rowOff>
    </xdr:from>
    <xdr:to>
      <xdr:col>14</xdr:col>
      <xdr:colOff>558800</xdr:colOff>
      <xdr:row>588</xdr:row>
      <xdr:rowOff>381000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0</xdr:col>
      <xdr:colOff>30480</xdr:colOff>
      <xdr:row>603</xdr:row>
      <xdr:rowOff>152400</xdr:rowOff>
    </xdr:from>
    <xdr:to>
      <xdr:col>14</xdr:col>
      <xdr:colOff>596266</xdr:colOff>
      <xdr:row>607</xdr:row>
      <xdr:rowOff>106680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123825</xdr:colOff>
      <xdr:row>583</xdr:row>
      <xdr:rowOff>76200</xdr:rowOff>
    </xdr:from>
    <xdr:to>
      <xdr:col>9</xdr:col>
      <xdr:colOff>228600</xdr:colOff>
      <xdr:row>583</xdr:row>
      <xdr:rowOff>352425</xdr:rowOff>
    </xdr:to>
    <xdr:sp macro="" textlink="">
      <xdr:nvSpPr>
        <xdr:cNvPr id="8" name="TextBox 7"/>
        <xdr:cNvSpPr txBox="1"/>
      </xdr:nvSpPr>
      <xdr:spPr>
        <a:xfrm>
          <a:off x="123825" y="133407150"/>
          <a:ext cx="6496050"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1">
              <a:latin typeface="+mn-lt"/>
            </a:rPr>
            <a:t>%</a:t>
          </a:r>
          <a:r>
            <a:rPr lang="en-GB" sz="1000" b="1" baseline="0">
              <a:latin typeface="+mn-lt"/>
            </a:rPr>
            <a:t> of Children Assessed as Having a Good Level of Development</a:t>
          </a:r>
          <a:endParaRPr lang="en-GB" sz="1000" b="1">
            <a:latin typeface="+mn-lt"/>
          </a:endParaRPr>
        </a:p>
      </xdr:txBody>
    </xdr:sp>
    <xdr:clientData/>
  </xdr:twoCellAnchor>
  <xdr:twoCellAnchor>
    <xdr:from>
      <xdr:col>0</xdr:col>
      <xdr:colOff>28789</xdr:colOff>
      <xdr:row>559</xdr:row>
      <xdr:rowOff>45719</xdr:rowOff>
    </xdr:from>
    <xdr:to>
      <xdr:col>14</xdr:col>
      <xdr:colOff>612987</xdr:colOff>
      <xdr:row>568</xdr:row>
      <xdr:rowOff>563880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9</xdr:col>
      <xdr:colOff>15240</xdr:colOff>
      <xdr:row>207</xdr:row>
      <xdr:rowOff>30480</xdr:rowOff>
    </xdr:from>
    <xdr:to>
      <xdr:col>14</xdr:col>
      <xdr:colOff>609600</xdr:colOff>
      <xdr:row>214</xdr:row>
      <xdr:rowOff>1089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0.01536</cdr:x>
      <cdr:y>0.00444</cdr:y>
    </cdr:from>
    <cdr:to>
      <cdr:x>0.74642</cdr:x>
      <cdr:y>0.08119</cdr:y>
    </cdr:to>
    <cdr:sp macro="" textlink="">
      <cdr:nvSpPr>
        <cdr:cNvPr id="2" name="TextBox 1"/>
        <cdr:cNvSpPr txBox="1"/>
      </cdr:nvSpPr>
      <cdr:spPr>
        <a:xfrm xmlns:a="http://schemas.openxmlformats.org/drawingml/2006/main">
          <a:off x="157248" y="14584"/>
          <a:ext cx="7483283" cy="25211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1100" b="1"/>
            <a:t>% of Children Measured as Obese 2009/10 to 2012/13 </a:t>
          </a:r>
        </a:p>
      </cdr:txBody>
    </cdr:sp>
  </cdr:relSizeAnchor>
</c:userShapes>
</file>

<file path=xl/drawings/drawing3.xml><?xml version="1.0" encoding="utf-8"?>
<c:userShapes xmlns:c="http://schemas.openxmlformats.org/drawingml/2006/chart">
  <cdr:relSizeAnchor xmlns:cdr="http://schemas.openxmlformats.org/drawingml/2006/chartDrawing">
    <cdr:from>
      <cdr:x>0.00495</cdr:x>
      <cdr:y>0.02289</cdr:y>
    </cdr:from>
    <cdr:to>
      <cdr:x>0.63819</cdr:x>
      <cdr:y>0.14735</cdr:y>
    </cdr:to>
    <cdr:sp macro="" textlink="">
      <cdr:nvSpPr>
        <cdr:cNvPr id="2" name="TextBox 7"/>
        <cdr:cNvSpPr txBox="1"/>
      </cdr:nvSpPr>
      <cdr:spPr>
        <a:xfrm xmlns:a="http://schemas.openxmlformats.org/drawingml/2006/main">
          <a:off x="50800" y="50800"/>
          <a:ext cx="6496050" cy="276225"/>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GB" sz="1000" b="1">
              <a:latin typeface="+mn-lt"/>
            </a:rPr>
            <a:t>%</a:t>
          </a:r>
          <a:r>
            <a:rPr lang="en-GB" sz="1000" b="1" baseline="0">
              <a:latin typeface="+mn-lt"/>
            </a:rPr>
            <a:t> Gap Between Mean Score of Lowest 20% of  Scores and Overall Median Score</a:t>
          </a:r>
          <a:endParaRPr lang="en-GB" sz="1000" b="1">
            <a:latin typeface="+mn-lt"/>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P610"/>
  <sheetViews>
    <sheetView tabSelected="1" view="pageBreakPreview" topLeftCell="A181" zoomScale="70" zoomScaleNormal="70" zoomScaleSheetLayoutView="70" workbookViewId="0">
      <selection activeCell="A186" sqref="A186:O186"/>
    </sheetView>
  </sheetViews>
  <sheetFormatPr defaultColWidth="9.109375" defaultRowHeight="13.8" x14ac:dyDescent="0.25"/>
  <cols>
    <col min="1" max="1" width="8.44140625" style="14" customWidth="1"/>
    <col min="2" max="2" width="11" style="14" customWidth="1"/>
    <col min="3" max="3" width="16.33203125" style="14" customWidth="1"/>
    <col min="4" max="4" width="9.88671875" style="14" customWidth="1"/>
    <col min="5" max="5" width="9.5546875" style="14" customWidth="1"/>
    <col min="6" max="6" width="9.88671875" style="14" customWidth="1"/>
    <col min="7" max="7" width="9.33203125" style="14" customWidth="1"/>
    <col min="8" max="8" width="9.44140625" style="14" customWidth="1"/>
    <col min="9" max="9" width="9.33203125" style="14" customWidth="1"/>
    <col min="10" max="10" width="9.5546875" style="14" customWidth="1"/>
    <col min="11" max="11" width="10.109375" style="14" customWidth="1"/>
    <col min="12" max="14" width="9.5546875" style="14" customWidth="1"/>
    <col min="15" max="15" width="9.6640625" style="14" customWidth="1"/>
    <col min="16" max="16" width="9.5546875" style="9" customWidth="1"/>
    <col min="17" max="18" width="0" style="17" hidden="1" customWidth="1"/>
    <col min="19" max="20" width="9.109375" style="18" hidden="1" customWidth="1"/>
    <col min="21" max="27" width="9.109375" style="10"/>
    <col min="28" max="34" width="9.109375" style="16"/>
    <col min="35" max="16384" width="9.109375" style="14"/>
  </cols>
  <sheetData>
    <row r="1" spans="1:34" ht="39.75" customHeight="1" x14ac:dyDescent="0.25">
      <c r="A1" s="1134" t="s">
        <v>725</v>
      </c>
      <c r="B1" s="1135"/>
      <c r="C1" s="1135"/>
      <c r="D1" s="1135"/>
      <c r="E1" s="1135"/>
      <c r="F1" s="1135"/>
      <c r="G1" s="1135"/>
      <c r="H1" s="1135"/>
      <c r="I1" s="1135"/>
      <c r="J1" s="1135"/>
      <c r="K1" s="1135"/>
      <c r="L1" s="1135"/>
      <c r="M1" s="1135"/>
      <c r="N1" s="1135"/>
      <c r="O1" s="1136"/>
    </row>
    <row r="2" spans="1:34" ht="19.8" customHeight="1" x14ac:dyDescent="0.25">
      <c r="A2" s="1075"/>
      <c r="B2" s="1076"/>
      <c r="C2" s="1076"/>
      <c r="D2" s="717" t="s">
        <v>53</v>
      </c>
      <c r="E2" s="717"/>
      <c r="F2" s="717"/>
      <c r="G2" s="717"/>
      <c r="H2" s="717"/>
      <c r="I2" s="717"/>
      <c r="J2" s="717"/>
      <c r="K2" s="717"/>
      <c r="L2" s="717"/>
      <c r="M2" s="717"/>
      <c r="N2" s="717"/>
      <c r="O2" s="1073"/>
    </row>
    <row r="3" spans="1:34" ht="19.8" customHeight="1" x14ac:dyDescent="0.25">
      <c r="A3" s="1077"/>
      <c r="B3" s="1078"/>
      <c r="C3" s="1078"/>
      <c r="D3" s="720"/>
      <c r="E3" s="720"/>
      <c r="F3" s="720"/>
      <c r="G3" s="720"/>
      <c r="H3" s="720"/>
      <c r="I3" s="720"/>
      <c r="J3" s="720"/>
      <c r="K3" s="720"/>
      <c r="L3" s="720"/>
      <c r="M3" s="720"/>
      <c r="N3" s="720"/>
      <c r="O3" s="1074"/>
    </row>
    <row r="4" spans="1:34" ht="21" customHeight="1" x14ac:dyDescent="0.25">
      <c r="A4" s="1077"/>
      <c r="B4" s="1078"/>
      <c r="C4" s="1078"/>
      <c r="D4" s="720" t="s">
        <v>65</v>
      </c>
      <c r="E4" s="720"/>
      <c r="F4" s="720"/>
      <c r="G4" s="720"/>
      <c r="H4" s="720"/>
      <c r="I4" s="720"/>
      <c r="J4" s="720"/>
      <c r="K4" s="720"/>
      <c r="L4" s="720"/>
      <c r="M4" s="720"/>
      <c r="N4" s="720"/>
      <c r="O4" s="1074"/>
    </row>
    <row r="5" spans="1:34" ht="42" customHeight="1" x14ac:dyDescent="0.25">
      <c r="A5" s="1079"/>
      <c r="B5" s="1080"/>
      <c r="C5" s="1080"/>
      <c r="D5" s="1081" t="s">
        <v>726</v>
      </c>
      <c r="E5" s="1081"/>
      <c r="F5" s="1081"/>
      <c r="G5" s="1081"/>
      <c r="H5" s="1081"/>
      <c r="I5" s="1081"/>
      <c r="J5" s="1081"/>
      <c r="K5" s="1081"/>
      <c r="L5" s="1081"/>
      <c r="M5" s="1081"/>
      <c r="N5" s="1081"/>
      <c r="O5" s="1082"/>
    </row>
    <row r="6" spans="1:34" s="51" customFormat="1" ht="32.25" customHeight="1" x14ac:dyDescent="0.25">
      <c r="A6" s="260"/>
      <c r="B6" s="1339" t="s">
        <v>231</v>
      </c>
      <c r="C6" s="1340"/>
      <c r="D6" s="1340"/>
      <c r="E6" s="1340"/>
      <c r="F6" s="1356"/>
      <c r="G6" s="1356"/>
      <c r="H6" s="1356"/>
      <c r="I6" s="1356"/>
      <c r="J6" s="1356"/>
      <c r="K6" s="1356"/>
      <c r="L6" s="1344" t="s">
        <v>214</v>
      </c>
      <c r="M6" s="1344"/>
      <c r="N6" s="1344"/>
      <c r="O6" s="1345"/>
      <c r="P6" s="9"/>
      <c r="Q6" s="49"/>
      <c r="R6" s="49"/>
      <c r="S6" s="50"/>
      <c r="T6" s="50"/>
      <c r="U6" s="10"/>
      <c r="V6" s="10"/>
      <c r="W6" s="10"/>
      <c r="X6" s="10"/>
      <c r="Y6" s="10"/>
      <c r="Z6" s="10"/>
      <c r="AA6" s="10"/>
      <c r="AB6" s="16"/>
      <c r="AC6" s="16"/>
      <c r="AD6" s="16"/>
      <c r="AE6" s="16"/>
      <c r="AF6" s="16"/>
      <c r="AG6" s="16"/>
      <c r="AH6" s="16"/>
    </row>
    <row r="7" spans="1:34" ht="32.25" customHeight="1" x14ac:dyDescent="0.25">
      <c r="A7" s="261"/>
      <c r="B7" s="1361" t="s">
        <v>232</v>
      </c>
      <c r="C7" s="1009"/>
      <c r="D7" s="1009"/>
      <c r="E7" s="1009"/>
      <c r="F7" s="1357"/>
      <c r="G7" s="1357"/>
      <c r="H7" s="1357"/>
      <c r="I7" s="1357"/>
      <c r="J7" s="1357"/>
      <c r="K7" s="1357"/>
      <c r="L7" s="1346" t="s">
        <v>214</v>
      </c>
      <c r="M7" s="1346"/>
      <c r="N7" s="1346"/>
      <c r="O7" s="1347"/>
      <c r="S7" s="61"/>
      <c r="T7" s="61"/>
    </row>
    <row r="8" spans="1:34" ht="32.25" customHeight="1" x14ac:dyDescent="0.25">
      <c r="A8" s="1362"/>
      <c r="B8" s="589"/>
      <c r="C8" s="589"/>
      <c r="D8" s="589"/>
      <c r="E8" s="589"/>
      <c r="F8" s="589"/>
      <c r="G8" s="589"/>
      <c r="H8" s="589"/>
      <c r="I8" s="589"/>
      <c r="J8" s="589"/>
      <c r="K8" s="589"/>
      <c r="L8" s="589"/>
      <c r="M8" s="589"/>
      <c r="N8" s="589"/>
      <c r="O8" s="590"/>
    </row>
    <row r="9" spans="1:34" ht="32.25" customHeight="1" x14ac:dyDescent="0.25">
      <c r="A9" s="1363"/>
      <c r="B9" s="1364"/>
      <c r="C9" s="1364"/>
      <c r="D9" s="1364"/>
      <c r="E9" s="1364"/>
      <c r="F9" s="1364"/>
      <c r="G9" s="1364"/>
      <c r="H9" s="1364"/>
      <c r="I9" s="1364"/>
      <c r="J9" s="1364"/>
      <c r="K9" s="1364"/>
      <c r="L9" s="1364"/>
      <c r="M9" s="1364"/>
      <c r="N9" s="1364"/>
      <c r="O9" s="1365"/>
    </row>
    <row r="10" spans="1:34" ht="32.25" customHeight="1" x14ac:dyDescent="0.25">
      <c r="A10" s="1363"/>
      <c r="B10" s="1364"/>
      <c r="C10" s="1364"/>
      <c r="D10" s="1364"/>
      <c r="E10" s="1364"/>
      <c r="F10" s="1364"/>
      <c r="G10" s="1364"/>
      <c r="H10" s="1364"/>
      <c r="I10" s="1364"/>
      <c r="J10" s="1364"/>
      <c r="K10" s="1364"/>
      <c r="L10" s="1364"/>
      <c r="M10" s="1364"/>
      <c r="N10" s="1364"/>
      <c r="O10" s="1365"/>
    </row>
    <row r="11" spans="1:34" ht="32.25" customHeight="1" x14ac:dyDescent="0.25">
      <c r="A11" s="1363"/>
      <c r="B11" s="1364"/>
      <c r="C11" s="1364"/>
      <c r="D11" s="1364"/>
      <c r="E11" s="1364"/>
      <c r="F11" s="1364"/>
      <c r="G11" s="1364"/>
      <c r="H11" s="1364"/>
      <c r="I11" s="1364"/>
      <c r="J11" s="1364"/>
      <c r="K11" s="1364"/>
      <c r="L11" s="1364"/>
      <c r="M11" s="1364"/>
      <c r="N11" s="1364"/>
      <c r="O11" s="1365"/>
    </row>
    <row r="12" spans="1:34" ht="32.25" customHeight="1" x14ac:dyDescent="0.25">
      <c r="A12" s="1363"/>
      <c r="B12" s="1364"/>
      <c r="C12" s="1364"/>
      <c r="D12" s="1364"/>
      <c r="E12" s="1364"/>
      <c r="F12" s="1364"/>
      <c r="G12" s="1364"/>
      <c r="H12" s="1364"/>
      <c r="I12" s="1364"/>
      <c r="J12" s="1364"/>
      <c r="K12" s="1364"/>
      <c r="L12" s="1364"/>
      <c r="M12" s="1364"/>
      <c r="N12" s="1364"/>
      <c r="O12" s="1365"/>
    </row>
    <row r="13" spans="1:34" ht="32.25" customHeight="1" x14ac:dyDescent="0.25">
      <c r="A13" s="1363"/>
      <c r="B13" s="1364"/>
      <c r="C13" s="1364"/>
      <c r="D13" s="1364"/>
      <c r="E13" s="1364"/>
      <c r="F13" s="1364"/>
      <c r="G13" s="1364"/>
      <c r="H13" s="1364"/>
      <c r="I13" s="1364"/>
      <c r="J13" s="1364"/>
      <c r="K13" s="1364"/>
      <c r="L13" s="1364"/>
      <c r="M13" s="1364"/>
      <c r="N13" s="1364"/>
      <c r="O13" s="1365"/>
    </row>
    <row r="14" spans="1:34" ht="32.25" customHeight="1" x14ac:dyDescent="0.25">
      <c r="A14" s="1363"/>
      <c r="B14" s="1364"/>
      <c r="C14" s="1364"/>
      <c r="D14" s="1364"/>
      <c r="E14" s="1364"/>
      <c r="F14" s="1364"/>
      <c r="G14" s="1364"/>
      <c r="H14" s="1364"/>
      <c r="I14" s="1364"/>
      <c r="J14" s="1364"/>
      <c r="K14" s="1364"/>
      <c r="L14" s="1364"/>
      <c r="M14" s="1364"/>
      <c r="N14" s="1364"/>
      <c r="O14" s="1365"/>
    </row>
    <row r="15" spans="1:34" ht="32.25" customHeight="1" x14ac:dyDescent="0.25">
      <c r="A15" s="1363"/>
      <c r="B15" s="1364"/>
      <c r="C15" s="1364"/>
      <c r="D15" s="1364"/>
      <c r="E15" s="1364"/>
      <c r="F15" s="1364"/>
      <c r="G15" s="1364"/>
      <c r="H15" s="1364"/>
      <c r="I15" s="1364"/>
      <c r="J15" s="1364"/>
      <c r="K15" s="1364"/>
      <c r="L15" s="1364"/>
      <c r="M15" s="1364"/>
      <c r="N15" s="1364"/>
      <c r="O15" s="1365"/>
    </row>
    <row r="16" spans="1:34" ht="32.25" customHeight="1" x14ac:dyDescent="0.25">
      <c r="A16" s="1363"/>
      <c r="B16" s="1364"/>
      <c r="C16" s="1364"/>
      <c r="D16" s="1364"/>
      <c r="E16" s="1364"/>
      <c r="F16" s="1364"/>
      <c r="G16" s="1364"/>
      <c r="H16" s="1364"/>
      <c r="I16" s="1364"/>
      <c r="J16" s="1364"/>
      <c r="K16" s="1364"/>
      <c r="L16" s="1364"/>
      <c r="M16" s="1364"/>
      <c r="N16" s="1364"/>
      <c r="O16" s="1365"/>
    </row>
    <row r="17" spans="1:34" s="16" customFormat="1" ht="33.6" customHeight="1" x14ac:dyDescent="0.25">
      <c r="A17" s="1358" t="s">
        <v>299</v>
      </c>
      <c r="B17" s="1359"/>
      <c r="C17" s="1359"/>
      <c r="D17" s="1359"/>
      <c r="E17" s="1359"/>
      <c r="F17" s="1359"/>
      <c r="G17" s="1359"/>
      <c r="H17" s="1359"/>
      <c r="I17" s="1359"/>
      <c r="J17" s="1359"/>
      <c r="K17" s="1359"/>
      <c r="L17" s="1359"/>
      <c r="M17" s="1359"/>
      <c r="N17" s="1359"/>
      <c r="O17" s="1360"/>
      <c r="P17" s="9"/>
      <c r="Q17" s="9"/>
      <c r="R17" s="9"/>
      <c r="S17" s="10"/>
      <c r="T17" s="10"/>
      <c r="U17" s="10"/>
      <c r="V17" s="10"/>
      <c r="W17" s="10"/>
      <c r="X17" s="10"/>
      <c r="Y17" s="10"/>
      <c r="Z17" s="10"/>
      <c r="AA17" s="10"/>
    </row>
    <row r="18" spans="1:34" s="16" customFormat="1" ht="23.25" customHeight="1" x14ac:dyDescent="0.25">
      <c r="A18" s="1363" t="s">
        <v>2</v>
      </c>
      <c r="B18" s="1364"/>
      <c r="C18" s="1364"/>
      <c r="D18" s="1364"/>
      <c r="E18" s="1364"/>
      <c r="F18" s="1364"/>
      <c r="G18" s="1364"/>
      <c r="H18" s="1364"/>
      <c r="I18" s="1364"/>
      <c r="J18" s="1364"/>
      <c r="K18" s="1364"/>
      <c r="L18" s="1364"/>
      <c r="M18" s="1364"/>
      <c r="N18" s="1364"/>
      <c r="O18" s="1365"/>
      <c r="P18" s="9"/>
      <c r="Q18" s="9"/>
      <c r="R18" s="9"/>
      <c r="S18" s="10"/>
      <c r="T18" s="10"/>
      <c r="U18" s="10"/>
      <c r="V18" s="10"/>
      <c r="W18" s="10"/>
      <c r="X18" s="10"/>
      <c r="Y18" s="10"/>
      <c r="Z18" s="10"/>
      <c r="AA18" s="10"/>
    </row>
    <row r="19" spans="1:34" s="16" customFormat="1" ht="23.25" customHeight="1" x14ac:dyDescent="0.25">
      <c r="A19" s="66" t="s">
        <v>134</v>
      </c>
      <c r="B19" s="1014" t="s">
        <v>608</v>
      </c>
      <c r="C19" s="1015"/>
      <c r="D19" s="1015"/>
      <c r="E19" s="1016"/>
      <c r="F19" s="1016"/>
      <c r="G19" s="1016"/>
      <c r="H19" s="1013" t="s">
        <v>135</v>
      </c>
      <c r="I19" s="1013"/>
      <c r="J19" s="1004" t="s">
        <v>607</v>
      </c>
      <c r="K19" s="1005"/>
      <c r="L19" s="1005"/>
      <c r="M19" s="1005"/>
      <c r="N19" s="1005"/>
      <c r="O19" s="1006"/>
      <c r="P19" s="9"/>
      <c r="Q19" s="9"/>
      <c r="R19" s="9"/>
      <c r="S19" s="10"/>
      <c r="T19" s="10"/>
      <c r="U19" s="10"/>
      <c r="V19" s="10"/>
      <c r="W19" s="10"/>
      <c r="X19" s="10"/>
      <c r="Y19" s="10"/>
      <c r="Z19" s="10"/>
      <c r="AA19" s="10"/>
    </row>
    <row r="20" spans="1:34" s="16" customFormat="1" ht="17.25" customHeight="1" x14ac:dyDescent="0.25">
      <c r="A20" s="1089" t="s">
        <v>66</v>
      </c>
      <c r="B20" s="1090"/>
      <c r="C20" s="1090"/>
      <c r="D20" s="1090"/>
      <c r="E20" s="1090"/>
      <c r="F20" s="1090"/>
      <c r="G20" s="1090"/>
      <c r="H20" s="1090"/>
      <c r="I20" s="1090"/>
      <c r="J20" s="1090"/>
      <c r="K20" s="1090"/>
      <c r="L20" s="1090"/>
      <c r="M20" s="1090"/>
      <c r="N20" s="1090"/>
      <c r="O20" s="1091"/>
      <c r="P20" s="9"/>
      <c r="Q20" s="9"/>
      <c r="R20" s="9"/>
      <c r="S20" s="10"/>
      <c r="T20" s="10"/>
      <c r="U20" s="10"/>
      <c r="V20" s="10"/>
      <c r="W20" s="10"/>
      <c r="X20" s="10"/>
      <c r="Y20" s="10"/>
      <c r="Z20" s="10"/>
      <c r="AA20" s="10"/>
    </row>
    <row r="21" spans="1:34" s="16" customFormat="1" ht="30" customHeight="1" x14ac:dyDescent="0.25">
      <c r="A21" s="1068" t="s">
        <v>67</v>
      </c>
      <c r="B21" s="1071" t="s">
        <v>3</v>
      </c>
      <c r="C21" s="1072"/>
      <c r="D21" s="1072"/>
      <c r="E21" s="1072"/>
      <c r="F21" s="1072"/>
      <c r="G21" s="1072"/>
      <c r="H21" s="1072"/>
      <c r="I21" s="1072"/>
      <c r="J21" s="1072"/>
      <c r="K21" s="1072"/>
      <c r="L21" s="1072"/>
      <c r="M21" s="1072"/>
      <c r="N21" s="1072"/>
      <c r="O21" s="1072"/>
      <c r="P21" s="9"/>
      <c r="Q21" s="9"/>
      <c r="R21" s="9"/>
      <c r="S21" s="10"/>
      <c r="T21" s="10"/>
      <c r="U21" s="10"/>
      <c r="V21" s="10"/>
      <c r="W21" s="10"/>
      <c r="X21" s="10"/>
      <c r="Y21" s="10"/>
      <c r="Z21" s="10"/>
      <c r="AA21" s="10"/>
    </row>
    <row r="22" spans="1:34" s="16" customFormat="1" ht="30" customHeight="1" x14ac:dyDescent="0.25">
      <c r="A22" s="1069"/>
      <c r="B22" s="1123" t="s">
        <v>601</v>
      </c>
      <c r="C22" s="1123"/>
      <c r="D22" s="1123"/>
      <c r="E22" s="1123"/>
      <c r="F22" s="1123"/>
      <c r="G22" s="1123"/>
      <c r="H22" s="1123"/>
      <c r="I22" s="1123"/>
      <c r="J22" s="1123"/>
      <c r="K22" s="1123"/>
      <c r="L22" s="1123"/>
      <c r="M22" s="1123"/>
      <c r="N22" s="1123"/>
      <c r="O22" s="1123"/>
      <c r="P22" s="9"/>
      <c r="Q22" s="9"/>
      <c r="R22" s="9"/>
      <c r="S22" s="10"/>
      <c r="T22" s="10"/>
      <c r="U22" s="10"/>
      <c r="V22" s="10"/>
      <c r="W22" s="10"/>
      <c r="X22" s="10"/>
      <c r="Y22" s="10"/>
      <c r="Z22" s="10"/>
      <c r="AA22" s="10"/>
    </row>
    <row r="23" spans="1:34" s="16" customFormat="1" ht="24.6" customHeight="1" x14ac:dyDescent="0.25">
      <c r="A23" s="1070"/>
      <c r="B23" s="1121" t="s">
        <v>87</v>
      </c>
      <c r="C23" s="1122"/>
      <c r="D23" s="1122"/>
      <c r="E23" s="1122"/>
      <c r="F23" s="1122"/>
      <c r="G23" s="1122"/>
      <c r="H23" s="1122"/>
      <c r="I23" s="1122"/>
      <c r="J23" s="1122"/>
      <c r="K23" s="1122"/>
      <c r="L23" s="1122"/>
      <c r="M23" s="1122"/>
      <c r="N23" s="1122"/>
      <c r="O23" s="1122"/>
      <c r="P23" s="9"/>
      <c r="Q23" s="9"/>
      <c r="R23" s="9"/>
      <c r="S23" s="10"/>
      <c r="T23" s="10"/>
      <c r="U23" s="10"/>
      <c r="V23" s="10"/>
      <c r="W23" s="10"/>
      <c r="X23" s="10"/>
      <c r="Y23" s="10"/>
      <c r="Z23" s="10"/>
      <c r="AA23" s="10"/>
    </row>
    <row r="24" spans="1:34" s="20" customFormat="1" ht="18.75" customHeight="1" x14ac:dyDescent="0.25">
      <c r="A24" s="1366" t="s">
        <v>15</v>
      </c>
      <c r="B24" s="1367"/>
      <c r="C24" s="1367"/>
      <c r="D24" s="1367"/>
      <c r="E24" s="1367"/>
      <c r="F24" s="1367"/>
      <c r="G24" s="1367"/>
      <c r="H24" s="1367"/>
      <c r="I24" s="1367"/>
      <c r="J24" s="1367"/>
      <c r="K24" s="1367"/>
      <c r="L24" s="1367"/>
      <c r="M24" s="1367"/>
      <c r="N24" s="1367"/>
      <c r="O24" s="1368"/>
      <c r="P24" s="9"/>
      <c r="Q24" s="19"/>
      <c r="R24" s="19"/>
      <c r="S24" s="41"/>
      <c r="T24" s="41"/>
      <c r="U24" s="10"/>
      <c r="V24" s="10"/>
      <c r="W24" s="10"/>
      <c r="X24" s="10"/>
      <c r="Y24" s="10"/>
      <c r="Z24" s="10"/>
      <c r="AA24" s="10"/>
      <c r="AB24" s="16"/>
      <c r="AC24" s="16"/>
      <c r="AD24" s="16"/>
      <c r="AE24" s="16"/>
      <c r="AF24" s="16"/>
      <c r="AG24" s="16"/>
      <c r="AH24" s="16"/>
    </row>
    <row r="25" spans="1:34" ht="19.5" customHeight="1" x14ac:dyDescent="0.25">
      <c r="A25" s="1294" t="s">
        <v>88</v>
      </c>
      <c r="B25" s="1295"/>
      <c r="C25" s="1295"/>
      <c r="D25" s="1295"/>
      <c r="E25" s="1295"/>
      <c r="F25" s="1295"/>
      <c r="G25" s="1295"/>
      <c r="H25" s="1295"/>
      <c r="I25" s="1295"/>
      <c r="J25" s="1295"/>
      <c r="K25" s="1295"/>
      <c r="L25" s="1295"/>
      <c r="M25" s="1295"/>
      <c r="N25" s="1295"/>
      <c r="O25" s="1296"/>
      <c r="S25" s="61"/>
      <c r="T25" s="61"/>
    </row>
    <row r="26" spans="1:34" ht="17.399999999999999" customHeight="1" x14ac:dyDescent="0.25">
      <c r="A26" s="1022" t="s">
        <v>219</v>
      </c>
      <c r="B26" s="1023"/>
      <c r="C26" s="1023"/>
      <c r="D26" s="1023"/>
      <c r="E26" s="1023"/>
      <c r="F26" s="1023"/>
      <c r="G26" s="1023"/>
      <c r="H26" s="1023"/>
      <c r="I26" s="1023"/>
      <c r="J26" s="1023"/>
      <c r="K26" s="1023"/>
      <c r="L26" s="1023"/>
      <c r="M26" s="1023"/>
      <c r="N26" s="1023"/>
      <c r="O26" s="1024"/>
      <c r="S26" s="61"/>
      <c r="T26" s="61"/>
    </row>
    <row r="27" spans="1:34" ht="17.399999999999999" customHeight="1" x14ac:dyDescent="0.25">
      <c r="A27" s="1022" t="s">
        <v>220</v>
      </c>
      <c r="B27" s="1023"/>
      <c r="C27" s="1023"/>
      <c r="D27" s="1023"/>
      <c r="E27" s="1023"/>
      <c r="F27" s="1023"/>
      <c r="G27" s="1023"/>
      <c r="H27" s="1023"/>
      <c r="I27" s="1023"/>
      <c r="J27" s="1023"/>
      <c r="K27" s="1023"/>
      <c r="L27" s="1023"/>
      <c r="M27" s="1023"/>
      <c r="N27" s="1023"/>
      <c r="O27" s="1024"/>
      <c r="S27" s="61"/>
      <c r="T27" s="61"/>
    </row>
    <row r="28" spans="1:34" ht="17.399999999999999" customHeight="1" x14ac:dyDescent="0.25">
      <c r="A28" s="1022" t="s">
        <v>221</v>
      </c>
      <c r="B28" s="1023"/>
      <c r="C28" s="1023"/>
      <c r="D28" s="1023"/>
      <c r="E28" s="1023"/>
      <c r="F28" s="1023"/>
      <c r="G28" s="1023"/>
      <c r="H28" s="1023"/>
      <c r="I28" s="1023"/>
      <c r="J28" s="1023"/>
      <c r="K28" s="1023"/>
      <c r="L28" s="1023"/>
      <c r="M28" s="1023"/>
      <c r="N28" s="1023"/>
      <c r="O28" s="1024"/>
      <c r="S28" s="61"/>
      <c r="T28" s="61"/>
    </row>
    <row r="29" spans="1:34" ht="17.399999999999999" customHeight="1" x14ac:dyDescent="0.25">
      <c r="A29" s="1022" t="s">
        <v>222</v>
      </c>
      <c r="B29" s="1023"/>
      <c r="C29" s="1023"/>
      <c r="D29" s="1023"/>
      <c r="E29" s="1023"/>
      <c r="F29" s="1023"/>
      <c r="G29" s="1023"/>
      <c r="H29" s="1023"/>
      <c r="I29" s="1023"/>
      <c r="J29" s="1023"/>
      <c r="K29" s="1023"/>
      <c r="L29" s="1023"/>
      <c r="M29" s="1023"/>
      <c r="N29" s="1023"/>
      <c r="O29" s="1024"/>
      <c r="S29" s="61"/>
      <c r="T29" s="61"/>
    </row>
    <row r="30" spans="1:34" ht="17.399999999999999" customHeight="1" x14ac:dyDescent="0.25">
      <c r="A30" s="1022" t="s">
        <v>224</v>
      </c>
      <c r="B30" s="1023"/>
      <c r="C30" s="1023"/>
      <c r="D30" s="1023"/>
      <c r="E30" s="1023"/>
      <c r="F30" s="1023"/>
      <c r="G30" s="1023"/>
      <c r="H30" s="1023"/>
      <c r="I30" s="1023"/>
      <c r="J30" s="1023"/>
      <c r="K30" s="1023"/>
      <c r="L30" s="1023"/>
      <c r="M30" s="1023"/>
      <c r="N30" s="1023"/>
      <c r="O30" s="1024"/>
      <c r="S30" s="61"/>
      <c r="T30" s="61"/>
    </row>
    <row r="31" spans="1:34" ht="17.399999999999999" customHeight="1" x14ac:dyDescent="0.25">
      <c r="A31" s="1369" t="s">
        <v>225</v>
      </c>
      <c r="B31" s="1370"/>
      <c r="C31" s="1370"/>
      <c r="D31" s="1370"/>
      <c r="E31" s="1370"/>
      <c r="F31" s="1370"/>
      <c r="G31" s="1370"/>
      <c r="H31" s="1370"/>
      <c r="I31" s="1370"/>
      <c r="J31" s="1370"/>
      <c r="K31" s="1370"/>
      <c r="L31" s="1370"/>
      <c r="M31" s="1370"/>
      <c r="N31" s="1370"/>
      <c r="O31" s="1371"/>
      <c r="S31" s="61"/>
      <c r="T31" s="61"/>
    </row>
    <row r="32" spans="1:34" ht="17.399999999999999" customHeight="1" x14ac:dyDescent="0.25">
      <c r="A32" s="1022" t="s">
        <v>226</v>
      </c>
      <c r="B32" s="1023"/>
      <c r="C32" s="1023"/>
      <c r="D32" s="1023"/>
      <c r="E32" s="1023"/>
      <c r="F32" s="1023"/>
      <c r="G32" s="1023"/>
      <c r="H32" s="1023"/>
      <c r="I32" s="1023"/>
      <c r="J32" s="1023"/>
      <c r="K32" s="1023"/>
      <c r="L32" s="1023"/>
      <c r="M32" s="1023"/>
      <c r="N32" s="1023"/>
      <c r="O32" s="1024"/>
      <c r="S32" s="61"/>
      <c r="T32" s="61"/>
    </row>
    <row r="33" spans="1:34" ht="17.399999999999999" customHeight="1" x14ac:dyDescent="0.25">
      <c r="A33" s="1022" t="s">
        <v>227</v>
      </c>
      <c r="B33" s="1023"/>
      <c r="C33" s="1023"/>
      <c r="D33" s="1023"/>
      <c r="E33" s="1023"/>
      <c r="F33" s="1023"/>
      <c r="G33" s="1023"/>
      <c r="H33" s="1023"/>
      <c r="I33" s="1023"/>
      <c r="J33" s="1023"/>
      <c r="K33" s="1023"/>
      <c r="L33" s="1023"/>
      <c r="M33" s="1023"/>
      <c r="N33" s="1023"/>
      <c r="O33" s="1024"/>
      <c r="S33" s="61"/>
      <c r="T33" s="61"/>
    </row>
    <row r="34" spans="1:34" ht="17.399999999999999" customHeight="1" x14ac:dyDescent="0.25">
      <c r="A34" s="1323" t="s">
        <v>228</v>
      </c>
      <c r="B34" s="1324"/>
      <c r="C34" s="1324"/>
      <c r="D34" s="1324"/>
      <c r="E34" s="1324"/>
      <c r="F34" s="1324"/>
      <c r="G34" s="1324"/>
      <c r="H34" s="1324"/>
      <c r="I34" s="1324"/>
      <c r="J34" s="1324"/>
      <c r="K34" s="1324"/>
      <c r="L34" s="1324"/>
      <c r="M34" s="1324"/>
      <c r="N34" s="1324"/>
      <c r="O34" s="1325"/>
      <c r="S34" s="61"/>
      <c r="T34" s="61"/>
    </row>
    <row r="35" spans="1:34" s="69" customFormat="1" ht="18" customHeight="1" x14ac:dyDescent="0.25">
      <c r="A35" s="1025" t="s">
        <v>16</v>
      </c>
      <c r="B35" s="1026"/>
      <c r="C35" s="1026"/>
      <c r="D35" s="1026"/>
      <c r="E35" s="1026"/>
      <c r="F35" s="1026"/>
      <c r="G35" s="1026"/>
      <c r="H35" s="1026"/>
      <c r="I35" s="1026"/>
      <c r="J35" s="1026"/>
      <c r="K35" s="1026"/>
      <c r="L35" s="1026"/>
      <c r="M35" s="1026"/>
      <c r="N35" s="1026"/>
      <c r="O35" s="1027"/>
      <c r="P35" s="9"/>
      <c r="Q35" s="67"/>
      <c r="R35" s="67"/>
      <c r="S35" s="68"/>
      <c r="T35" s="68"/>
      <c r="U35" s="10"/>
      <c r="V35" s="10"/>
      <c r="W35" s="10"/>
      <c r="X35" s="10"/>
      <c r="Y35" s="10"/>
      <c r="Z35" s="10"/>
      <c r="AA35" s="10"/>
      <c r="AB35" s="16"/>
      <c r="AC35" s="16"/>
      <c r="AD35" s="16"/>
      <c r="AE35" s="16"/>
      <c r="AF35" s="16"/>
      <c r="AG35" s="16"/>
      <c r="AH35" s="16"/>
    </row>
    <row r="36" spans="1:34" ht="17.399999999999999" customHeight="1" x14ac:dyDescent="0.25">
      <c r="A36" s="1326" t="s">
        <v>311</v>
      </c>
      <c r="B36" s="1327"/>
      <c r="C36" s="1327"/>
      <c r="D36" s="1327"/>
      <c r="E36" s="1327"/>
      <c r="F36" s="1327"/>
      <c r="G36" s="1327"/>
      <c r="H36" s="1327"/>
      <c r="I36" s="1327"/>
      <c r="J36" s="1328"/>
      <c r="K36" s="1328"/>
      <c r="L36" s="1328"/>
      <c r="M36" s="1328"/>
      <c r="N36" s="1328"/>
      <c r="O36" s="1329"/>
      <c r="S36" s="61"/>
      <c r="T36" s="61"/>
    </row>
    <row r="37" spans="1:34" ht="17.399999999999999" customHeight="1" x14ac:dyDescent="0.25">
      <c r="A37" s="1330" t="s">
        <v>313</v>
      </c>
      <c r="B37" s="1331"/>
      <c r="C37" s="1331"/>
      <c r="D37" s="1331"/>
      <c r="E37" s="1331"/>
      <c r="F37" s="1331"/>
      <c r="G37" s="1331"/>
      <c r="H37" s="1331"/>
      <c r="I37" s="1331"/>
      <c r="J37" s="1332"/>
      <c r="K37" s="1332"/>
      <c r="L37" s="1332"/>
      <c r="M37" s="1332"/>
      <c r="N37" s="1332"/>
      <c r="O37" s="1333"/>
      <c r="S37" s="61"/>
      <c r="T37" s="61"/>
    </row>
    <row r="38" spans="1:34" ht="17.399999999999999" customHeight="1" x14ac:dyDescent="0.25">
      <c r="A38" s="1330" t="s">
        <v>314</v>
      </c>
      <c r="B38" s="1331"/>
      <c r="C38" s="1331"/>
      <c r="D38" s="1331"/>
      <c r="E38" s="1331"/>
      <c r="F38" s="1331"/>
      <c r="G38" s="1331"/>
      <c r="H38" s="1331"/>
      <c r="I38" s="1331"/>
      <c r="J38" s="1332"/>
      <c r="K38" s="1332"/>
      <c r="L38" s="1332"/>
      <c r="M38" s="1332"/>
      <c r="N38" s="1332"/>
      <c r="O38" s="1333"/>
      <c r="S38" s="61"/>
      <c r="T38" s="61"/>
    </row>
    <row r="39" spans="1:34" ht="34.799999999999997" customHeight="1" x14ac:dyDescent="0.25">
      <c r="A39" s="1330" t="s">
        <v>577</v>
      </c>
      <c r="B39" s="1331"/>
      <c r="C39" s="1331"/>
      <c r="D39" s="1331"/>
      <c r="E39" s="1331"/>
      <c r="F39" s="1331"/>
      <c r="G39" s="1331"/>
      <c r="H39" s="1331"/>
      <c r="I39" s="1331"/>
      <c r="J39" s="1332"/>
      <c r="K39" s="1332"/>
      <c r="L39" s="1332"/>
      <c r="M39" s="1332"/>
      <c r="N39" s="1332"/>
      <c r="O39" s="1333"/>
      <c r="S39" s="61"/>
      <c r="T39" s="61"/>
    </row>
    <row r="40" spans="1:34" ht="17.399999999999999" customHeight="1" x14ac:dyDescent="0.25">
      <c r="A40" s="1330" t="s">
        <v>4</v>
      </c>
      <c r="B40" s="1331"/>
      <c r="C40" s="1331"/>
      <c r="D40" s="1331"/>
      <c r="E40" s="1331"/>
      <c r="F40" s="1331"/>
      <c r="G40" s="1331"/>
      <c r="H40" s="1331"/>
      <c r="I40" s="1331"/>
      <c r="J40" s="1332"/>
      <c r="K40" s="1332"/>
      <c r="L40" s="1332"/>
      <c r="M40" s="1332"/>
      <c r="N40" s="1332"/>
      <c r="O40" s="1333"/>
      <c r="S40" s="61"/>
      <c r="T40" s="61"/>
    </row>
    <row r="41" spans="1:34" ht="17.399999999999999" customHeight="1" x14ac:dyDescent="0.25">
      <c r="A41" s="1085" t="s">
        <v>315</v>
      </c>
      <c r="B41" s="1086"/>
      <c r="C41" s="1086"/>
      <c r="D41" s="1086"/>
      <c r="E41" s="1086"/>
      <c r="F41" s="1086"/>
      <c r="G41" s="1086"/>
      <c r="H41" s="1086"/>
      <c r="I41" s="1086"/>
      <c r="J41" s="1087"/>
      <c r="K41" s="1087"/>
      <c r="L41" s="1087"/>
      <c r="M41" s="1087"/>
      <c r="N41" s="1087"/>
      <c r="O41" s="1088"/>
      <c r="S41" s="61"/>
      <c r="T41" s="61"/>
    </row>
    <row r="42" spans="1:34" s="72" customFormat="1" ht="15.75" customHeight="1" x14ac:dyDescent="0.25">
      <c r="A42" s="1348" t="s">
        <v>68</v>
      </c>
      <c r="B42" s="1349"/>
      <c r="C42" s="1349"/>
      <c r="D42" s="1349"/>
      <c r="E42" s="1349"/>
      <c r="F42" s="1349"/>
      <c r="G42" s="1349"/>
      <c r="H42" s="1349"/>
      <c r="I42" s="1349"/>
      <c r="J42" s="1349"/>
      <c r="K42" s="1349"/>
      <c r="L42" s="1349"/>
      <c r="M42" s="1349"/>
      <c r="N42" s="1349"/>
      <c r="O42" s="1350"/>
      <c r="P42" s="9"/>
      <c r="Q42" s="70"/>
      <c r="R42" s="70"/>
      <c r="S42" s="71"/>
      <c r="T42" s="71"/>
      <c r="U42" s="10"/>
      <c r="V42" s="10"/>
      <c r="W42" s="10"/>
      <c r="X42" s="10"/>
      <c r="Y42" s="10"/>
      <c r="Z42" s="10"/>
      <c r="AA42" s="10"/>
      <c r="AB42" s="16"/>
      <c r="AC42" s="16"/>
      <c r="AD42" s="16"/>
      <c r="AE42" s="16"/>
      <c r="AF42" s="16"/>
      <c r="AG42" s="16"/>
      <c r="AH42" s="16"/>
    </row>
    <row r="43" spans="1:34" ht="46.5" customHeight="1" x14ac:dyDescent="0.25">
      <c r="A43" s="1148" t="s">
        <v>602</v>
      </c>
      <c r="B43" s="1149"/>
      <c r="C43" s="1149"/>
      <c r="D43" s="1149"/>
      <c r="E43" s="1149"/>
      <c r="F43" s="1149"/>
      <c r="G43" s="1149"/>
      <c r="H43" s="1149"/>
      <c r="I43" s="1149"/>
      <c r="J43" s="1150"/>
      <c r="K43" s="1150"/>
      <c r="L43" s="1150"/>
      <c r="M43" s="1150"/>
      <c r="N43" s="1150"/>
      <c r="O43" s="1151"/>
      <c r="S43" s="61"/>
      <c r="T43" s="61"/>
    </row>
    <row r="44" spans="1:34" ht="17.399999999999999" customHeight="1" x14ac:dyDescent="0.25">
      <c r="A44" s="1034" t="s">
        <v>0</v>
      </c>
      <c r="B44" s="1035"/>
      <c r="C44" s="1035"/>
      <c r="D44" s="1035"/>
      <c r="E44" s="1035"/>
      <c r="F44" s="1035"/>
      <c r="G44" s="1035"/>
      <c r="H44" s="1035"/>
      <c r="I44" s="1035"/>
      <c r="J44" s="1036"/>
      <c r="K44" s="1036"/>
      <c r="L44" s="1036"/>
      <c r="M44" s="1036"/>
      <c r="N44" s="1036"/>
      <c r="O44" s="1037"/>
      <c r="S44" s="61"/>
      <c r="T44" s="61"/>
    </row>
    <row r="45" spans="1:34" ht="17.399999999999999" customHeight="1" x14ac:dyDescent="0.25">
      <c r="A45" s="1372" t="s">
        <v>590</v>
      </c>
      <c r="B45" s="1373"/>
      <c r="C45" s="1373"/>
      <c r="D45" s="1373"/>
      <c r="E45" s="1373"/>
      <c r="F45" s="1373"/>
      <c r="G45" s="1373"/>
      <c r="H45" s="1373"/>
      <c r="I45" s="1373"/>
      <c r="J45" s="1373"/>
      <c r="K45" s="1373"/>
      <c r="L45" s="1373"/>
      <c r="M45" s="1373"/>
      <c r="N45" s="1373"/>
      <c r="O45" s="1374"/>
      <c r="S45" s="61"/>
      <c r="T45" s="61"/>
    </row>
    <row r="46" spans="1:34" s="168" customFormat="1" ht="13.8" customHeight="1" x14ac:dyDescent="0.25">
      <c r="A46" s="1579" t="s">
        <v>867</v>
      </c>
      <c r="B46" s="1580"/>
      <c r="C46" s="1580"/>
      <c r="D46" s="1580"/>
      <c r="E46" s="1580"/>
      <c r="F46" s="1580"/>
      <c r="G46" s="1580"/>
      <c r="H46" s="1580"/>
      <c r="I46" s="1580"/>
      <c r="J46" s="1580"/>
      <c r="K46" s="1580"/>
      <c r="L46" s="1580"/>
      <c r="M46" s="1580"/>
      <c r="N46" s="1580"/>
      <c r="O46" s="1581"/>
      <c r="P46" s="9"/>
      <c r="Q46" s="17"/>
      <c r="R46" s="17"/>
      <c r="S46" s="228"/>
      <c r="T46" s="228"/>
      <c r="U46" s="10"/>
      <c r="V46" s="10"/>
      <c r="W46" s="10"/>
      <c r="X46" s="10"/>
      <c r="Y46" s="10"/>
      <c r="Z46" s="10"/>
      <c r="AA46" s="10"/>
      <c r="AB46" s="16"/>
      <c r="AC46" s="16"/>
      <c r="AD46" s="16"/>
      <c r="AE46" s="16"/>
      <c r="AF46" s="16"/>
      <c r="AG46" s="16"/>
      <c r="AH46" s="16"/>
    </row>
    <row r="47" spans="1:34" s="168" customFormat="1" ht="13.8" customHeight="1" x14ac:dyDescent="0.25">
      <c r="A47" s="1582"/>
      <c r="B47" s="1583"/>
      <c r="C47" s="1583"/>
      <c r="D47" s="1583"/>
      <c r="E47" s="1583"/>
      <c r="F47" s="1583"/>
      <c r="G47" s="1583"/>
      <c r="H47" s="1583"/>
      <c r="I47" s="1583"/>
      <c r="J47" s="1583"/>
      <c r="K47" s="1583"/>
      <c r="L47" s="1583"/>
      <c r="M47" s="1583"/>
      <c r="N47" s="1583"/>
      <c r="O47" s="1584"/>
      <c r="P47" s="9"/>
      <c r="Q47" s="17"/>
      <c r="R47" s="17"/>
      <c r="S47" s="228"/>
      <c r="T47" s="228"/>
      <c r="U47" s="10"/>
      <c r="V47" s="10"/>
      <c r="W47" s="10"/>
      <c r="X47" s="10"/>
      <c r="Y47" s="10"/>
      <c r="Z47" s="10"/>
      <c r="AA47" s="10"/>
      <c r="AB47" s="16"/>
      <c r="AC47" s="16"/>
      <c r="AD47" s="16"/>
      <c r="AE47" s="16"/>
      <c r="AF47" s="16"/>
      <c r="AG47" s="16"/>
      <c r="AH47" s="16"/>
    </row>
    <row r="48" spans="1:34" ht="17.399999999999999" customHeight="1" x14ac:dyDescent="0.25">
      <c r="A48" s="238"/>
      <c r="B48" s="1574" t="s">
        <v>861</v>
      </c>
      <c r="C48" s="1574"/>
      <c r="D48" s="1574"/>
      <c r="E48" s="1574"/>
      <c r="F48" s="1574" t="s">
        <v>849</v>
      </c>
      <c r="G48" s="1574"/>
      <c r="H48" s="1574"/>
      <c r="I48" s="1574"/>
      <c r="J48" s="1574"/>
      <c r="K48" s="1574" t="s">
        <v>852</v>
      </c>
      <c r="L48" s="1574"/>
      <c r="M48" s="1574"/>
      <c r="N48" s="1574"/>
      <c r="O48" s="1578"/>
      <c r="S48" s="61"/>
      <c r="T48" s="61"/>
    </row>
    <row r="49" spans="1:34" ht="17.399999999999999" customHeight="1" x14ac:dyDescent="0.25">
      <c r="A49" s="238"/>
      <c r="B49" s="239"/>
      <c r="C49" s="1457" t="s">
        <v>555</v>
      </c>
      <c r="D49" s="1457"/>
      <c r="E49" s="1457"/>
      <c r="F49" s="239"/>
      <c r="G49" s="1299" t="s">
        <v>850</v>
      </c>
      <c r="H49" s="1299"/>
      <c r="I49" s="1299"/>
      <c r="J49" s="1299"/>
      <c r="K49" s="239"/>
      <c r="L49" s="1299" t="s">
        <v>853</v>
      </c>
      <c r="M49" s="1299"/>
      <c r="N49" s="1299"/>
      <c r="O49" s="1440"/>
      <c r="S49" s="61"/>
      <c r="T49" s="61"/>
    </row>
    <row r="50" spans="1:34" ht="17.399999999999999" customHeight="1" x14ac:dyDescent="0.25">
      <c r="A50" s="238"/>
      <c r="B50" s="239"/>
      <c r="C50" s="1457" t="s">
        <v>842</v>
      </c>
      <c r="D50" s="1457"/>
      <c r="E50" s="1457"/>
      <c r="F50" s="239"/>
      <c r="G50" s="1299" t="s">
        <v>901</v>
      </c>
      <c r="H50" s="1299"/>
      <c r="I50" s="1299"/>
      <c r="J50" s="1299"/>
      <c r="K50" s="239"/>
      <c r="L50" s="1299" t="s">
        <v>854</v>
      </c>
      <c r="M50" s="1299"/>
      <c r="N50" s="1299"/>
      <c r="O50" s="1440"/>
      <c r="S50" s="61"/>
      <c r="T50" s="61"/>
    </row>
    <row r="51" spans="1:34" ht="17.399999999999999" customHeight="1" x14ac:dyDescent="0.25">
      <c r="A51" s="238"/>
      <c r="B51" s="239"/>
      <c r="C51" s="1457" t="s">
        <v>843</v>
      </c>
      <c r="D51" s="1457"/>
      <c r="E51" s="1457"/>
      <c r="F51" s="239"/>
      <c r="G51" s="1299" t="s">
        <v>904</v>
      </c>
      <c r="H51" s="1299"/>
      <c r="I51" s="1299"/>
      <c r="J51" s="1299"/>
      <c r="K51" s="239"/>
      <c r="L51" s="1299" t="s">
        <v>855</v>
      </c>
      <c r="M51" s="1299"/>
      <c r="N51" s="1299"/>
      <c r="O51" s="1440"/>
      <c r="S51" s="61"/>
      <c r="T51" s="61"/>
    </row>
    <row r="52" spans="1:34" ht="17.399999999999999" customHeight="1" x14ac:dyDescent="0.25">
      <c r="A52" s="238"/>
      <c r="B52" s="239"/>
      <c r="C52" s="1457" t="s">
        <v>844</v>
      </c>
      <c r="D52" s="1457"/>
      <c r="E52" s="1457"/>
      <c r="F52" s="239"/>
      <c r="G52" s="1299" t="s">
        <v>868</v>
      </c>
      <c r="H52" s="1299"/>
      <c r="I52" s="1299"/>
      <c r="J52" s="1299"/>
      <c r="K52" s="241"/>
      <c r="L52" s="1297" t="s">
        <v>856</v>
      </c>
      <c r="M52" s="1297"/>
      <c r="N52" s="1297"/>
      <c r="O52" s="1298"/>
      <c r="S52" s="61"/>
      <c r="T52" s="61"/>
    </row>
    <row r="53" spans="1:34" ht="17.399999999999999" customHeight="1" x14ac:dyDescent="0.25">
      <c r="A53" s="238"/>
      <c r="B53" s="239"/>
      <c r="C53" s="1457" t="s">
        <v>845</v>
      </c>
      <c r="D53" s="1457"/>
      <c r="E53" s="1457"/>
      <c r="F53" s="1442"/>
      <c r="G53" s="1631"/>
      <c r="H53" s="1631"/>
      <c r="I53" s="1631"/>
      <c r="J53" s="1631"/>
      <c r="K53" s="1631"/>
      <c r="L53" s="1297" t="s">
        <v>593</v>
      </c>
      <c r="M53" s="1297"/>
      <c r="N53" s="1297"/>
      <c r="O53" s="1298"/>
      <c r="S53" s="61"/>
      <c r="T53" s="61"/>
    </row>
    <row r="54" spans="1:34" ht="17.399999999999999" customHeight="1" x14ac:dyDescent="0.25">
      <c r="A54" s="238"/>
      <c r="B54" s="240"/>
      <c r="C54" s="1457" t="s">
        <v>846</v>
      </c>
      <c r="D54" s="1457"/>
      <c r="E54" s="1457"/>
      <c r="F54" s="1631"/>
      <c r="G54" s="1631"/>
      <c r="H54" s="1631"/>
      <c r="I54" s="1631"/>
      <c r="J54" s="1631"/>
      <c r="K54" s="1631"/>
      <c r="L54" s="1297" t="s">
        <v>857</v>
      </c>
      <c r="M54" s="1297"/>
      <c r="N54" s="1297"/>
      <c r="O54" s="1298"/>
      <c r="S54" s="61"/>
      <c r="T54" s="61"/>
    </row>
    <row r="55" spans="1:34" ht="17.399999999999999" customHeight="1" x14ac:dyDescent="0.25">
      <c r="A55" s="238"/>
      <c r="B55" s="239"/>
      <c r="C55" s="1299"/>
      <c r="D55" s="1299"/>
      <c r="E55" s="1299"/>
      <c r="F55" s="1631"/>
      <c r="G55" s="1631"/>
      <c r="H55" s="1631"/>
      <c r="I55" s="1631"/>
      <c r="J55" s="1631"/>
      <c r="K55" s="1631"/>
      <c r="L55" s="1297" t="s">
        <v>858</v>
      </c>
      <c r="M55" s="1297"/>
      <c r="N55" s="1297"/>
      <c r="O55" s="1298"/>
      <c r="S55" s="61"/>
      <c r="T55" s="61"/>
    </row>
    <row r="56" spans="1:34" ht="17.399999999999999" customHeight="1" x14ac:dyDescent="0.25">
      <c r="A56" s="238"/>
      <c r="B56" s="1572" t="s">
        <v>863</v>
      </c>
      <c r="C56" s="1573"/>
      <c r="D56" s="1573"/>
      <c r="E56" s="1573"/>
      <c r="F56" s="1574" t="s">
        <v>317</v>
      </c>
      <c r="G56" s="1574"/>
      <c r="H56" s="1574"/>
      <c r="I56" s="1574"/>
      <c r="J56" s="1574"/>
      <c r="K56" s="241"/>
      <c r="L56" s="1297" t="s">
        <v>859</v>
      </c>
      <c r="M56" s="1297"/>
      <c r="N56" s="1297"/>
      <c r="O56" s="1298"/>
      <c r="S56" s="61"/>
      <c r="T56" s="61"/>
    </row>
    <row r="57" spans="1:34" ht="17.399999999999999" customHeight="1" x14ac:dyDescent="0.25">
      <c r="A57" s="238"/>
      <c r="B57" s="239"/>
      <c r="C57" s="1299" t="s">
        <v>372</v>
      </c>
      <c r="D57" s="1299"/>
      <c r="E57" s="1299"/>
      <c r="F57" s="239"/>
      <c r="G57" s="1299" t="s">
        <v>902</v>
      </c>
      <c r="H57" s="1299"/>
      <c r="I57" s="1299"/>
      <c r="J57" s="1299"/>
      <c r="K57" s="241"/>
      <c r="L57" s="1297" t="s">
        <v>377</v>
      </c>
      <c r="M57" s="1297"/>
      <c r="N57" s="1297"/>
      <c r="O57" s="1298"/>
      <c r="S57" s="61"/>
      <c r="T57" s="61"/>
    </row>
    <row r="58" spans="1:34" ht="17.399999999999999" customHeight="1" x14ac:dyDescent="0.25">
      <c r="A58" s="238"/>
      <c r="B58" s="228"/>
      <c r="C58" s="1299" t="s">
        <v>847</v>
      </c>
      <c r="D58" s="1299"/>
      <c r="E58" s="1299"/>
      <c r="F58" s="239"/>
      <c r="G58" s="1299" t="s">
        <v>851</v>
      </c>
      <c r="H58" s="1299"/>
      <c r="I58" s="1299"/>
      <c r="J58" s="1299"/>
      <c r="K58" s="241"/>
      <c r="L58" s="1297"/>
      <c r="M58" s="1297"/>
      <c r="N58" s="1297"/>
      <c r="O58" s="1298"/>
      <c r="S58" s="61"/>
      <c r="T58" s="61"/>
    </row>
    <row r="59" spans="1:34" ht="17.399999999999999" customHeight="1" x14ac:dyDescent="0.25">
      <c r="A59" s="238"/>
      <c r="B59" s="239"/>
      <c r="C59" s="1299" t="s">
        <v>786</v>
      </c>
      <c r="D59" s="1483"/>
      <c r="E59" s="1483"/>
      <c r="F59" s="239"/>
      <c r="G59" s="1299" t="s">
        <v>866</v>
      </c>
      <c r="H59" s="1299"/>
      <c r="I59" s="1299"/>
      <c r="J59" s="1299"/>
      <c r="K59" s="1575" t="s">
        <v>862</v>
      </c>
      <c r="L59" s="1573"/>
      <c r="M59" s="1573"/>
      <c r="N59" s="1573"/>
      <c r="O59" s="1576"/>
      <c r="S59" s="61"/>
      <c r="T59" s="61"/>
    </row>
    <row r="60" spans="1:34" ht="17.399999999999999" customHeight="1" x14ac:dyDescent="0.25">
      <c r="A60" s="238"/>
      <c r="B60" s="239"/>
      <c r="C60" s="721" t="s">
        <v>860</v>
      </c>
      <c r="D60" s="1577"/>
      <c r="E60" s="1577"/>
      <c r="F60" s="239"/>
      <c r="G60" s="1299" t="s">
        <v>374</v>
      </c>
      <c r="H60" s="1299"/>
      <c r="I60" s="1299"/>
      <c r="J60" s="1299"/>
      <c r="K60" s="241"/>
      <c r="L60" s="1297" t="s">
        <v>903</v>
      </c>
      <c r="M60" s="1297"/>
      <c r="N60" s="1297"/>
      <c r="O60" s="1298"/>
      <c r="S60" s="61"/>
      <c r="T60" s="61"/>
    </row>
    <row r="61" spans="1:34" ht="17.399999999999999" customHeight="1" x14ac:dyDescent="0.25">
      <c r="A61" s="238"/>
      <c r="B61" s="239"/>
      <c r="C61" s="1299" t="s">
        <v>848</v>
      </c>
      <c r="D61" s="1299"/>
      <c r="E61" s="1299"/>
      <c r="F61" s="239"/>
      <c r="G61" s="1299"/>
      <c r="H61" s="1442"/>
      <c r="I61" s="1442"/>
      <c r="J61" s="1442"/>
      <c r="K61" s="241"/>
      <c r="L61" s="1297" t="s">
        <v>864</v>
      </c>
      <c r="M61" s="1297"/>
      <c r="N61" s="1297"/>
      <c r="O61" s="1298"/>
      <c r="S61" s="61"/>
      <c r="T61" s="61"/>
    </row>
    <row r="62" spans="1:34" ht="17.399999999999999" customHeight="1" x14ac:dyDescent="0.25">
      <c r="A62" s="238"/>
      <c r="B62" s="239"/>
      <c r="C62" s="1299" t="s">
        <v>865</v>
      </c>
      <c r="D62" s="1299"/>
      <c r="E62" s="1299"/>
      <c r="F62" s="241"/>
      <c r="G62" s="241"/>
      <c r="H62" s="241"/>
      <c r="I62" s="241"/>
      <c r="J62" s="241"/>
      <c r="K62" s="241"/>
      <c r="L62" s="241"/>
      <c r="M62" s="241"/>
      <c r="N62" s="241"/>
      <c r="O62" s="242"/>
      <c r="S62" s="61"/>
      <c r="T62" s="61"/>
    </row>
    <row r="63" spans="1:34" ht="17.399999999999999" customHeight="1" x14ac:dyDescent="0.25">
      <c r="A63" s="243"/>
      <c r="B63" s="244"/>
      <c r="C63" s="1441"/>
      <c r="D63" s="1441"/>
      <c r="E63" s="1441"/>
      <c r="F63" s="245"/>
      <c r="G63" s="245"/>
      <c r="H63" s="245"/>
      <c r="I63" s="245"/>
      <c r="J63" s="245"/>
      <c r="K63" s="245"/>
      <c r="L63" s="245"/>
      <c r="M63" s="245"/>
      <c r="N63" s="245"/>
      <c r="O63" s="246"/>
      <c r="S63" s="61"/>
      <c r="T63" s="61"/>
    </row>
    <row r="64" spans="1:34" s="20" customFormat="1" ht="19.8" customHeight="1" x14ac:dyDescent="0.25">
      <c r="A64" s="523" t="s">
        <v>218</v>
      </c>
      <c r="B64" s="524"/>
      <c r="C64" s="524"/>
      <c r="D64" s="524"/>
      <c r="E64" s="524"/>
      <c r="F64" s="524"/>
      <c r="G64" s="524"/>
      <c r="H64" s="524"/>
      <c r="I64" s="524"/>
      <c r="J64" s="524"/>
      <c r="K64" s="524"/>
      <c r="L64" s="524"/>
      <c r="M64" s="524"/>
      <c r="N64" s="524"/>
      <c r="O64" s="224" t="s">
        <v>600</v>
      </c>
      <c r="P64" s="9"/>
      <c r="Q64" s="19"/>
      <c r="R64" s="19"/>
      <c r="S64" s="41"/>
      <c r="T64" s="41"/>
      <c r="U64" s="10"/>
      <c r="V64" s="10"/>
      <c r="W64" s="10"/>
      <c r="X64" s="10"/>
      <c r="Y64" s="10"/>
      <c r="Z64" s="10"/>
      <c r="AA64" s="10"/>
      <c r="AB64" s="16"/>
      <c r="AC64" s="16"/>
      <c r="AD64" s="16"/>
      <c r="AE64" s="16"/>
      <c r="AF64" s="16"/>
      <c r="AG64" s="16"/>
      <c r="AH64" s="16"/>
    </row>
    <row r="65" spans="1:34" s="23" customFormat="1" ht="20.25" customHeight="1" x14ac:dyDescent="0.25">
      <c r="A65" s="1064" t="s">
        <v>97</v>
      </c>
      <c r="B65" s="1065"/>
      <c r="C65" s="1065"/>
      <c r="D65" s="1065"/>
      <c r="E65" s="1065"/>
      <c r="F65" s="1065"/>
      <c r="G65" s="1065"/>
      <c r="H65" s="1065"/>
      <c r="I65" s="1065"/>
      <c r="J65" s="1065"/>
      <c r="K65" s="1065"/>
      <c r="L65" s="1065"/>
      <c r="M65" s="1065"/>
      <c r="N65" s="1066"/>
      <c r="O65" s="1067"/>
      <c r="P65" s="52"/>
      <c r="Q65" s="21"/>
      <c r="R65" s="21"/>
      <c r="S65" s="22"/>
      <c r="T65" s="22"/>
      <c r="U65" s="56"/>
      <c r="V65" s="56"/>
      <c r="W65" s="56"/>
      <c r="X65" s="56"/>
      <c r="Y65" s="56"/>
      <c r="Z65" s="56"/>
      <c r="AA65" s="56"/>
      <c r="AB65" s="57"/>
      <c r="AC65" s="57"/>
      <c r="AD65" s="57"/>
      <c r="AE65" s="57"/>
      <c r="AF65" s="57"/>
      <c r="AG65" s="57"/>
      <c r="AH65" s="57"/>
    </row>
    <row r="66" spans="1:34" s="25" customFormat="1" ht="19.2" customHeight="1" x14ac:dyDescent="0.25">
      <c r="A66" s="1341" t="s">
        <v>96</v>
      </c>
      <c r="B66" s="1342"/>
      <c r="C66" s="1342"/>
      <c r="D66" s="1342"/>
      <c r="E66" s="1342"/>
      <c r="F66" s="1342"/>
      <c r="G66" s="1342"/>
      <c r="H66" s="1342"/>
      <c r="I66" s="1342"/>
      <c r="J66" s="1342"/>
      <c r="K66" s="1342"/>
      <c r="L66" s="1342"/>
      <c r="M66" s="1342"/>
      <c r="N66" s="1342"/>
      <c r="O66" s="1343"/>
      <c r="P66" s="52"/>
      <c r="Q66" s="24"/>
      <c r="R66" s="24"/>
      <c r="S66" s="65"/>
      <c r="T66" s="65"/>
      <c r="U66" s="56"/>
      <c r="V66" s="56"/>
      <c r="W66" s="56"/>
      <c r="X66" s="56"/>
      <c r="Y66" s="56"/>
      <c r="Z66" s="56"/>
      <c r="AA66" s="56"/>
      <c r="AB66" s="57"/>
      <c r="AC66" s="57"/>
      <c r="AD66" s="57"/>
      <c r="AE66" s="57"/>
      <c r="AF66" s="57"/>
      <c r="AG66" s="57"/>
      <c r="AH66" s="57"/>
    </row>
    <row r="67" spans="1:34" s="25" customFormat="1" ht="18" customHeight="1" x14ac:dyDescent="0.25">
      <c r="A67" s="1169" t="s">
        <v>727</v>
      </c>
      <c r="B67" s="1170"/>
      <c r="C67" s="1170"/>
      <c r="D67" s="1170"/>
      <c r="E67" s="1170"/>
      <c r="F67" s="1170"/>
      <c r="G67" s="1170"/>
      <c r="H67" s="1170"/>
      <c r="I67" s="1170"/>
      <c r="J67" s="1170"/>
      <c r="K67" s="1170"/>
      <c r="L67" s="1170"/>
      <c r="M67" s="1170"/>
      <c r="N67" s="1170"/>
      <c r="O67" s="1171"/>
      <c r="P67" s="52"/>
      <c r="Q67" s="24"/>
      <c r="R67" s="24"/>
      <c r="S67" s="65"/>
      <c r="T67" s="65"/>
      <c r="U67" s="56"/>
      <c r="V67" s="56"/>
      <c r="W67" s="56"/>
      <c r="X67" s="56"/>
      <c r="Y67" s="56"/>
      <c r="Z67" s="56"/>
      <c r="AA67" s="56"/>
      <c r="AB67" s="57"/>
      <c r="AC67" s="57"/>
      <c r="AD67" s="57"/>
      <c r="AE67" s="57"/>
      <c r="AF67" s="57"/>
      <c r="AG67" s="57"/>
      <c r="AH67" s="57"/>
    </row>
    <row r="68" spans="1:34" s="25" customFormat="1" ht="18" customHeight="1" x14ac:dyDescent="0.25">
      <c r="A68" s="1165" t="s">
        <v>728</v>
      </c>
      <c r="B68" s="1166"/>
      <c r="C68" s="1166"/>
      <c r="D68" s="1166"/>
      <c r="E68" s="1166"/>
      <c r="F68" s="1166"/>
      <c r="G68" s="1166"/>
      <c r="H68" s="1166"/>
      <c r="I68" s="1166"/>
      <c r="J68" s="1166"/>
      <c r="K68" s="1166"/>
      <c r="L68" s="1166"/>
      <c r="M68" s="1166"/>
      <c r="N68" s="1166"/>
      <c r="O68" s="1167"/>
      <c r="P68" s="52"/>
      <c r="Q68" s="24"/>
      <c r="R68" s="24"/>
      <c r="S68" s="65"/>
      <c r="T68" s="65"/>
      <c r="U68" s="56"/>
      <c r="V68" s="56"/>
      <c r="W68" s="56"/>
      <c r="X68" s="56"/>
      <c r="Y68" s="56"/>
      <c r="Z68" s="56"/>
      <c r="AA68" s="56"/>
      <c r="AB68" s="57"/>
      <c r="AC68" s="57"/>
      <c r="AD68" s="57"/>
      <c r="AE68" s="57"/>
      <c r="AF68" s="57"/>
      <c r="AG68" s="57"/>
      <c r="AH68" s="57"/>
    </row>
    <row r="69" spans="1:34" s="25" customFormat="1" ht="18" customHeight="1" x14ac:dyDescent="0.25">
      <c r="A69" s="1165" t="s">
        <v>729</v>
      </c>
      <c r="B69" s="1166"/>
      <c r="C69" s="1166"/>
      <c r="D69" s="1166"/>
      <c r="E69" s="1166"/>
      <c r="F69" s="1166"/>
      <c r="G69" s="1166"/>
      <c r="H69" s="1166"/>
      <c r="I69" s="1166"/>
      <c r="J69" s="1166"/>
      <c r="K69" s="1166"/>
      <c r="L69" s="1166"/>
      <c r="M69" s="1166"/>
      <c r="N69" s="1166"/>
      <c r="O69" s="1167"/>
      <c r="P69" s="52"/>
      <c r="Q69" s="24"/>
      <c r="R69" s="24"/>
      <c r="S69" s="65"/>
      <c r="T69" s="65"/>
      <c r="U69" s="56"/>
      <c r="V69" s="56"/>
      <c r="W69" s="56"/>
      <c r="X69" s="56"/>
      <c r="Y69" s="56"/>
      <c r="Z69" s="56"/>
      <c r="AA69" s="56"/>
      <c r="AB69" s="57"/>
      <c r="AC69" s="57"/>
      <c r="AD69" s="57"/>
      <c r="AE69" s="57"/>
      <c r="AF69" s="57"/>
      <c r="AG69" s="57"/>
      <c r="AH69" s="57"/>
    </row>
    <row r="70" spans="1:34" ht="22.2" customHeight="1" x14ac:dyDescent="0.25">
      <c r="A70" s="1172" t="s">
        <v>700</v>
      </c>
      <c r="B70" s="1173"/>
      <c r="C70" s="1173"/>
      <c r="D70" s="1173"/>
      <c r="E70" s="1173"/>
      <c r="F70" s="1173"/>
      <c r="G70" s="1173"/>
      <c r="H70" s="1173"/>
      <c r="I70" s="1173"/>
      <c r="J70" s="1173"/>
      <c r="K70" s="1173"/>
      <c r="L70" s="1173"/>
      <c r="M70" s="1173"/>
      <c r="N70" s="1173"/>
      <c r="O70" s="1174"/>
      <c r="S70" s="61"/>
      <c r="T70" s="61"/>
    </row>
    <row r="71" spans="1:34" s="25" customFormat="1" ht="25.5" customHeight="1" x14ac:dyDescent="0.25">
      <c r="A71" s="1300" t="s">
        <v>108</v>
      </c>
      <c r="B71" s="1301"/>
      <c r="C71" s="1301"/>
      <c r="D71" s="1055" t="str">
        <f>HLOOKUP(DATA!$A$2,DATA!$A$2:$A$77,DATA!$A$1+1,FALSE)</f>
        <v>Kingston Buci</v>
      </c>
      <c r="E71" s="1055"/>
      <c r="F71" s="1055"/>
      <c r="G71" s="1055"/>
      <c r="H71" s="1055"/>
      <c r="I71" s="1055"/>
      <c r="J71" s="1042" t="str">
        <f>HLOOKUP(DATA!$A$2,DATA!$A$2:$A$77,DATA!$B$1+1,FALSE)</f>
        <v>Stepping Stones</v>
      </c>
      <c r="K71" s="1042"/>
      <c r="L71" s="1042"/>
      <c r="M71" s="1042"/>
      <c r="N71" s="1042"/>
      <c r="O71" s="1043"/>
      <c r="P71" s="52"/>
      <c r="Q71" s="24"/>
      <c r="R71" s="24"/>
      <c r="S71" s="65"/>
      <c r="T71" s="65"/>
      <c r="U71" s="56"/>
      <c r="V71" s="56"/>
      <c r="W71" s="56"/>
      <c r="X71" s="56"/>
      <c r="Y71" s="56"/>
      <c r="Z71" s="56"/>
      <c r="AA71" s="56"/>
      <c r="AB71" s="57"/>
      <c r="AC71" s="57"/>
      <c r="AD71" s="57"/>
      <c r="AE71" s="57"/>
      <c r="AF71" s="57"/>
      <c r="AG71" s="57"/>
      <c r="AH71" s="57"/>
    </row>
    <row r="72" spans="1:34" s="25" customFormat="1" ht="24.75" customHeight="1" x14ac:dyDescent="0.25">
      <c r="A72" s="1300"/>
      <c r="B72" s="1301"/>
      <c r="C72" s="1301"/>
      <c r="D72" s="1156" t="s">
        <v>610</v>
      </c>
      <c r="E72" s="1156"/>
      <c r="F72" s="1156" t="s">
        <v>223</v>
      </c>
      <c r="G72" s="1156"/>
      <c r="H72" s="1156" t="s">
        <v>106</v>
      </c>
      <c r="I72" s="1156"/>
      <c r="J72" s="1191" t="s">
        <v>610</v>
      </c>
      <c r="K72" s="1191"/>
      <c r="L72" s="1191" t="s">
        <v>223</v>
      </c>
      <c r="M72" s="1191"/>
      <c r="N72" s="1191" t="s">
        <v>106</v>
      </c>
      <c r="O72" s="1351"/>
      <c r="P72" s="52"/>
      <c r="Q72" s="24"/>
      <c r="R72" s="24"/>
      <c r="S72" s="65"/>
      <c r="T72" s="65"/>
      <c r="U72" s="56"/>
      <c r="V72" s="56"/>
      <c r="W72" s="56"/>
      <c r="X72" s="56"/>
      <c r="Y72" s="56"/>
      <c r="Z72" s="56"/>
      <c r="AA72" s="56"/>
      <c r="AB72" s="57"/>
      <c r="AC72" s="57"/>
      <c r="AD72" s="57"/>
      <c r="AE72" s="57"/>
      <c r="AF72" s="57"/>
      <c r="AG72" s="57"/>
      <c r="AH72" s="57"/>
    </row>
    <row r="73" spans="1:34" s="25" customFormat="1" ht="119.4" customHeight="1" x14ac:dyDescent="0.25">
      <c r="A73" s="1300"/>
      <c r="B73" s="1301"/>
      <c r="C73" s="1301"/>
      <c r="D73" s="1157" t="str">
        <f>VLOOKUP($D$71,DATA!$A$3:$K$69,4,FALSE)</f>
        <v>Adur East</v>
      </c>
      <c r="E73" s="1157"/>
      <c r="F73" s="1158" t="str">
        <f>VLOOKUP($D$71,DATA!$A$3:$K$69,7,FALSE)</f>
        <v>Buckingham, St Mary's, St Nicolas, Southlands</v>
      </c>
      <c r="G73" s="1159"/>
      <c r="H73" s="1157" t="str">
        <f>VLOOKUP($D$71,DATA!$A$3:$K$69,5,FALSE)</f>
        <v>Adur</v>
      </c>
      <c r="I73" s="1157"/>
      <c r="J73" s="1157" t="str">
        <f>VLOOKUP($J$71,DATA!$A$3:$K$69,4,FALSE)</f>
        <v>Adur East</v>
      </c>
      <c r="K73" s="1157"/>
      <c r="L73" s="1157" t="str">
        <f>VLOOKUP($J$71,DATA!$A$3:$K$69,7,FALSE)</f>
        <v>Eastbrook, Hillside, Southwich Green</v>
      </c>
      <c r="M73" s="1157"/>
      <c r="N73" s="1157" t="str">
        <f>VLOOKUP($J$71,DATA!$A$3:$K$69,5,FALSE)</f>
        <v>Adur</v>
      </c>
      <c r="O73" s="1445"/>
      <c r="P73" s="52"/>
      <c r="Q73" s="24"/>
      <c r="R73" s="24"/>
      <c r="S73" s="65"/>
      <c r="T73" s="65"/>
      <c r="U73" s="56"/>
      <c r="V73" s="56"/>
      <c r="W73" s="56"/>
      <c r="X73" s="56"/>
      <c r="Y73" s="56"/>
      <c r="Z73" s="56"/>
      <c r="AA73" s="56"/>
      <c r="AB73" s="57"/>
      <c r="AC73" s="57"/>
      <c r="AD73" s="57"/>
      <c r="AE73" s="57"/>
      <c r="AF73" s="57"/>
      <c r="AG73" s="57"/>
      <c r="AH73" s="57"/>
    </row>
    <row r="74" spans="1:34" s="25" customFormat="1" ht="20.399999999999999" customHeight="1" x14ac:dyDescent="0.25">
      <c r="A74" s="1160" t="s">
        <v>125</v>
      </c>
      <c r="B74" s="1161"/>
      <c r="C74" s="1161"/>
      <c r="D74" s="1040" t="str">
        <f>VLOOKUP($D$71,DATA!$A$3:$K$69,8,FALSE)</f>
        <v>Shoreham</v>
      </c>
      <c r="E74" s="1040"/>
      <c r="F74" s="1040"/>
      <c r="G74" s="1040"/>
      <c r="H74" s="1040"/>
      <c r="I74" s="1040"/>
      <c r="J74" s="1040" t="str">
        <f>VLOOKUP($J$71,DATA!$A$3:$K$69,8,FALSE)</f>
        <v>Shoreham</v>
      </c>
      <c r="K74" s="1040"/>
      <c r="L74" s="1040"/>
      <c r="M74" s="1040"/>
      <c r="N74" s="1040"/>
      <c r="O74" s="1041"/>
      <c r="P74" s="52"/>
      <c r="Q74" s="24"/>
      <c r="R74" s="24"/>
      <c r="S74" s="65"/>
      <c r="T74" s="65"/>
      <c r="U74" s="56"/>
      <c r="V74" s="56"/>
      <c r="W74" s="56"/>
      <c r="X74" s="56"/>
      <c r="Y74" s="56"/>
      <c r="Z74" s="56"/>
      <c r="AA74" s="56"/>
      <c r="AB74" s="57"/>
      <c r="AC74" s="57"/>
      <c r="AD74" s="57"/>
      <c r="AE74" s="57"/>
      <c r="AF74" s="57"/>
      <c r="AG74" s="57"/>
      <c r="AH74" s="57"/>
    </row>
    <row r="75" spans="1:34" s="25" customFormat="1" ht="21" customHeight="1" x14ac:dyDescent="0.25">
      <c r="A75" s="1160" t="s">
        <v>119</v>
      </c>
      <c r="B75" s="1161"/>
      <c r="C75" s="1161"/>
      <c r="D75" s="1040" t="str">
        <f>VLOOKUP($D$71,DATA!$A$3:$K$69,9,FALSE)</f>
        <v>B</v>
      </c>
      <c r="E75" s="1040"/>
      <c r="F75" s="1040"/>
      <c r="G75" s="1040"/>
      <c r="H75" s="1040"/>
      <c r="I75" s="1040"/>
      <c r="J75" s="1040" t="str">
        <f>VLOOKUP($J$71,DATA!$A$3:$K$69,9,FALSE)</f>
        <v>B</v>
      </c>
      <c r="K75" s="1040"/>
      <c r="L75" s="1040"/>
      <c r="M75" s="1040"/>
      <c r="N75" s="1040"/>
      <c r="O75" s="1041"/>
      <c r="P75" s="52"/>
      <c r="Q75" s="24"/>
      <c r="R75" s="24"/>
      <c r="S75" s="65"/>
      <c r="T75" s="65"/>
      <c r="U75" s="56"/>
      <c r="V75" s="56"/>
      <c r="W75" s="56"/>
      <c r="X75" s="56"/>
      <c r="Y75" s="56"/>
      <c r="Z75" s="56"/>
      <c r="AA75" s="56"/>
      <c r="AB75" s="57"/>
      <c r="AC75" s="57"/>
      <c r="AD75" s="57"/>
      <c r="AE75" s="57"/>
      <c r="AF75" s="57"/>
      <c r="AG75" s="57"/>
      <c r="AH75" s="57"/>
    </row>
    <row r="76" spans="1:34" s="25" customFormat="1" ht="21" customHeight="1" x14ac:dyDescent="0.25">
      <c r="A76" s="1160" t="s">
        <v>83</v>
      </c>
      <c r="B76" s="1161"/>
      <c r="C76" s="1161"/>
      <c r="D76" s="1040" t="str">
        <f>VLOOKUP($D$71,DATA!$A$3:$K$69,10,FALSE)</f>
        <v>Coastal West Sussex</v>
      </c>
      <c r="E76" s="1040"/>
      <c r="F76" s="1040"/>
      <c r="G76" s="1040"/>
      <c r="H76" s="1040"/>
      <c r="I76" s="1040"/>
      <c r="J76" s="1040" t="str">
        <f>VLOOKUP($J$71,DATA!$A$3:$K$69,10,FALSE)</f>
        <v>Coastal West Sussex</v>
      </c>
      <c r="K76" s="1040"/>
      <c r="L76" s="1040"/>
      <c r="M76" s="1040"/>
      <c r="N76" s="1040"/>
      <c r="O76" s="1041"/>
      <c r="P76" s="52"/>
      <c r="Q76" s="24"/>
      <c r="R76" s="24"/>
      <c r="S76" s="65"/>
      <c r="T76" s="65"/>
      <c r="U76" s="56"/>
      <c r="V76" s="56"/>
      <c r="W76" s="56"/>
      <c r="X76" s="56"/>
      <c r="Y76" s="56"/>
      <c r="Z76" s="56"/>
      <c r="AA76" s="56"/>
      <c r="AB76" s="57"/>
      <c r="AC76" s="57"/>
      <c r="AD76" s="57"/>
      <c r="AE76" s="57"/>
      <c r="AF76" s="57"/>
      <c r="AG76" s="57"/>
      <c r="AH76" s="57"/>
    </row>
    <row r="77" spans="1:34" s="25" customFormat="1" ht="21" customHeight="1" x14ac:dyDescent="0.25">
      <c r="A77" s="1162" t="s">
        <v>209</v>
      </c>
      <c r="B77" s="1163"/>
      <c r="C77" s="1163"/>
      <c r="D77" s="1040" t="str">
        <f>VLOOKUP($D$71,DATA!$A$3:$K$69,11,FALSE)</f>
        <v>East Worthing and Shoreham</v>
      </c>
      <c r="E77" s="1040"/>
      <c r="F77" s="1040"/>
      <c r="G77" s="1040"/>
      <c r="H77" s="1040"/>
      <c r="I77" s="1040"/>
      <c r="J77" s="1040" t="str">
        <f>VLOOKUP($J$71,DATA!$A$3:$K$69,11,FALSE)</f>
        <v>East Worthing and Shoreham</v>
      </c>
      <c r="K77" s="1040"/>
      <c r="L77" s="1040"/>
      <c r="M77" s="1040"/>
      <c r="N77" s="1040"/>
      <c r="O77" s="1041"/>
      <c r="P77" s="52"/>
      <c r="Q77" s="24"/>
      <c r="R77" s="24"/>
      <c r="S77" s="65"/>
      <c r="T77" s="65"/>
      <c r="U77" s="56"/>
      <c r="V77" s="56"/>
      <c r="W77" s="56"/>
      <c r="X77" s="56"/>
      <c r="Y77" s="56"/>
      <c r="Z77" s="56"/>
      <c r="AA77" s="56"/>
      <c r="AB77" s="57"/>
      <c r="AC77" s="57"/>
      <c r="AD77" s="57"/>
      <c r="AE77" s="57"/>
      <c r="AF77" s="57"/>
      <c r="AG77" s="57"/>
      <c r="AH77" s="57"/>
    </row>
    <row r="78" spans="1:34" s="20" customFormat="1" ht="22.5" customHeight="1" x14ac:dyDescent="0.25">
      <c r="A78" s="558" t="s">
        <v>579</v>
      </c>
      <c r="B78" s="559"/>
      <c r="C78" s="559"/>
      <c r="D78" s="559"/>
      <c r="E78" s="559"/>
      <c r="F78" s="559"/>
      <c r="G78" s="559"/>
      <c r="H78" s="559"/>
      <c r="I78" s="559"/>
      <c r="J78" s="559"/>
      <c r="K78" s="559"/>
      <c r="L78" s="559"/>
      <c r="M78" s="559"/>
      <c r="N78" s="559"/>
      <c r="O78" s="77" t="s">
        <v>600</v>
      </c>
      <c r="P78" s="9"/>
      <c r="Q78" s="19"/>
      <c r="R78" s="19"/>
      <c r="S78" s="41"/>
      <c r="T78" s="41"/>
      <c r="U78" s="10"/>
      <c r="V78" s="10"/>
      <c r="W78" s="10"/>
      <c r="X78" s="10"/>
      <c r="Y78" s="10"/>
      <c r="Z78" s="10"/>
      <c r="AA78" s="10"/>
      <c r="AB78" s="16"/>
      <c r="AC78" s="16"/>
      <c r="AD78" s="16"/>
      <c r="AE78" s="16"/>
      <c r="AF78" s="16"/>
      <c r="AG78" s="16"/>
      <c r="AH78" s="16"/>
    </row>
    <row r="79" spans="1:34" s="26" customFormat="1" ht="42.75" customHeight="1" x14ac:dyDescent="0.25">
      <c r="A79" s="1049" t="s">
        <v>609</v>
      </c>
      <c r="B79" s="1050"/>
      <c r="C79" s="1050"/>
      <c r="D79" s="1050"/>
      <c r="E79" s="1051"/>
      <c r="F79" s="1200" t="str">
        <f>$D$71</f>
        <v>Kingston Buci</v>
      </c>
      <c r="G79" s="1201"/>
      <c r="H79" s="1175" t="str">
        <f>$J$71</f>
        <v>Stepping Stones</v>
      </c>
      <c r="I79" s="1176"/>
      <c r="J79" s="1304" t="s">
        <v>103</v>
      </c>
      <c r="K79" s="1305"/>
      <c r="L79" s="1302" t="s">
        <v>104</v>
      </c>
      <c r="M79" s="1303"/>
      <c r="N79" s="1337" t="s">
        <v>105</v>
      </c>
      <c r="O79" s="1338"/>
      <c r="P79" s="9"/>
      <c r="Q79" s="17"/>
      <c r="R79" s="17"/>
      <c r="S79" s="61"/>
      <c r="T79" s="61"/>
      <c r="U79" s="10"/>
      <c r="V79" s="10"/>
      <c r="W79" s="10"/>
      <c r="X79" s="10"/>
      <c r="Y79" s="10"/>
      <c r="Z79" s="10"/>
      <c r="AA79" s="10"/>
      <c r="AB79" s="28"/>
      <c r="AC79" s="28"/>
      <c r="AD79" s="28"/>
      <c r="AE79" s="28"/>
      <c r="AF79" s="28"/>
      <c r="AG79" s="28"/>
      <c r="AH79" s="28"/>
    </row>
    <row r="80" spans="1:34" s="26" customFormat="1" ht="21" customHeight="1" x14ac:dyDescent="0.25">
      <c r="A80" s="1334" t="s">
        <v>692</v>
      </c>
      <c r="B80" s="1335"/>
      <c r="C80" s="1335"/>
      <c r="D80" s="1335"/>
      <c r="E80" s="1336"/>
      <c r="F80" s="452">
        <f>HLOOKUP($A80,_cfc1,DATA!A$1+1,FALSE)</f>
        <v>15185</v>
      </c>
      <c r="G80" s="452"/>
      <c r="H80" s="452">
        <f>HLOOKUP($A80,_cfc1,DATA!B$1+1,FALSE)</f>
        <v>13390</v>
      </c>
      <c r="I80" s="452"/>
      <c r="J80" s="1053">
        <v>821400</v>
      </c>
      <c r="K80" s="1054"/>
      <c r="L80" s="1053">
        <v>8792600</v>
      </c>
      <c r="M80" s="1054"/>
      <c r="N80" s="1053">
        <v>53865800</v>
      </c>
      <c r="O80" s="1168"/>
      <c r="P80" s="9"/>
      <c r="Q80" s="17"/>
      <c r="R80" s="17"/>
      <c r="S80" s="61"/>
      <c r="T80" s="61"/>
      <c r="U80" s="10"/>
      <c r="V80" s="10"/>
      <c r="W80" s="10"/>
      <c r="X80" s="10"/>
      <c r="Y80" s="10"/>
      <c r="Z80" s="10"/>
      <c r="AA80" s="10"/>
      <c r="AB80" s="28"/>
      <c r="AC80" s="28"/>
      <c r="AD80" s="28"/>
      <c r="AE80" s="28"/>
      <c r="AF80" s="28"/>
      <c r="AG80" s="28"/>
      <c r="AH80" s="28"/>
    </row>
    <row r="81" spans="1:34" s="26" customFormat="1" ht="21" customHeight="1" x14ac:dyDescent="0.25">
      <c r="A81" s="1320" t="s">
        <v>611</v>
      </c>
      <c r="B81" s="1321"/>
      <c r="C81" s="1321"/>
      <c r="D81" s="1321"/>
      <c r="E81" s="1322"/>
      <c r="F81" s="1192">
        <f>HLOOKUP($A81,_cfc1,DATA!A$1+1,FALSE)</f>
        <v>990</v>
      </c>
      <c r="G81" s="1192"/>
      <c r="H81" s="1192">
        <f>HLOOKUP($A81,_cfc1,DATA!B$1+1,FALSE)</f>
        <v>830</v>
      </c>
      <c r="I81" s="1192"/>
      <c r="J81" s="1038">
        <v>47800</v>
      </c>
      <c r="K81" s="1038"/>
      <c r="L81" s="1038">
        <v>547500</v>
      </c>
      <c r="M81" s="1038"/>
      <c r="N81" s="1038">
        <v>3414100</v>
      </c>
      <c r="O81" s="1039"/>
      <c r="P81" s="9"/>
      <c r="Q81" s="17"/>
      <c r="R81" s="17"/>
      <c r="S81" s="61"/>
      <c r="T81" s="61"/>
      <c r="U81" s="10"/>
      <c r="V81" s="10"/>
      <c r="W81" s="10"/>
      <c r="X81" s="10"/>
      <c r="Y81" s="10"/>
      <c r="Z81" s="10"/>
      <c r="AA81" s="10"/>
      <c r="AB81" s="28"/>
      <c r="AC81" s="28"/>
      <c r="AD81" s="28"/>
      <c r="AE81" s="28"/>
      <c r="AF81" s="28"/>
      <c r="AG81" s="28"/>
      <c r="AH81" s="28"/>
    </row>
    <row r="82" spans="1:34" s="27" customFormat="1" ht="24" customHeight="1" x14ac:dyDescent="0.25">
      <c r="A82" s="1177" t="s">
        <v>578</v>
      </c>
      <c r="B82" s="1178"/>
      <c r="C82" s="1178"/>
      <c r="D82" s="1178"/>
      <c r="E82" s="1178"/>
      <c r="F82" s="1178"/>
      <c r="G82" s="1178"/>
      <c r="H82" s="1178"/>
      <c r="I82" s="1178"/>
      <c r="J82" s="1178"/>
      <c r="K82" s="1178"/>
      <c r="L82" s="1178"/>
      <c r="M82" s="1178"/>
      <c r="N82" s="1178"/>
      <c r="O82" s="1179"/>
      <c r="P82" s="9"/>
      <c r="Q82" s="19"/>
      <c r="R82" s="19"/>
      <c r="S82" s="41"/>
      <c r="T82" s="41"/>
      <c r="U82" s="10"/>
      <c r="V82" s="10"/>
      <c r="W82" s="10"/>
      <c r="X82" s="10"/>
      <c r="Y82" s="10"/>
      <c r="Z82" s="10"/>
      <c r="AA82" s="10"/>
      <c r="AB82" s="28"/>
      <c r="AC82" s="28"/>
      <c r="AD82" s="28"/>
      <c r="AE82" s="28"/>
      <c r="AF82" s="28"/>
      <c r="AG82" s="28"/>
      <c r="AH82" s="28"/>
    </row>
    <row r="83" spans="1:34" s="28" customFormat="1" ht="53.25" customHeight="1" x14ac:dyDescent="0.25">
      <c r="A83" s="1315" t="s">
        <v>629</v>
      </c>
      <c r="B83" s="589"/>
      <c r="C83" s="1316"/>
      <c r="D83" s="1180" t="str">
        <f>$D$71</f>
        <v>Kingston Buci</v>
      </c>
      <c r="E83" s="1181"/>
      <c r="F83" s="1187" t="str">
        <f>$J$71</f>
        <v>Stepping Stones</v>
      </c>
      <c r="G83" s="1188"/>
      <c r="H83" s="1184"/>
      <c r="I83" s="1185"/>
      <c r="J83" s="1185"/>
      <c r="K83" s="1185"/>
      <c r="L83" s="1185"/>
      <c r="M83" s="1185"/>
      <c r="N83" s="1185"/>
      <c r="O83" s="1186"/>
      <c r="P83" s="9"/>
      <c r="Q83" s="9"/>
      <c r="R83" s="9"/>
      <c r="S83" s="10"/>
      <c r="T83" s="10"/>
      <c r="U83" s="10"/>
      <c r="V83" s="10"/>
      <c r="W83" s="10"/>
      <c r="X83" s="10"/>
      <c r="Y83" s="10"/>
      <c r="Z83" s="10"/>
      <c r="AA83" s="10"/>
    </row>
    <row r="84" spans="1:34" s="28" customFormat="1" ht="32.4" customHeight="1" x14ac:dyDescent="0.25">
      <c r="A84" s="1317"/>
      <c r="B84" s="1318"/>
      <c r="C84" s="1319"/>
      <c r="D84" s="1182" t="str">
        <f>$D$71</f>
        <v>Kingston Buci</v>
      </c>
      <c r="E84" s="1183"/>
      <c r="F84" s="1189" t="str">
        <f>$J$71</f>
        <v>Stepping Stones</v>
      </c>
      <c r="G84" s="1190"/>
      <c r="H84" s="1352"/>
      <c r="I84" s="1352"/>
      <c r="J84" s="1353"/>
      <c r="K84" s="1353"/>
      <c r="L84" s="1353"/>
      <c r="M84" s="1353"/>
      <c r="N84" s="1353"/>
      <c r="O84" s="1354"/>
      <c r="P84" s="9"/>
      <c r="Q84" s="9"/>
      <c r="R84" s="9"/>
      <c r="S84" s="10"/>
      <c r="T84" s="10"/>
      <c r="U84" s="10"/>
      <c r="V84" s="10"/>
      <c r="W84" s="10"/>
      <c r="X84" s="10"/>
      <c r="Y84" s="10"/>
      <c r="Z84" s="10"/>
      <c r="AA84" s="10"/>
    </row>
    <row r="85" spans="1:34" s="28" customFormat="1" ht="18.600000000000001" customHeight="1" x14ac:dyDescent="0.25">
      <c r="A85" s="453" t="s">
        <v>630</v>
      </c>
      <c r="B85" s="454"/>
      <c r="C85" s="454"/>
      <c r="D85" s="452">
        <f>HLOOKUP(A85,cfc,DATA!A$1+1,FALSE)</f>
        <v>770</v>
      </c>
      <c r="E85" s="452"/>
      <c r="F85" s="452">
        <f>HLOOKUP(A85,cfc,DATA!B$1+1,FALSE)</f>
        <v>700</v>
      </c>
      <c r="G85" s="452"/>
      <c r="H85" s="1355"/>
      <c r="I85" s="1355"/>
      <c r="J85" s="1279"/>
      <c r="K85" s="1279"/>
      <c r="L85" s="1279"/>
      <c r="M85" s="1279"/>
      <c r="N85" s="1279"/>
      <c r="O85" s="1280"/>
      <c r="P85" s="9"/>
      <c r="Q85" s="9"/>
      <c r="R85" s="9"/>
      <c r="S85" s="10"/>
      <c r="T85" s="10"/>
      <c r="U85" s="10"/>
      <c r="V85" s="10"/>
      <c r="W85" s="10"/>
      <c r="X85" s="10"/>
      <c r="Y85" s="10"/>
      <c r="Z85" s="10"/>
      <c r="AA85" s="10"/>
    </row>
    <row r="86" spans="1:34" s="28" customFormat="1" ht="18.600000000000001" customHeight="1" x14ac:dyDescent="0.25">
      <c r="A86" s="453" t="s">
        <v>631</v>
      </c>
      <c r="B86" s="454"/>
      <c r="C86" s="454"/>
      <c r="D86" s="452">
        <f>HLOOKUP(A86,cfc,DATA!A$1+1,FALSE)</f>
        <v>775</v>
      </c>
      <c r="E86" s="452"/>
      <c r="F86" s="452">
        <f>HLOOKUP(A86,cfc,DATA!B$1+1,FALSE)</f>
        <v>680</v>
      </c>
      <c r="G86" s="452"/>
      <c r="H86" s="1355"/>
      <c r="I86" s="1355"/>
      <c r="J86" s="1279"/>
      <c r="K86" s="1279"/>
      <c r="L86" s="1279"/>
      <c r="M86" s="1279"/>
      <c r="N86" s="1279"/>
      <c r="O86" s="1280"/>
      <c r="P86" s="9"/>
      <c r="Q86" s="9"/>
      <c r="R86" s="9"/>
      <c r="S86" s="10"/>
      <c r="T86" s="10"/>
      <c r="U86" s="10"/>
      <c r="V86" s="10"/>
      <c r="W86" s="10"/>
      <c r="X86" s="10"/>
      <c r="Y86" s="10"/>
      <c r="Z86" s="10"/>
      <c r="AA86" s="10"/>
    </row>
    <row r="87" spans="1:34" s="28" customFormat="1" ht="18.600000000000001" customHeight="1" x14ac:dyDescent="0.25">
      <c r="A87" s="453" t="s">
        <v>632</v>
      </c>
      <c r="B87" s="454"/>
      <c r="C87" s="454"/>
      <c r="D87" s="452">
        <f>HLOOKUP(A87,cfc,DATA!A$1+1,FALSE)</f>
        <v>805</v>
      </c>
      <c r="E87" s="452"/>
      <c r="F87" s="452">
        <f>HLOOKUP(A87,cfc,DATA!B$1+1,FALSE)</f>
        <v>705</v>
      </c>
      <c r="G87" s="452"/>
      <c r="H87" s="1355"/>
      <c r="I87" s="1355"/>
      <c r="J87" s="1279"/>
      <c r="K87" s="1279"/>
      <c r="L87" s="1279"/>
      <c r="M87" s="1279"/>
      <c r="N87" s="1279"/>
      <c r="O87" s="1280"/>
      <c r="P87" s="9"/>
      <c r="Q87" s="9"/>
      <c r="R87" s="9"/>
      <c r="S87" s="10"/>
      <c r="T87" s="10"/>
      <c r="U87" s="10"/>
      <c r="V87" s="10"/>
      <c r="W87" s="10"/>
      <c r="X87" s="10"/>
      <c r="Y87" s="10"/>
      <c r="Z87" s="10"/>
      <c r="AA87" s="10"/>
    </row>
    <row r="88" spans="1:34" s="28" customFormat="1" ht="18.600000000000001" customHeight="1" x14ac:dyDescent="0.25">
      <c r="A88" s="453" t="s">
        <v>211</v>
      </c>
      <c r="B88" s="454"/>
      <c r="C88" s="454"/>
      <c r="D88" s="452">
        <f>HLOOKUP(A88,cfc,DATA!A$1+1,FALSE)</f>
        <v>800</v>
      </c>
      <c r="E88" s="452"/>
      <c r="F88" s="452">
        <f>HLOOKUP(A88,cfc,DATA!B$1+1,FALSE)</f>
        <v>710</v>
      </c>
      <c r="G88" s="452"/>
      <c r="H88" s="1355"/>
      <c r="I88" s="1355"/>
      <c r="J88" s="1279"/>
      <c r="K88" s="1279"/>
      <c r="L88" s="1279"/>
      <c r="M88" s="1279"/>
      <c r="N88" s="1279"/>
      <c r="O88" s="1280"/>
      <c r="P88" s="9"/>
      <c r="Q88" s="9"/>
      <c r="R88" s="9"/>
      <c r="S88" s="10"/>
      <c r="T88" s="10"/>
      <c r="U88" s="10"/>
      <c r="V88" s="10"/>
      <c r="W88" s="10"/>
      <c r="X88" s="10"/>
      <c r="Y88" s="10"/>
      <c r="Z88" s="10"/>
      <c r="AA88" s="10"/>
    </row>
    <row r="89" spans="1:34" s="28" customFormat="1" ht="18.600000000000001" customHeight="1" x14ac:dyDescent="0.25">
      <c r="A89" s="1154" t="s">
        <v>346</v>
      </c>
      <c r="B89" s="1155"/>
      <c r="C89" s="1155"/>
      <c r="D89" s="452">
        <f>HLOOKUP(A89,cfc,DATA!A$1+1,FALSE)</f>
        <v>830</v>
      </c>
      <c r="E89" s="452"/>
      <c r="F89" s="452">
        <f>HLOOKUP(A89,cfc,DATA!B$1+1,FALSE)</f>
        <v>735</v>
      </c>
      <c r="G89" s="452"/>
      <c r="H89" s="1279"/>
      <c r="I89" s="1279"/>
      <c r="J89" s="1279"/>
      <c r="K89" s="1279"/>
      <c r="L89" s="1279"/>
      <c r="M89" s="1279"/>
      <c r="N89" s="1279"/>
      <c r="O89" s="1280"/>
      <c r="P89" s="9"/>
      <c r="Q89" s="9"/>
      <c r="R89" s="9"/>
      <c r="S89" s="10"/>
      <c r="T89" s="10"/>
      <c r="U89" s="10"/>
      <c r="V89" s="10"/>
      <c r="W89" s="10"/>
      <c r="X89" s="10"/>
      <c r="Y89" s="10"/>
      <c r="Z89" s="10"/>
      <c r="AA89" s="10"/>
    </row>
    <row r="90" spans="1:34" s="28" customFormat="1" ht="18.600000000000001" customHeight="1" x14ac:dyDescent="0.25">
      <c r="A90" s="1154" t="s">
        <v>212</v>
      </c>
      <c r="B90" s="1155"/>
      <c r="C90" s="1155"/>
      <c r="D90" s="452">
        <f>HLOOKUP(A90,cfc,DATA!A$1+1,FALSE)</f>
        <v>815</v>
      </c>
      <c r="E90" s="452"/>
      <c r="F90" s="452">
        <f>HLOOKUP(A90,cfc,DATA!B$1+1,FALSE)</f>
        <v>775</v>
      </c>
      <c r="G90" s="452"/>
      <c r="H90" s="1279"/>
      <c r="I90" s="1279"/>
      <c r="J90" s="1279"/>
      <c r="K90" s="1279"/>
      <c r="L90" s="1279"/>
      <c r="M90" s="1279"/>
      <c r="N90" s="1279"/>
      <c r="O90" s="1280"/>
      <c r="P90" s="9"/>
      <c r="Q90" s="9"/>
      <c r="R90" s="9"/>
      <c r="S90" s="10"/>
      <c r="T90" s="10"/>
      <c r="U90" s="10"/>
      <c r="V90" s="10"/>
      <c r="W90" s="10"/>
      <c r="X90" s="10"/>
      <c r="Y90" s="10"/>
      <c r="Z90" s="10"/>
      <c r="AA90" s="10"/>
    </row>
    <row r="91" spans="1:34" s="28" customFormat="1" ht="18.600000000000001" customHeight="1" x14ac:dyDescent="0.25">
      <c r="A91" s="1154" t="s">
        <v>347</v>
      </c>
      <c r="B91" s="1155"/>
      <c r="C91" s="1155"/>
      <c r="D91" s="452">
        <f>HLOOKUP(A91,cfc,DATA!A$1+1,FALSE)</f>
        <v>860</v>
      </c>
      <c r="E91" s="452"/>
      <c r="F91" s="452">
        <f>HLOOKUP(A91,cfc,DATA!B$1+1,FALSE)</f>
        <v>775</v>
      </c>
      <c r="G91" s="452"/>
      <c r="H91" s="1279"/>
      <c r="I91" s="1279"/>
      <c r="J91" s="1279"/>
      <c r="K91" s="1279"/>
      <c r="L91" s="1279"/>
      <c r="M91" s="1279"/>
      <c r="N91" s="1279"/>
      <c r="O91" s="1280"/>
      <c r="P91" s="9"/>
      <c r="Q91" s="9"/>
      <c r="R91" s="9"/>
      <c r="S91" s="10"/>
      <c r="T91" s="10"/>
      <c r="U91" s="10"/>
      <c r="V91" s="10"/>
      <c r="W91" s="10"/>
      <c r="X91" s="10"/>
      <c r="Y91" s="10"/>
      <c r="Z91" s="10"/>
      <c r="AA91" s="10"/>
    </row>
    <row r="92" spans="1:34" s="28" customFormat="1" ht="18.600000000000001" customHeight="1" x14ac:dyDescent="0.25">
      <c r="A92" s="1154" t="s">
        <v>233</v>
      </c>
      <c r="B92" s="1155"/>
      <c r="C92" s="1155"/>
      <c r="D92" s="452">
        <f>HLOOKUP(A92,cfc,DATA!A$1+1,FALSE)</f>
        <v>905</v>
      </c>
      <c r="E92" s="452"/>
      <c r="F92" s="452">
        <f>HLOOKUP(A92,cfc,DATA!B$1+1,FALSE)</f>
        <v>805</v>
      </c>
      <c r="G92" s="452"/>
      <c r="H92" s="1279"/>
      <c r="I92" s="1279"/>
      <c r="J92" s="1279"/>
      <c r="K92" s="1279"/>
      <c r="L92" s="1279"/>
      <c r="M92" s="1279"/>
      <c r="N92" s="1279"/>
      <c r="O92" s="1280"/>
      <c r="P92" s="9"/>
      <c r="Q92" s="9"/>
      <c r="R92" s="9"/>
      <c r="S92" s="10"/>
      <c r="T92" s="10"/>
      <c r="U92" s="10"/>
      <c r="V92" s="10"/>
      <c r="W92" s="10"/>
      <c r="X92" s="10"/>
      <c r="Y92" s="10"/>
      <c r="Z92" s="10"/>
      <c r="AA92" s="10"/>
    </row>
    <row r="93" spans="1:34" s="28" customFormat="1" ht="18.600000000000001" customHeight="1" x14ac:dyDescent="0.25">
      <c r="A93" s="1306" t="s">
        <v>348</v>
      </c>
      <c r="B93" s="1307"/>
      <c r="C93" s="1307"/>
      <c r="D93" s="452">
        <f>HLOOKUP(A93,cfc,DATA!A$1+1,FALSE)</f>
        <v>945</v>
      </c>
      <c r="E93" s="452"/>
      <c r="F93" s="452">
        <f>HLOOKUP(A93,cfc,DATA!B$1+1,FALSE)</f>
        <v>825</v>
      </c>
      <c r="G93" s="452"/>
      <c r="H93" s="1279"/>
      <c r="I93" s="1279"/>
      <c r="J93" s="1279"/>
      <c r="K93" s="1279"/>
      <c r="L93" s="1279"/>
      <c r="M93" s="1279"/>
      <c r="N93" s="1279"/>
      <c r="O93" s="1280"/>
      <c r="P93" s="9"/>
      <c r="Q93" s="9"/>
      <c r="R93" s="9"/>
      <c r="S93" s="10"/>
      <c r="T93" s="10"/>
      <c r="U93" s="10"/>
      <c r="V93" s="10"/>
      <c r="W93" s="10"/>
      <c r="X93" s="10"/>
      <c r="Y93" s="10"/>
      <c r="Z93" s="10"/>
      <c r="AA93" s="10"/>
    </row>
    <row r="94" spans="1:34" s="10" customFormat="1" ht="18.600000000000001" customHeight="1" x14ac:dyDescent="0.25">
      <c r="A94" s="1062" t="s">
        <v>611</v>
      </c>
      <c r="B94" s="1063"/>
      <c r="C94" s="1063"/>
      <c r="D94" s="1052">
        <f>HLOOKUP(A94,cfc,DATA!A$1+1,FALSE)</f>
        <v>990</v>
      </c>
      <c r="E94" s="1052"/>
      <c r="F94" s="1052">
        <f>HLOOKUP(A94,cfc,DATA!B$1+1,FALSE)</f>
        <v>830</v>
      </c>
      <c r="G94" s="1052"/>
      <c r="H94" s="166"/>
      <c r="I94" s="166"/>
      <c r="J94" s="166"/>
      <c r="K94" s="166"/>
      <c r="L94" s="166"/>
      <c r="M94" s="166"/>
      <c r="N94" s="166"/>
      <c r="O94" s="167"/>
      <c r="P94" s="9"/>
      <c r="Q94" s="9"/>
      <c r="R94" s="9"/>
    </row>
    <row r="95" spans="1:34" s="20" customFormat="1" ht="22.5" customHeight="1" x14ac:dyDescent="0.25">
      <c r="A95" s="475" t="s">
        <v>580</v>
      </c>
      <c r="B95" s="476"/>
      <c r="C95" s="476"/>
      <c r="D95" s="476"/>
      <c r="E95" s="476"/>
      <c r="F95" s="476"/>
      <c r="G95" s="476"/>
      <c r="H95" s="476"/>
      <c r="I95" s="476"/>
      <c r="J95" s="476"/>
      <c r="K95" s="476"/>
      <c r="L95" s="476"/>
      <c r="M95" s="476"/>
      <c r="N95" s="476"/>
      <c r="O95" s="262" t="s">
        <v>600</v>
      </c>
      <c r="P95" s="9"/>
      <c r="Q95" s="19"/>
      <c r="R95" s="19"/>
      <c r="S95" s="41"/>
      <c r="T95" s="41"/>
      <c r="U95" s="10"/>
      <c r="V95" s="10"/>
      <c r="W95" s="10"/>
      <c r="X95" s="10"/>
      <c r="Y95" s="10"/>
      <c r="Z95" s="10"/>
      <c r="AA95" s="10"/>
      <c r="AB95" s="16"/>
      <c r="AC95" s="16"/>
      <c r="AD95" s="16"/>
      <c r="AE95" s="16"/>
      <c r="AF95" s="16"/>
      <c r="AG95" s="16"/>
      <c r="AH95" s="16"/>
    </row>
    <row r="96" spans="1:34" ht="31.5" customHeight="1" x14ac:dyDescent="0.25">
      <c r="A96" s="1211" t="s">
        <v>634</v>
      </c>
      <c r="B96" s="1212"/>
      <c r="C96" s="1212"/>
      <c r="D96" s="1212"/>
      <c r="E96" s="1212"/>
      <c r="F96" s="1212"/>
      <c r="G96" s="1212"/>
      <c r="H96" s="1212"/>
      <c r="I96" s="1212"/>
      <c r="J96" s="1212"/>
      <c r="K96" s="1212"/>
      <c r="L96" s="1212"/>
      <c r="M96" s="1212"/>
      <c r="N96" s="1212"/>
      <c r="O96" s="1213"/>
      <c r="S96" s="61"/>
      <c r="T96" s="61"/>
    </row>
    <row r="97" spans="1:34" s="25" customFormat="1" ht="58.2" customHeight="1" x14ac:dyDescent="0.25">
      <c r="A97" s="1058" t="s">
        <v>581</v>
      </c>
      <c r="B97" s="1058"/>
      <c r="C97" s="1058"/>
      <c r="D97" s="1012" t="str">
        <f>$D$71</f>
        <v>Kingston Buci</v>
      </c>
      <c r="E97" s="1012"/>
      <c r="F97" s="473" t="str">
        <f>$J$71</f>
        <v>Stepping Stones</v>
      </c>
      <c r="G97" s="1221"/>
      <c r="H97" s="1284" t="s">
        <v>103</v>
      </c>
      <c r="I97" s="1285"/>
      <c r="J97" s="1279"/>
      <c r="K97" s="1279"/>
      <c r="L97" s="1279"/>
      <c r="M97" s="1279"/>
      <c r="N97" s="1279"/>
      <c r="O97" s="1280"/>
      <c r="P97" s="52"/>
      <c r="Q97" s="24"/>
      <c r="R97" s="24"/>
      <c r="S97" s="65"/>
      <c r="T97" s="65"/>
      <c r="U97" s="56"/>
      <c r="V97" s="56"/>
      <c r="W97" s="56"/>
      <c r="X97" s="56"/>
      <c r="Y97" s="56"/>
      <c r="Z97" s="56"/>
      <c r="AA97" s="56"/>
      <c r="AB97" s="57"/>
      <c r="AC97" s="57"/>
      <c r="AD97" s="57"/>
      <c r="AE97" s="57"/>
      <c r="AF97" s="57"/>
      <c r="AG97" s="57"/>
      <c r="AH97" s="57"/>
    </row>
    <row r="98" spans="1:34" ht="18" customHeight="1" x14ac:dyDescent="0.25">
      <c r="A98" s="1131" t="s">
        <v>114</v>
      </c>
      <c r="B98" s="1131"/>
      <c r="C98" s="1131"/>
      <c r="D98" s="1056">
        <f>HLOOKUP(A98,cfc,DATA!A1+1,FALSE)</f>
        <v>0.89910313901345296</v>
      </c>
      <c r="E98" s="1056"/>
      <c r="F98" s="1056">
        <f>HLOOKUP(A98,cfc,DATA!B$1+1,FALSE)</f>
        <v>0.88930348258706471</v>
      </c>
      <c r="G98" s="1057"/>
      <c r="H98" s="1164">
        <v>0.83599999999999997</v>
      </c>
      <c r="I98" s="1164"/>
      <c r="J98" s="1279"/>
      <c r="K98" s="1279"/>
      <c r="L98" s="1279"/>
      <c r="M98" s="1279"/>
      <c r="N98" s="1279"/>
      <c r="O98" s="1280"/>
      <c r="S98" s="61"/>
      <c r="T98" s="61"/>
    </row>
    <row r="99" spans="1:34" ht="18" customHeight="1" x14ac:dyDescent="0.25">
      <c r="A99" s="1131" t="s">
        <v>523</v>
      </c>
      <c r="B99" s="1131"/>
      <c r="C99" s="1131"/>
      <c r="D99" s="1056">
        <f>HLOOKUP(A99,cfc,DATA!A1+1,FALSE)</f>
        <v>2.1300448430493273E-2</v>
      </c>
      <c r="E99" s="1056"/>
      <c r="F99" s="1056">
        <f>HLOOKUP(A99,cfc,DATA!B$1+1,FALSE)</f>
        <v>1.8656716417910446E-2</v>
      </c>
      <c r="G99" s="1057"/>
      <c r="H99" s="1164">
        <v>4.3999999999999997E-2</v>
      </c>
      <c r="I99" s="1164"/>
      <c r="J99" s="1279"/>
      <c r="K99" s="1279"/>
      <c r="L99" s="1279"/>
      <c r="M99" s="1279"/>
      <c r="N99" s="1279"/>
      <c r="O99" s="1280"/>
      <c r="S99" s="61"/>
      <c r="T99" s="61"/>
    </row>
    <row r="100" spans="1:34" ht="18" customHeight="1" x14ac:dyDescent="0.25">
      <c r="A100" s="1131" t="s">
        <v>524</v>
      </c>
      <c r="B100" s="1131"/>
      <c r="C100" s="1131"/>
      <c r="D100" s="1056">
        <f>HLOOKUP(A100,cfc,DATA!A$1+1,FALSE)</f>
        <v>4.708520179372197E-2</v>
      </c>
      <c r="E100" s="1056"/>
      <c r="F100" s="1056">
        <f>HLOOKUP(A100,cfc,DATA!B$1+1,FALSE)</f>
        <v>3.3582089552238806E-2</v>
      </c>
      <c r="G100" s="1057"/>
      <c r="H100" s="1164">
        <v>4.7E-2</v>
      </c>
      <c r="I100" s="1164"/>
      <c r="J100" s="1279"/>
      <c r="K100" s="1279"/>
      <c r="L100" s="1279"/>
      <c r="M100" s="1279"/>
      <c r="N100" s="1279"/>
      <c r="O100" s="1280"/>
      <c r="S100" s="61"/>
      <c r="T100" s="61"/>
    </row>
    <row r="101" spans="1:34" ht="18" customHeight="1" x14ac:dyDescent="0.25">
      <c r="A101" s="1131" t="s">
        <v>115</v>
      </c>
      <c r="B101" s="1131"/>
      <c r="C101" s="1131"/>
      <c r="D101" s="1056">
        <f>HLOOKUP(A101,cfc,DATA!A$1+1,FALSE)</f>
        <v>2.8026905829596414E-2</v>
      </c>
      <c r="E101" s="1056"/>
      <c r="F101" s="1056">
        <f>HLOOKUP(A101,cfc,DATA!B$1+1,FALSE)</f>
        <v>3.109452736318408E-2</v>
      </c>
      <c r="G101" s="1057"/>
      <c r="H101" s="1164">
        <v>5.5E-2</v>
      </c>
      <c r="I101" s="1164"/>
      <c r="J101" s="1279"/>
      <c r="K101" s="1279"/>
      <c r="L101" s="1279"/>
      <c r="M101" s="1279"/>
      <c r="N101" s="1279"/>
      <c r="O101" s="1280"/>
      <c r="S101" s="61"/>
      <c r="T101" s="61"/>
    </row>
    <row r="102" spans="1:34" ht="18" customHeight="1" x14ac:dyDescent="0.25">
      <c r="A102" s="1131" t="s">
        <v>116</v>
      </c>
      <c r="B102" s="1131"/>
      <c r="C102" s="1131"/>
      <c r="D102" s="1056">
        <f>HLOOKUP(A102,cfc,DATA!A$1+1,FALSE)</f>
        <v>0</v>
      </c>
      <c r="E102" s="1056"/>
      <c r="F102" s="1056">
        <f>HLOOKUP(A102,cfc,DATA!B$1+1,FALSE)</f>
        <v>7.462686567164179E-3</v>
      </c>
      <c r="G102" s="1057"/>
      <c r="H102" s="1164">
        <v>1.2999999999999999E-2</v>
      </c>
      <c r="I102" s="1164"/>
      <c r="J102" s="1279"/>
      <c r="K102" s="1279"/>
      <c r="L102" s="1279"/>
      <c r="M102" s="1279"/>
      <c r="N102" s="1279"/>
      <c r="O102" s="1280"/>
      <c r="S102" s="61"/>
      <c r="T102" s="61"/>
    </row>
    <row r="103" spans="1:34" ht="18" customHeight="1" x14ac:dyDescent="0.25">
      <c r="A103" s="1131" t="s">
        <v>349</v>
      </c>
      <c r="B103" s="1131"/>
      <c r="C103" s="1131"/>
      <c r="D103" s="1056">
        <f>HLOOKUP(A103,cfc,DATA!A$1+1,FALSE)</f>
        <v>4.4843049327354259E-3</v>
      </c>
      <c r="E103" s="1056"/>
      <c r="F103" s="1056">
        <f>HLOOKUP(A103,cfc,DATA!B$1+1,FALSE)</f>
        <v>1.9900497512437811E-2</v>
      </c>
      <c r="G103" s="1057"/>
      <c r="H103" s="1164">
        <v>5.0000000000000001E-3</v>
      </c>
      <c r="I103" s="1164"/>
      <c r="J103" s="1279"/>
      <c r="K103" s="1279"/>
      <c r="L103" s="1279"/>
      <c r="M103" s="1279"/>
      <c r="N103" s="1279"/>
      <c r="O103" s="1280"/>
      <c r="S103" s="61"/>
      <c r="T103" s="61"/>
    </row>
    <row r="104" spans="1:34" ht="18" customHeight="1" x14ac:dyDescent="0.25">
      <c r="A104" s="1255" t="s">
        <v>633</v>
      </c>
      <c r="B104" s="1255"/>
      <c r="C104" s="1255"/>
      <c r="D104" s="1256">
        <f>D99+D100+D101+D102+D103</f>
        <v>0.10089686098654709</v>
      </c>
      <c r="E104" s="1256"/>
      <c r="F104" s="1256">
        <f>F99+F100+F101+F102+F103</f>
        <v>0.11069651741293532</v>
      </c>
      <c r="G104" s="1256"/>
      <c r="H104" s="1210">
        <v>0.16500000000000001</v>
      </c>
      <c r="I104" s="1210"/>
      <c r="J104" s="1279"/>
      <c r="K104" s="1279"/>
      <c r="L104" s="1279"/>
      <c r="M104" s="1279"/>
      <c r="N104" s="1279"/>
      <c r="O104" s="1280"/>
      <c r="S104" s="61"/>
      <c r="T104" s="61"/>
    </row>
    <row r="105" spans="1:34" ht="45" customHeight="1" x14ac:dyDescent="0.25">
      <c r="A105" s="1408" t="s">
        <v>635</v>
      </c>
      <c r="B105" s="1009"/>
      <c r="C105" s="1009"/>
      <c r="D105" s="1009"/>
      <c r="E105" s="1009"/>
      <c r="F105" s="1009"/>
      <c r="G105" s="1009"/>
      <c r="H105" s="1009"/>
      <c r="I105" s="1009"/>
      <c r="J105" s="1281"/>
      <c r="K105" s="1282"/>
      <c r="L105" s="1282"/>
      <c r="M105" s="1282"/>
      <c r="N105" s="1282"/>
      <c r="O105" s="1283"/>
      <c r="S105" s="61"/>
      <c r="T105" s="61"/>
    </row>
    <row r="106" spans="1:34" s="160" customFormat="1" ht="24" customHeight="1" x14ac:dyDescent="0.25">
      <c r="A106" s="1569" t="s">
        <v>840</v>
      </c>
      <c r="B106" s="1570"/>
      <c r="C106" s="1570"/>
      <c r="D106" s="1570"/>
      <c r="E106" s="1570"/>
      <c r="F106" s="1570"/>
      <c r="G106" s="1570"/>
      <c r="H106" s="1570"/>
      <c r="I106" s="1570"/>
      <c r="J106" s="1570"/>
      <c r="K106" s="1570"/>
      <c r="L106" s="1570"/>
      <c r="M106" s="1570"/>
      <c r="N106" s="1570"/>
      <c r="O106" s="1571"/>
      <c r="P106" s="9"/>
      <c r="Q106" s="17"/>
      <c r="R106" s="17"/>
      <c r="S106" s="162"/>
      <c r="T106" s="162"/>
      <c r="U106" s="10"/>
      <c r="V106" s="10"/>
      <c r="W106" s="10"/>
      <c r="X106" s="10"/>
      <c r="Y106" s="10"/>
      <c r="Z106" s="10"/>
      <c r="AA106" s="10"/>
      <c r="AB106" s="16"/>
      <c r="AC106" s="16"/>
      <c r="AD106" s="16"/>
      <c r="AE106" s="16"/>
      <c r="AF106" s="16"/>
      <c r="AG106" s="16"/>
      <c r="AH106" s="16"/>
    </row>
    <row r="107" spans="1:34" s="160" customFormat="1" ht="24.6" customHeight="1" x14ac:dyDescent="0.25">
      <c r="A107" s="649" t="s">
        <v>581</v>
      </c>
      <c r="B107" s="650"/>
      <c r="C107" s="650"/>
      <c r="D107" s="650"/>
      <c r="E107" s="650"/>
      <c r="F107" s="650"/>
      <c r="G107" s="651"/>
      <c r="H107" s="1266" t="str">
        <f>$D$71</f>
        <v>Kingston Buci</v>
      </c>
      <c r="I107" s="1266"/>
      <c r="J107" s="624" t="str">
        <f>$J$71</f>
        <v>Stepping Stones</v>
      </c>
      <c r="K107" s="624"/>
      <c r="L107" s="625" t="s">
        <v>103</v>
      </c>
      <c r="M107" s="625"/>
      <c r="N107" s="626" t="s">
        <v>105</v>
      </c>
      <c r="O107" s="627"/>
      <c r="P107" s="9"/>
      <c r="Q107" s="17"/>
      <c r="R107" s="17"/>
      <c r="S107" s="162"/>
      <c r="T107" s="162"/>
      <c r="U107" s="10"/>
      <c r="V107" s="10"/>
      <c r="W107" s="10"/>
      <c r="X107" s="10"/>
      <c r="Y107" s="10"/>
      <c r="Z107" s="10"/>
      <c r="AA107" s="10"/>
      <c r="AB107" s="16"/>
      <c r="AC107" s="16"/>
      <c r="AD107" s="16"/>
      <c r="AE107" s="16"/>
      <c r="AF107" s="16"/>
      <c r="AG107" s="16"/>
      <c r="AH107" s="16"/>
    </row>
    <row r="108" spans="1:34" s="160" customFormat="1" ht="24.6" customHeight="1" x14ac:dyDescent="0.3">
      <c r="A108" s="1264" t="s">
        <v>316</v>
      </c>
      <c r="B108" s="1265"/>
      <c r="C108" s="1265"/>
      <c r="D108" s="1265"/>
      <c r="E108" s="1265"/>
      <c r="F108" s="1265"/>
      <c r="G108" s="34" t="s">
        <v>391</v>
      </c>
      <c r="H108" s="621">
        <f>HLOOKUP($G108,cfc,DATA!$A$1+1,FALSE)</f>
        <v>2048</v>
      </c>
      <c r="I108" s="621"/>
      <c r="J108" s="621">
        <f>HLOOKUP($G108,cfc,DATA!B$1+1,FALSE)</f>
        <v>2004</v>
      </c>
      <c r="K108" s="621"/>
      <c r="L108" s="621">
        <f>DATA!FT75</f>
        <v>117072</v>
      </c>
      <c r="M108" s="667"/>
      <c r="N108" s="668">
        <f>DATA!FT77</f>
        <v>8015990</v>
      </c>
      <c r="O108" s="669"/>
      <c r="P108" s="9"/>
      <c r="Q108" s="17"/>
      <c r="R108" s="17"/>
      <c r="S108" s="162"/>
      <c r="T108" s="162"/>
      <c r="U108" s="10"/>
      <c r="V108" s="10"/>
      <c r="W108" s="10"/>
      <c r="X108" s="10"/>
      <c r="Y108" s="10"/>
      <c r="Z108" s="10"/>
      <c r="AA108" s="10"/>
      <c r="AB108" s="16"/>
      <c r="AC108" s="16"/>
      <c r="AD108" s="16"/>
      <c r="AE108" s="16"/>
      <c r="AF108" s="16"/>
      <c r="AG108" s="16"/>
      <c r="AH108" s="16"/>
    </row>
    <row r="109" spans="1:34" s="160" customFormat="1" ht="24.6" customHeight="1" x14ac:dyDescent="0.3">
      <c r="A109" s="636" t="s">
        <v>544</v>
      </c>
      <c r="B109" s="637"/>
      <c r="C109" s="637"/>
      <c r="D109" s="637"/>
      <c r="E109" s="637"/>
      <c r="F109" s="637"/>
      <c r="G109" s="121" t="s">
        <v>392</v>
      </c>
      <c r="H109" s="621">
        <f>HLOOKUP($G109,cfc,DATA!$A$1+1,FALSE)</f>
        <v>2022</v>
      </c>
      <c r="I109" s="621"/>
      <c r="J109" s="621">
        <f>HLOOKUP($G109,cfc,DATA!B$1+1,FALSE)</f>
        <v>1951</v>
      </c>
      <c r="K109" s="621"/>
      <c r="L109" s="622">
        <f>DATA!FU75</f>
        <v>113395</v>
      </c>
      <c r="M109" s="623"/>
      <c r="N109" s="668">
        <f>DATA!FU77</f>
        <v>7549840</v>
      </c>
      <c r="O109" s="669"/>
      <c r="P109" s="9"/>
      <c r="Q109" s="17"/>
      <c r="R109" s="17"/>
      <c r="S109" s="162"/>
      <c r="T109" s="162"/>
      <c r="U109" s="10"/>
      <c r="V109" s="10"/>
      <c r="W109" s="10"/>
      <c r="X109" s="10"/>
      <c r="Y109" s="10"/>
      <c r="Z109" s="10"/>
      <c r="AA109" s="10"/>
      <c r="AB109" s="16"/>
      <c r="AC109" s="16"/>
      <c r="AD109" s="16"/>
      <c r="AE109" s="16"/>
      <c r="AF109" s="16"/>
      <c r="AG109" s="16"/>
      <c r="AH109" s="16"/>
    </row>
    <row r="110" spans="1:34" s="160" customFormat="1" ht="24.6" customHeight="1" x14ac:dyDescent="0.3">
      <c r="A110" s="636" t="s">
        <v>545</v>
      </c>
      <c r="B110" s="637"/>
      <c r="C110" s="637"/>
      <c r="D110" s="637"/>
      <c r="E110" s="637"/>
      <c r="F110" s="637"/>
      <c r="G110" s="121" t="s">
        <v>393</v>
      </c>
      <c r="H110" s="621">
        <f>HLOOKUP($G110,cfc,DATA!$A$1+1,FALSE)</f>
        <v>26</v>
      </c>
      <c r="I110" s="621"/>
      <c r="J110" s="621">
        <f>HLOOKUP($G110,cfc,DATA!B$1+1,FALSE)</f>
        <v>53</v>
      </c>
      <c r="K110" s="621"/>
      <c r="L110" s="622">
        <f>DATA!FV75</f>
        <v>3677</v>
      </c>
      <c r="M110" s="623"/>
      <c r="N110" s="668">
        <f>DATA!FV77</f>
        <v>466150</v>
      </c>
      <c r="O110" s="669"/>
      <c r="P110" s="9"/>
      <c r="Q110" s="17"/>
      <c r="R110" s="17"/>
      <c r="S110" s="162"/>
      <c r="T110" s="162"/>
      <c r="U110" s="10"/>
      <c r="V110" s="10"/>
      <c r="W110" s="10"/>
      <c r="X110" s="10"/>
      <c r="Y110" s="10"/>
      <c r="Z110" s="10"/>
      <c r="AA110" s="10"/>
      <c r="AB110" s="16"/>
      <c r="AC110" s="16"/>
      <c r="AD110" s="16"/>
      <c r="AE110" s="16"/>
      <c r="AF110" s="16"/>
      <c r="AG110" s="16"/>
      <c r="AH110" s="16"/>
    </row>
    <row r="111" spans="1:34" s="160" customFormat="1" ht="24.6" customHeight="1" x14ac:dyDescent="0.3">
      <c r="A111" s="636" t="s">
        <v>546</v>
      </c>
      <c r="B111" s="637"/>
      <c r="C111" s="637"/>
      <c r="D111" s="637"/>
      <c r="E111" s="637"/>
      <c r="F111" s="637"/>
      <c r="G111" s="121" t="s">
        <v>394</v>
      </c>
      <c r="H111" s="621">
        <f>HLOOKUP($G111,cfc,DATA!$A$1+1,FALSE)</f>
        <v>22</v>
      </c>
      <c r="I111" s="621"/>
      <c r="J111" s="621">
        <f>HLOOKUP($G111,cfc,DATA!B$1+1,FALSE)</f>
        <v>51</v>
      </c>
      <c r="K111" s="621"/>
      <c r="L111" s="622">
        <f>DATA!FW75</f>
        <v>3091</v>
      </c>
      <c r="M111" s="623"/>
      <c r="N111" s="668">
        <f>DATA!FW77</f>
        <v>390060</v>
      </c>
      <c r="O111" s="669"/>
      <c r="P111" s="9"/>
      <c r="Q111" s="17"/>
      <c r="R111" s="17"/>
      <c r="S111" s="162"/>
      <c r="T111" s="162"/>
      <c r="U111" s="10"/>
      <c r="V111" s="10"/>
      <c r="W111" s="10"/>
      <c r="X111" s="10"/>
      <c r="Y111" s="10"/>
      <c r="Z111" s="10"/>
      <c r="AA111" s="10"/>
      <c r="AB111" s="16"/>
      <c r="AC111" s="16"/>
      <c r="AD111" s="16"/>
      <c r="AE111" s="16"/>
      <c r="AF111" s="16"/>
      <c r="AG111" s="16"/>
      <c r="AH111" s="16"/>
    </row>
    <row r="112" spans="1:34" s="160" customFormat="1" ht="23.4" customHeight="1" x14ac:dyDescent="0.3">
      <c r="A112" s="636" t="s">
        <v>547</v>
      </c>
      <c r="B112" s="637"/>
      <c r="C112" s="637"/>
      <c r="D112" s="637"/>
      <c r="E112" s="637"/>
      <c r="F112" s="637"/>
      <c r="G112" s="121" t="s">
        <v>395</v>
      </c>
      <c r="H112" s="621">
        <f>HLOOKUP($G112,cfc,DATA!$A$1+1,FALSE)</f>
        <v>4</v>
      </c>
      <c r="I112" s="621"/>
      <c r="J112" s="621">
        <f>HLOOKUP($G112,cfc,DATA!B$1+1,FALSE)</f>
        <v>2</v>
      </c>
      <c r="K112" s="621"/>
      <c r="L112" s="622">
        <f>DATA!FX75</f>
        <v>586</v>
      </c>
      <c r="M112" s="623"/>
      <c r="N112" s="668">
        <f>DATA!FX77</f>
        <v>76090</v>
      </c>
      <c r="O112" s="669"/>
      <c r="P112" s="9"/>
      <c r="Q112" s="17"/>
      <c r="R112" s="17"/>
      <c r="S112" s="162"/>
      <c r="T112" s="162"/>
      <c r="U112" s="10"/>
      <c r="V112" s="10"/>
      <c r="W112" s="10"/>
      <c r="X112" s="10"/>
      <c r="Y112" s="10"/>
      <c r="Z112" s="10"/>
      <c r="AA112" s="10"/>
      <c r="AB112" s="16"/>
      <c r="AC112" s="16"/>
      <c r="AD112" s="16"/>
      <c r="AE112" s="16"/>
      <c r="AF112" s="16"/>
      <c r="AG112" s="16"/>
      <c r="AH112" s="16"/>
    </row>
    <row r="113" spans="1:34" s="23" customFormat="1" ht="20.399999999999999" customHeight="1" x14ac:dyDescent="0.25">
      <c r="A113" s="1127" t="s">
        <v>709</v>
      </c>
      <c r="B113" s="1128"/>
      <c r="C113" s="1128"/>
      <c r="D113" s="1128"/>
      <c r="E113" s="1128"/>
      <c r="F113" s="1128"/>
      <c r="G113" s="1128"/>
      <c r="H113" s="1128"/>
      <c r="I113" s="1128"/>
      <c r="J113" s="1128"/>
      <c r="K113" s="1128"/>
      <c r="L113" s="1128"/>
      <c r="M113" s="1128"/>
      <c r="N113" s="1129"/>
      <c r="O113" s="1130"/>
      <c r="P113" s="52"/>
      <c r="Q113" s="21"/>
      <c r="R113" s="21"/>
      <c r="S113" s="22"/>
      <c r="T113" s="22"/>
      <c r="U113" s="56"/>
      <c r="V113" s="56"/>
      <c r="W113" s="56"/>
      <c r="X113" s="56"/>
      <c r="Y113" s="56"/>
      <c r="Z113" s="56"/>
      <c r="AA113" s="56"/>
      <c r="AB113" s="57"/>
      <c r="AC113" s="57"/>
      <c r="AD113" s="57"/>
      <c r="AE113" s="57"/>
      <c r="AF113" s="57"/>
      <c r="AG113" s="57"/>
      <c r="AH113" s="57"/>
    </row>
    <row r="114" spans="1:34" ht="27.6" customHeight="1" x14ac:dyDescent="0.25">
      <c r="A114" s="1226" t="s">
        <v>581</v>
      </c>
      <c r="B114" s="1227"/>
      <c r="C114" s="1228"/>
      <c r="D114" s="1112" t="str">
        <f>$D$71</f>
        <v>Kingston Buci</v>
      </c>
      <c r="E114" s="1113"/>
      <c r="F114" s="1141"/>
      <c r="G114" s="1059" t="str">
        <f>$J$71</f>
        <v>Stepping Stones</v>
      </c>
      <c r="H114" s="1060"/>
      <c r="I114" s="1061"/>
      <c r="J114" s="1045" t="s">
        <v>103</v>
      </c>
      <c r="K114" s="1046"/>
      <c r="L114" s="1139" t="s">
        <v>104</v>
      </c>
      <c r="M114" s="1140"/>
      <c r="N114" s="1047" t="s">
        <v>105</v>
      </c>
      <c r="O114" s="1048"/>
      <c r="S114" s="61"/>
      <c r="T114" s="61"/>
    </row>
    <row r="115" spans="1:34" ht="15.6" customHeight="1" x14ac:dyDescent="0.25">
      <c r="A115" s="1229"/>
      <c r="B115" s="1230"/>
      <c r="C115" s="1231"/>
      <c r="D115" s="1112" t="s">
        <v>210</v>
      </c>
      <c r="E115" s="1141"/>
      <c r="F115" s="263" t="s">
        <v>110</v>
      </c>
      <c r="G115" s="1059" t="s">
        <v>210</v>
      </c>
      <c r="H115" s="1061"/>
      <c r="I115" s="264" t="s">
        <v>110</v>
      </c>
      <c r="J115" s="1308" t="s">
        <v>111</v>
      </c>
      <c r="K115" s="1309"/>
      <c r="L115" s="1309"/>
      <c r="M115" s="1309"/>
      <c r="N115" s="1309"/>
      <c r="O115" s="1310"/>
      <c r="S115" s="61"/>
      <c r="T115" s="61"/>
    </row>
    <row r="116" spans="1:34" ht="22.2" customHeight="1" x14ac:dyDescent="0.25">
      <c r="A116" s="1142" t="s">
        <v>695</v>
      </c>
      <c r="B116" s="1143"/>
      <c r="C116" s="1144"/>
      <c r="D116" s="1262">
        <f>HLOOKUP(A116,cfc,DATA!A1+1,FALSE)</f>
        <v>1660</v>
      </c>
      <c r="E116" s="1263"/>
      <c r="F116" s="265">
        <v>1</v>
      </c>
      <c r="G116" s="1262">
        <f>HLOOKUP(A116,cfc,DATA!B$1+1,FALSE)</f>
        <v>1550</v>
      </c>
      <c r="H116" s="1263"/>
      <c r="I116" s="265">
        <v>1</v>
      </c>
      <c r="J116" s="1311"/>
      <c r="K116" s="1312"/>
      <c r="L116" s="1312"/>
      <c r="M116" s="1312"/>
      <c r="N116" s="1313"/>
      <c r="O116" s="1314"/>
      <c r="S116" s="61"/>
      <c r="T116" s="61"/>
    </row>
    <row r="117" spans="1:34" ht="17.399999999999999" customHeight="1" x14ac:dyDescent="0.25">
      <c r="A117" s="1247" t="s">
        <v>197</v>
      </c>
      <c r="B117" s="1248"/>
      <c r="C117" s="1249"/>
      <c r="D117" s="467">
        <f>HLOOKUP($A117,cfc,DATA!A$1+1,FALSE)</f>
        <v>0.59975889089813139</v>
      </c>
      <c r="E117" s="468"/>
      <c r="F117" s="469"/>
      <c r="G117" s="467">
        <f>HLOOKUP($A117,cfc,DATA!B$1+1,FALSE)</f>
        <v>0.59199483537766295</v>
      </c>
      <c r="H117" s="468"/>
      <c r="I117" s="469"/>
      <c r="J117" s="467">
        <v>0.622</v>
      </c>
      <c r="K117" s="468"/>
      <c r="L117" s="467">
        <v>0.60099999999999998</v>
      </c>
      <c r="M117" s="468"/>
      <c r="N117" s="467">
        <v>0.55200000000000005</v>
      </c>
      <c r="O117" s="469"/>
      <c r="P117" s="62"/>
      <c r="S117" s="61"/>
      <c r="T117" s="61"/>
    </row>
    <row r="118" spans="1:34" ht="17.399999999999999" customHeight="1" x14ac:dyDescent="0.25">
      <c r="A118" s="1247" t="s">
        <v>54</v>
      </c>
      <c r="B118" s="1248"/>
      <c r="C118" s="1249"/>
      <c r="D118" s="467">
        <f>HLOOKUP($A118,cfc,DATA!A$1+1,FALSE)</f>
        <v>0.20253164556962025</v>
      </c>
      <c r="E118" s="468"/>
      <c r="F118" s="469"/>
      <c r="G118" s="467">
        <f>HLOOKUP($A118,cfc,DATA!B$1+1,FALSE)</f>
        <v>0.20787604906391219</v>
      </c>
      <c r="H118" s="468"/>
      <c r="I118" s="469"/>
      <c r="J118" s="467">
        <v>0.17299999999999999</v>
      </c>
      <c r="K118" s="468"/>
      <c r="L118" s="467">
        <v>0.17199999999999999</v>
      </c>
      <c r="M118" s="468"/>
      <c r="N118" s="467">
        <v>0.214</v>
      </c>
      <c r="O118" s="469"/>
      <c r="P118" s="62"/>
      <c r="S118" s="61"/>
      <c r="T118" s="61"/>
    </row>
    <row r="119" spans="1:34" ht="17.399999999999999" customHeight="1" x14ac:dyDescent="0.25">
      <c r="A119" s="1247" t="s">
        <v>698</v>
      </c>
      <c r="B119" s="1248"/>
      <c r="C119" s="1249"/>
      <c r="D119" s="467">
        <f>HLOOKUP($A119,cfc,DATA!A$1+1,FALSE)</f>
        <v>0.19770946353224833</v>
      </c>
      <c r="E119" s="468"/>
      <c r="F119" s="469"/>
      <c r="G119" s="467">
        <f>HLOOKUP($A119,cfc,DATA!B$1+1,FALSE)</f>
        <v>0.2001291155584248</v>
      </c>
      <c r="H119" s="468"/>
      <c r="I119" s="469"/>
      <c r="J119" s="467">
        <v>0.20499999999999999</v>
      </c>
      <c r="K119" s="468"/>
      <c r="L119" s="467">
        <v>0.22600000000000001</v>
      </c>
      <c r="M119" s="468"/>
      <c r="N119" s="467">
        <v>0.23200000000000001</v>
      </c>
      <c r="O119" s="469"/>
      <c r="P119" s="62"/>
      <c r="S119" s="61"/>
      <c r="T119" s="61"/>
    </row>
    <row r="120" spans="1:34" ht="21" customHeight="1" x14ac:dyDescent="0.25">
      <c r="A120" s="1270" t="s">
        <v>710</v>
      </c>
      <c r="B120" s="1271"/>
      <c r="C120" s="1271"/>
      <c r="D120" s="1271"/>
      <c r="E120" s="1271"/>
      <c r="F120" s="1271"/>
      <c r="G120" s="1271"/>
      <c r="H120" s="1271"/>
      <c r="I120" s="1271"/>
      <c r="J120" s="1271"/>
      <c r="K120" s="1271"/>
      <c r="L120" s="1271"/>
      <c r="M120" s="1271"/>
      <c r="N120" s="1271"/>
      <c r="O120" s="1272"/>
      <c r="S120" s="61"/>
      <c r="T120" s="61"/>
    </row>
    <row r="121" spans="1:34" ht="23.25" customHeight="1" x14ac:dyDescent="0.25">
      <c r="A121" s="1204" t="str">
        <f>D114</f>
        <v>Kingston Buci</v>
      </c>
      <c r="B121" s="1205"/>
      <c r="C121" s="1205"/>
      <c r="D121" s="1205"/>
      <c r="E121" s="1206"/>
      <c r="F121" s="13"/>
      <c r="G121" s="12"/>
      <c r="H121" s="12"/>
      <c r="I121" s="13"/>
      <c r="J121" s="1223" t="str">
        <f>J114</f>
        <v>West Sussex</v>
      </c>
      <c r="K121" s="1224"/>
      <c r="L121" s="1224"/>
      <c r="M121" s="1224"/>
      <c r="N121" s="1224"/>
      <c r="O121" s="1225"/>
      <c r="S121" s="61"/>
      <c r="T121" s="61"/>
    </row>
    <row r="122" spans="1:34" ht="23.25" customHeight="1" x14ac:dyDescent="0.25">
      <c r="A122" s="266"/>
      <c r="B122" s="267"/>
      <c r="C122" s="267"/>
      <c r="D122" s="267"/>
      <c r="E122" s="268"/>
      <c r="F122" s="269"/>
      <c r="G122" s="268"/>
      <c r="H122" s="268"/>
      <c r="I122" s="269"/>
      <c r="J122" s="270"/>
      <c r="K122" s="270"/>
      <c r="L122" s="271"/>
      <c r="M122" s="271"/>
      <c r="N122" s="271"/>
      <c r="O122" s="272"/>
      <c r="S122" s="61"/>
      <c r="T122" s="61"/>
    </row>
    <row r="123" spans="1:34" ht="64.8" customHeight="1" x14ac:dyDescent="0.25">
      <c r="A123" s="273"/>
      <c r="B123" s="274"/>
      <c r="C123" s="274"/>
      <c r="D123" s="268"/>
      <c r="E123" s="268"/>
      <c r="F123" s="269"/>
      <c r="G123" s="163"/>
      <c r="H123" s="268"/>
      <c r="I123" s="269"/>
      <c r="J123" s="270"/>
      <c r="K123" s="270"/>
      <c r="L123" s="270"/>
      <c r="M123" s="270"/>
      <c r="N123" s="270"/>
      <c r="O123" s="275"/>
      <c r="S123" s="61"/>
      <c r="T123" s="61"/>
    </row>
    <row r="124" spans="1:34" ht="50.4" customHeight="1" x14ac:dyDescent="0.25">
      <c r="A124" s="273"/>
      <c r="B124" s="274"/>
      <c r="C124" s="274"/>
      <c r="D124" s="268"/>
      <c r="E124" s="268"/>
      <c r="F124" s="269"/>
      <c r="G124" s="276"/>
      <c r="H124" s="268"/>
      <c r="I124" s="269"/>
      <c r="J124" s="270"/>
      <c r="K124" s="270"/>
      <c r="L124" s="270"/>
      <c r="M124" s="270"/>
      <c r="N124" s="270"/>
      <c r="O124" s="275"/>
      <c r="S124" s="61"/>
      <c r="T124" s="61"/>
    </row>
    <row r="125" spans="1:34" ht="24.9" customHeight="1" x14ac:dyDescent="0.25">
      <c r="A125" s="1145"/>
      <c r="B125" s="1146"/>
      <c r="C125" s="1146"/>
      <c r="D125" s="1147"/>
      <c r="E125" s="277"/>
      <c r="F125" s="277"/>
      <c r="G125" s="278"/>
      <c r="H125" s="279" t="s">
        <v>30</v>
      </c>
      <c r="I125" s="277"/>
      <c r="J125" s="280"/>
      <c r="K125" s="280"/>
      <c r="L125" s="277"/>
      <c r="M125" s="277"/>
      <c r="N125" s="277"/>
      <c r="O125" s="281"/>
      <c r="S125" s="61"/>
      <c r="T125" s="61"/>
    </row>
    <row r="126" spans="1:34" ht="24.6" customHeight="1" x14ac:dyDescent="0.25">
      <c r="A126" s="1232"/>
      <c r="B126" s="1233"/>
      <c r="C126" s="1233"/>
      <c r="D126" s="1234"/>
      <c r="E126" s="268"/>
      <c r="F126" s="269"/>
      <c r="G126" s="282"/>
      <c r="H126" s="279" t="s">
        <v>109</v>
      </c>
      <c r="I126" s="277"/>
      <c r="J126" s="277"/>
      <c r="K126" s="283"/>
      <c r="L126" s="270"/>
      <c r="M126" s="270"/>
      <c r="N126" s="270"/>
      <c r="O126" s="275"/>
      <c r="S126" s="61"/>
      <c r="T126" s="61"/>
    </row>
    <row r="127" spans="1:34" ht="24.9" customHeight="1" x14ac:dyDescent="0.25">
      <c r="A127" s="1235"/>
      <c r="B127" s="1236"/>
      <c r="C127" s="1236"/>
      <c r="D127" s="1237"/>
      <c r="E127" s="268"/>
      <c r="F127" s="269"/>
      <c r="G127" s="284"/>
      <c r="H127" s="279" t="s">
        <v>699</v>
      </c>
      <c r="I127" s="277"/>
      <c r="J127" s="277"/>
      <c r="K127" s="283"/>
      <c r="L127" s="270"/>
      <c r="M127" s="270"/>
      <c r="N127" s="270"/>
      <c r="O127" s="275"/>
      <c r="S127" s="61"/>
      <c r="T127" s="61"/>
    </row>
    <row r="128" spans="1:34" ht="12" customHeight="1" x14ac:dyDescent="0.25">
      <c r="A128" s="1235"/>
      <c r="B128" s="1236"/>
      <c r="C128" s="1236"/>
      <c r="D128" s="1237"/>
      <c r="E128" s="268"/>
      <c r="F128" s="269"/>
      <c r="G128" s="269"/>
      <c r="H128" s="285"/>
      <c r="I128" s="277"/>
      <c r="J128" s="277"/>
      <c r="K128" s="283"/>
      <c r="L128" s="270"/>
      <c r="M128" s="270"/>
      <c r="N128" s="270"/>
      <c r="O128" s="275"/>
      <c r="S128" s="61"/>
      <c r="T128" s="61"/>
    </row>
    <row r="129" spans="1:34" ht="8.4" customHeight="1" x14ac:dyDescent="0.25">
      <c r="A129" s="1238"/>
      <c r="B129" s="1239"/>
      <c r="C129" s="1239"/>
      <c r="D129" s="1240"/>
      <c r="E129" s="286"/>
      <c r="F129" s="287"/>
      <c r="G129" s="287"/>
      <c r="H129" s="288"/>
      <c r="I129" s="288"/>
      <c r="J129" s="288"/>
      <c r="K129" s="289"/>
      <c r="L129" s="290"/>
      <c r="M129" s="290"/>
      <c r="N129" s="290"/>
      <c r="O129" s="291"/>
      <c r="S129" s="61"/>
      <c r="T129" s="61"/>
    </row>
    <row r="130" spans="1:34" s="20" customFormat="1" ht="17.399999999999999" customHeight="1" x14ac:dyDescent="0.25">
      <c r="A130" s="1196" t="s">
        <v>13</v>
      </c>
      <c r="B130" s="1197"/>
      <c r="C130" s="1197"/>
      <c r="D130" s="1197"/>
      <c r="E130" s="1197"/>
      <c r="F130" s="1197"/>
      <c r="G130" s="1197"/>
      <c r="H130" s="1197"/>
      <c r="I130" s="1197"/>
      <c r="J130" s="1197"/>
      <c r="K130" s="1197"/>
      <c r="L130" s="1197"/>
      <c r="M130" s="1197"/>
      <c r="N130" s="503" t="s">
        <v>600</v>
      </c>
      <c r="O130" s="504"/>
      <c r="P130" s="9"/>
      <c r="Q130" s="19"/>
      <c r="R130" s="19"/>
      <c r="S130" s="41"/>
      <c r="T130" s="41"/>
      <c r="U130" s="10"/>
      <c r="V130" s="10"/>
      <c r="W130" s="10"/>
      <c r="X130" s="10"/>
      <c r="Y130" s="10"/>
      <c r="Z130" s="10"/>
      <c r="AA130" s="10"/>
      <c r="AB130" s="16"/>
      <c r="AC130" s="16"/>
      <c r="AD130" s="16"/>
      <c r="AE130" s="16"/>
      <c r="AF130" s="16"/>
      <c r="AG130" s="16"/>
      <c r="AH130" s="16"/>
    </row>
    <row r="131" spans="1:34" ht="31.8" customHeight="1" x14ac:dyDescent="0.25">
      <c r="A131" s="1276" t="s">
        <v>10</v>
      </c>
      <c r="B131" s="1277"/>
      <c r="C131" s="1277"/>
      <c r="D131" s="1277"/>
      <c r="E131" s="1277"/>
      <c r="F131" s="1277"/>
      <c r="G131" s="1277"/>
      <c r="H131" s="1277"/>
      <c r="I131" s="1277"/>
      <c r="J131" s="1277"/>
      <c r="K131" s="1277"/>
      <c r="L131" s="1277"/>
      <c r="M131" s="1277"/>
      <c r="N131" s="1009"/>
      <c r="O131" s="1010"/>
      <c r="S131" s="61"/>
      <c r="T131" s="61"/>
    </row>
    <row r="132" spans="1:34" s="20" customFormat="1" ht="20.25" customHeight="1" x14ac:dyDescent="0.25">
      <c r="A132" s="937" t="s">
        <v>1</v>
      </c>
      <c r="B132" s="937"/>
      <c r="C132" s="937"/>
      <c r="D132" s="937"/>
      <c r="E132" s="937"/>
      <c r="F132" s="937"/>
      <c r="G132" s="937"/>
      <c r="H132" s="937"/>
      <c r="I132" s="937"/>
      <c r="J132" s="937"/>
      <c r="K132" s="937"/>
      <c r="L132" s="937"/>
      <c r="M132" s="937"/>
      <c r="N132" s="937"/>
      <c r="O132" s="937"/>
      <c r="P132" s="9"/>
      <c r="Q132" s="19"/>
      <c r="R132" s="19"/>
      <c r="S132" s="41"/>
      <c r="T132" s="41"/>
      <c r="U132" s="10"/>
      <c r="V132" s="10"/>
      <c r="W132" s="10"/>
      <c r="X132" s="10"/>
      <c r="Y132" s="10"/>
      <c r="Z132" s="10"/>
      <c r="AA132" s="10"/>
      <c r="AB132" s="16"/>
      <c r="AC132" s="16"/>
      <c r="AD132" s="16"/>
      <c r="AE132" s="16"/>
      <c r="AF132" s="16"/>
      <c r="AG132" s="16"/>
      <c r="AH132" s="16"/>
    </row>
    <row r="133" spans="1:34" ht="19.8" customHeight="1" x14ac:dyDescent="0.25">
      <c r="A133" s="1286" t="s">
        <v>304</v>
      </c>
      <c r="B133" s="1133"/>
      <c r="C133" s="1273" t="s">
        <v>29</v>
      </c>
      <c r="D133" s="1274"/>
      <c r="E133" s="1274"/>
      <c r="F133" s="1274"/>
      <c r="G133" s="1274"/>
      <c r="H133" s="1274"/>
      <c r="I133" s="1274"/>
      <c r="J133" s="1274"/>
      <c r="K133" s="1274"/>
      <c r="L133" s="1274"/>
      <c r="M133" s="1274"/>
      <c r="N133" s="1274"/>
      <c r="O133" s="1275"/>
      <c r="S133" s="61"/>
      <c r="T133" s="61"/>
    </row>
    <row r="134" spans="1:34" ht="33.6" customHeight="1" x14ac:dyDescent="0.25">
      <c r="A134" s="1287"/>
      <c r="B134" s="1288"/>
      <c r="C134" s="1241" t="s">
        <v>711</v>
      </c>
      <c r="D134" s="1242"/>
      <c r="E134" s="1242"/>
      <c r="F134" s="1242"/>
      <c r="G134" s="1242"/>
      <c r="H134" s="1242"/>
      <c r="I134" s="1242"/>
      <c r="J134" s="1242"/>
      <c r="K134" s="1242"/>
      <c r="L134" s="1242"/>
      <c r="M134" s="1242"/>
      <c r="N134" s="1242"/>
      <c r="O134" s="1243"/>
      <c r="S134" s="61"/>
      <c r="T134" s="61"/>
    </row>
    <row r="135" spans="1:34" ht="34.5" customHeight="1" x14ac:dyDescent="0.25">
      <c r="A135" s="1214" t="s">
        <v>582</v>
      </c>
      <c r="B135" s="1214"/>
      <c r="C135" s="1214"/>
      <c r="D135" s="1215"/>
      <c r="E135" s="1215"/>
      <c r="F135" s="1216"/>
      <c r="G135" s="1216"/>
      <c r="H135" s="1216"/>
      <c r="I135" s="1142"/>
      <c r="J135" s="1012" t="str">
        <f>$D$71</f>
        <v>Kingston Buci</v>
      </c>
      <c r="K135" s="1012"/>
      <c r="L135" s="473" t="str">
        <f>$J$71</f>
        <v>Stepping Stones</v>
      </c>
      <c r="M135" s="473"/>
      <c r="N135" s="1020" t="s">
        <v>103</v>
      </c>
      <c r="O135" s="1020"/>
      <c r="S135" s="61"/>
      <c r="T135" s="61"/>
    </row>
    <row r="136" spans="1:34" ht="18.75" customHeight="1" x14ac:dyDescent="0.25">
      <c r="A136" s="1137"/>
      <c r="B136" s="1125"/>
      <c r="C136" s="1125" t="s">
        <v>301</v>
      </c>
      <c r="D136" s="464"/>
      <c r="E136" s="464"/>
      <c r="F136" s="464"/>
      <c r="G136" s="464"/>
      <c r="H136" s="464"/>
      <c r="I136" s="1126"/>
      <c r="J136" s="470">
        <f>HLOOKUP(C136,cfc,DATA!A1+1,FALSE)</f>
        <v>150</v>
      </c>
      <c r="K136" s="470"/>
      <c r="L136" s="470">
        <f>HLOOKUP(C136,cfc,DATA!B$1+1,FALSE)</f>
        <v>109</v>
      </c>
      <c r="M136" s="470"/>
      <c r="N136" s="470">
        <f>DATA!AQ$75</f>
        <v>8927</v>
      </c>
      <c r="O136" s="470"/>
      <c r="S136" s="61"/>
      <c r="T136" s="61"/>
    </row>
    <row r="137" spans="1:34" ht="18.75" customHeight="1" x14ac:dyDescent="0.25">
      <c r="A137" s="1137"/>
      <c r="B137" s="1125"/>
      <c r="C137" s="1125" t="s">
        <v>302</v>
      </c>
      <c r="D137" s="464"/>
      <c r="E137" s="464"/>
      <c r="F137" s="464"/>
      <c r="G137" s="464"/>
      <c r="H137" s="464"/>
      <c r="I137" s="1126"/>
      <c r="J137" s="470">
        <f>HLOOKUP(C137,cfc,DATA!A1+1,FALSE)</f>
        <v>168</v>
      </c>
      <c r="K137" s="470"/>
      <c r="L137" s="470">
        <f>HLOOKUP(C137,cfc,DATA!B$1+1,FALSE)</f>
        <v>125</v>
      </c>
      <c r="M137" s="470"/>
      <c r="N137" s="470">
        <f>DATA!AR$75</f>
        <v>9024</v>
      </c>
      <c r="O137" s="470"/>
      <c r="S137" s="61"/>
      <c r="T137" s="61"/>
    </row>
    <row r="138" spans="1:34" ht="18.75" customHeight="1" x14ac:dyDescent="0.25">
      <c r="A138" s="1137"/>
      <c r="B138" s="1125"/>
      <c r="C138" s="1125" t="s">
        <v>235</v>
      </c>
      <c r="D138" s="464"/>
      <c r="E138" s="464"/>
      <c r="F138" s="464"/>
      <c r="G138" s="464"/>
      <c r="H138" s="464"/>
      <c r="I138" s="1126"/>
      <c r="J138" s="470">
        <f>HLOOKUP(C138,cfc,DATA!A1+1,FALSE)</f>
        <v>169</v>
      </c>
      <c r="K138" s="470"/>
      <c r="L138" s="470">
        <f>HLOOKUP(C138,cfc,DATA!B$1+1,FALSE)</f>
        <v>107</v>
      </c>
      <c r="M138" s="470"/>
      <c r="N138" s="470">
        <f>DATA!AS$75</f>
        <v>9198</v>
      </c>
      <c r="O138" s="470"/>
      <c r="S138" s="61"/>
      <c r="T138" s="61"/>
    </row>
    <row r="139" spans="1:34" ht="18.75" customHeight="1" x14ac:dyDescent="0.25">
      <c r="A139" s="1137"/>
      <c r="B139" s="1125"/>
      <c r="C139" s="1125" t="s">
        <v>350</v>
      </c>
      <c r="D139" s="464"/>
      <c r="E139" s="464"/>
      <c r="F139" s="464"/>
      <c r="G139" s="464"/>
      <c r="H139" s="464"/>
      <c r="I139" s="1126"/>
      <c r="J139" s="470">
        <f>HLOOKUP(C139,cfc,DATA!A1+1,FALSE)</f>
        <v>178</v>
      </c>
      <c r="K139" s="470"/>
      <c r="L139" s="470">
        <f>HLOOKUP(C139,cfc,DATA!B$1+1,FALSE)</f>
        <v>138</v>
      </c>
      <c r="M139" s="470"/>
      <c r="N139" s="470">
        <f>DATA!AT$75</f>
        <v>9207</v>
      </c>
      <c r="O139" s="470"/>
      <c r="P139" s="1841"/>
      <c r="S139" s="61"/>
      <c r="T139" s="61"/>
    </row>
    <row r="140" spans="1:34" ht="18.75" customHeight="1" x14ac:dyDescent="0.25">
      <c r="A140" s="1137"/>
      <c r="B140" s="1125"/>
      <c r="C140" s="1125" t="s">
        <v>656</v>
      </c>
      <c r="D140" s="464"/>
      <c r="E140" s="464"/>
      <c r="F140" s="464"/>
      <c r="G140" s="464"/>
      <c r="H140" s="464"/>
      <c r="I140" s="1126"/>
      <c r="J140" s="470">
        <f>HLOOKUP(C140,cfc,DATA!A1+1,FALSE)</f>
        <v>202</v>
      </c>
      <c r="K140" s="470"/>
      <c r="L140" s="470">
        <f>HLOOKUP(C140,cfc,DATA!B$1+1,FALSE)</f>
        <v>115</v>
      </c>
      <c r="M140" s="470"/>
      <c r="N140" s="470">
        <v>8603</v>
      </c>
      <c r="O140" s="470"/>
      <c r="P140" s="1841"/>
      <c r="S140" s="61"/>
      <c r="T140" s="61"/>
    </row>
    <row r="141" spans="1:34" s="20" customFormat="1" ht="21.75" customHeight="1" x14ac:dyDescent="0.25">
      <c r="A141" s="475" t="s">
        <v>213</v>
      </c>
      <c r="B141" s="476"/>
      <c r="C141" s="476"/>
      <c r="D141" s="476"/>
      <c r="E141" s="476"/>
      <c r="F141" s="476"/>
      <c r="G141" s="476"/>
      <c r="H141" s="476"/>
      <c r="I141" s="476"/>
      <c r="J141" s="476"/>
      <c r="K141" s="476"/>
      <c r="L141" s="476"/>
      <c r="M141" s="476"/>
      <c r="N141" s="476"/>
      <c r="O141" s="477"/>
      <c r="P141" s="9"/>
      <c r="Q141" s="19"/>
      <c r="R141" s="19"/>
      <c r="S141" s="41"/>
      <c r="T141" s="41"/>
      <c r="U141" s="10"/>
      <c r="V141" s="10"/>
      <c r="W141" s="10"/>
      <c r="X141" s="10"/>
      <c r="Y141" s="10"/>
      <c r="Z141" s="10"/>
      <c r="AA141" s="10"/>
      <c r="AB141" s="16"/>
      <c r="AC141" s="16"/>
      <c r="AD141" s="16"/>
      <c r="AE141" s="16"/>
      <c r="AF141" s="16"/>
      <c r="AG141" s="16"/>
      <c r="AH141" s="16"/>
    </row>
    <row r="142" spans="1:34" ht="37.200000000000003" customHeight="1" x14ac:dyDescent="0.25">
      <c r="A142" s="1132" t="s">
        <v>304</v>
      </c>
      <c r="B142" s="1133"/>
      <c r="C142" s="1276" t="s">
        <v>730</v>
      </c>
      <c r="D142" s="1277"/>
      <c r="E142" s="1277"/>
      <c r="F142" s="1277"/>
      <c r="G142" s="1277"/>
      <c r="H142" s="1277"/>
      <c r="I142" s="1277"/>
      <c r="J142" s="1277"/>
      <c r="K142" s="1277"/>
      <c r="L142" s="1277"/>
      <c r="M142" s="1277"/>
      <c r="N142" s="1277"/>
      <c r="O142" s="1278"/>
      <c r="S142" s="61"/>
      <c r="T142" s="61"/>
    </row>
    <row r="143" spans="1:34" ht="34.5" customHeight="1" x14ac:dyDescent="0.25">
      <c r="A143" s="1214" t="s">
        <v>582</v>
      </c>
      <c r="B143" s="1214"/>
      <c r="C143" s="1214"/>
      <c r="D143" s="1215"/>
      <c r="E143" s="1215"/>
      <c r="F143" s="1216"/>
      <c r="G143" s="1216"/>
      <c r="H143" s="1216"/>
      <c r="I143" s="1142"/>
      <c r="J143" s="1012" t="str">
        <f>$D$71</f>
        <v>Kingston Buci</v>
      </c>
      <c r="K143" s="1012"/>
      <c r="L143" s="473" t="str">
        <f>$J$71</f>
        <v>Stepping Stones</v>
      </c>
      <c r="M143" s="473"/>
      <c r="N143" s="1020" t="s">
        <v>103</v>
      </c>
      <c r="O143" s="1020"/>
      <c r="S143" s="61"/>
      <c r="T143" s="61"/>
    </row>
    <row r="144" spans="1:34" ht="19.5" customHeight="1" x14ac:dyDescent="0.25">
      <c r="A144" s="463"/>
      <c r="B144" s="464"/>
      <c r="C144" s="1138" t="s">
        <v>207</v>
      </c>
      <c r="D144" s="464"/>
      <c r="E144" s="464"/>
      <c r="F144" s="464"/>
      <c r="G144" s="464"/>
      <c r="H144" s="464"/>
      <c r="I144" s="1126"/>
      <c r="J144" s="470">
        <f>HLOOKUP(C144,cfc,DATA!A$1+1,FALSE)</f>
        <v>7</v>
      </c>
      <c r="K144" s="470"/>
      <c r="L144" s="470">
        <f>HLOOKUP(C144,cfc,DATA!B$1+1,FALSE)</f>
        <v>10</v>
      </c>
      <c r="M144" s="470"/>
      <c r="N144" s="470">
        <f>DATA!AV$75</f>
        <v>456</v>
      </c>
      <c r="O144" s="470"/>
      <c r="S144" s="61"/>
      <c r="T144" s="61"/>
    </row>
    <row r="145" spans="1:34" ht="19.5" customHeight="1" x14ac:dyDescent="0.25">
      <c r="A145" s="463"/>
      <c r="B145" s="464"/>
      <c r="C145" s="1138" t="s">
        <v>208</v>
      </c>
      <c r="D145" s="464"/>
      <c r="E145" s="464"/>
      <c r="F145" s="464"/>
      <c r="G145" s="464"/>
      <c r="H145" s="464"/>
      <c r="I145" s="1126"/>
      <c r="J145" s="470">
        <f>HLOOKUP(C145,cfc,DATA!A$1+1,FALSE)</f>
        <v>5</v>
      </c>
      <c r="K145" s="470"/>
      <c r="L145" s="470">
        <f>HLOOKUP(C145,cfc,DATA!B$1+1,FALSE)</f>
        <v>7</v>
      </c>
      <c r="M145" s="470"/>
      <c r="N145" s="470">
        <f>DATA!AW$75</f>
        <v>399</v>
      </c>
      <c r="O145" s="470"/>
      <c r="S145" s="61"/>
      <c r="T145" s="61"/>
    </row>
    <row r="146" spans="1:34" ht="19.5" customHeight="1" x14ac:dyDescent="0.25">
      <c r="A146" s="463"/>
      <c r="B146" s="464"/>
      <c r="C146" s="1138" t="s">
        <v>236</v>
      </c>
      <c r="D146" s="464"/>
      <c r="E146" s="464"/>
      <c r="F146" s="464"/>
      <c r="G146" s="464"/>
      <c r="H146" s="464"/>
      <c r="I146" s="1126"/>
      <c r="J146" s="470">
        <f>HLOOKUP(C146,cfc,DATA!A$1+1,FALSE)</f>
        <v>7</v>
      </c>
      <c r="K146" s="470"/>
      <c r="L146" s="470">
        <f>HLOOKUP(C146,cfc,DATA!B$1+1,FALSE)</f>
        <v>5</v>
      </c>
      <c r="M146" s="470"/>
      <c r="N146" s="470">
        <f>DATA!AX$75</f>
        <v>367</v>
      </c>
      <c r="O146" s="470"/>
      <c r="S146" s="61"/>
      <c r="T146" s="61"/>
    </row>
    <row r="147" spans="1:34" ht="19.5" customHeight="1" x14ac:dyDescent="0.25">
      <c r="A147" s="463"/>
      <c r="B147" s="464"/>
      <c r="C147" s="1138" t="s">
        <v>351</v>
      </c>
      <c r="D147" s="464"/>
      <c r="E147" s="464"/>
      <c r="F147" s="464"/>
      <c r="G147" s="464"/>
      <c r="H147" s="464"/>
      <c r="I147" s="1126"/>
      <c r="J147" s="470">
        <f>HLOOKUP(C147,cfc,DATA!A$1+1,FALSE)</f>
        <v>4</v>
      </c>
      <c r="K147" s="470"/>
      <c r="L147" s="470">
        <f>HLOOKUP(C147,cfc,DATA!B$1+1,FALSE)</f>
        <v>7</v>
      </c>
      <c r="M147" s="470"/>
      <c r="N147" s="470">
        <f>DATA!AY$75</f>
        <v>345</v>
      </c>
      <c r="O147" s="470"/>
      <c r="S147" s="61"/>
      <c r="T147" s="61"/>
    </row>
    <row r="148" spans="1:34" ht="19.5" customHeight="1" x14ac:dyDescent="0.25">
      <c r="A148" s="463"/>
      <c r="B148" s="464"/>
      <c r="C148" s="1138" t="s">
        <v>657</v>
      </c>
      <c r="D148" s="464"/>
      <c r="E148" s="464"/>
      <c r="F148" s="464"/>
      <c r="G148" s="464"/>
      <c r="H148" s="464"/>
      <c r="I148" s="1126"/>
      <c r="J148" s="470">
        <f>HLOOKUP(C148,cfc,DATA!A$1+1,FALSE)</f>
        <v>6</v>
      </c>
      <c r="K148" s="470"/>
      <c r="L148" s="470">
        <f>HLOOKUP(C148,cfc,DATA!B$1+1,FALSE)</f>
        <v>7</v>
      </c>
      <c r="M148" s="470"/>
      <c r="N148" s="470">
        <f>DATA!AZ$75</f>
        <v>331</v>
      </c>
      <c r="O148" s="470"/>
      <c r="S148" s="61"/>
      <c r="T148" s="61"/>
    </row>
    <row r="149" spans="1:34" ht="15" customHeight="1" x14ac:dyDescent="0.25">
      <c r="A149" s="1207" t="s">
        <v>163</v>
      </c>
      <c r="B149" s="1208"/>
      <c r="C149" s="1208"/>
      <c r="D149" s="1208"/>
      <c r="E149" s="1208"/>
      <c r="F149" s="1208"/>
      <c r="G149" s="1208"/>
      <c r="H149" s="1208"/>
      <c r="I149" s="1208"/>
      <c r="J149" s="1208"/>
      <c r="K149" s="1208"/>
      <c r="L149" s="1208"/>
      <c r="M149" s="1208"/>
      <c r="N149" s="1208"/>
      <c r="O149" s="1209"/>
      <c r="S149" s="61"/>
      <c r="T149" s="61"/>
    </row>
    <row r="150" spans="1:34" ht="31.2" customHeight="1" x14ac:dyDescent="0.3">
      <c r="A150" s="292"/>
      <c r="B150" s="293"/>
      <c r="C150" s="1811" t="str">
        <f>J143</f>
        <v>Kingston Buci</v>
      </c>
      <c r="D150" s="1812"/>
      <c r="E150" s="1813"/>
      <c r="F150" s="293"/>
      <c r="G150" s="293"/>
      <c r="H150" s="293"/>
      <c r="I150" s="293"/>
      <c r="J150" s="1814" t="str">
        <f>L143</f>
        <v>Stepping Stones</v>
      </c>
      <c r="K150" s="1812"/>
      <c r="L150" s="1812"/>
      <c r="M150" s="1815"/>
      <c r="N150" s="267"/>
      <c r="O150" s="294"/>
      <c r="S150" s="61"/>
      <c r="T150" s="61"/>
    </row>
    <row r="151" spans="1:34" ht="24.6" customHeight="1" x14ac:dyDescent="0.25">
      <c r="A151" s="295"/>
      <c r="B151" s="296"/>
      <c r="C151" s="297"/>
      <c r="D151" s="296"/>
      <c r="E151" s="296"/>
      <c r="F151" s="296"/>
      <c r="G151" s="296"/>
      <c r="H151" s="296"/>
      <c r="I151" s="277"/>
      <c r="J151" s="277" t="s">
        <v>162</v>
      </c>
      <c r="K151" s="277" t="s">
        <v>161</v>
      </c>
      <c r="L151" s="277"/>
      <c r="M151" s="277" t="s">
        <v>162</v>
      </c>
      <c r="N151" s="277" t="s">
        <v>161</v>
      </c>
      <c r="O151" s="294"/>
      <c r="S151" s="61"/>
      <c r="T151" s="61"/>
    </row>
    <row r="152" spans="1:34" ht="24.6" customHeight="1" x14ac:dyDescent="0.25">
      <c r="A152" s="295"/>
      <c r="B152" s="296"/>
      <c r="C152" s="298"/>
      <c r="D152" s="296"/>
      <c r="E152" s="299"/>
      <c r="F152" s="296"/>
      <c r="G152" s="296"/>
      <c r="H152" s="296"/>
      <c r="I152" s="300" t="s">
        <v>557</v>
      </c>
      <c r="J152" s="301">
        <f>J144</f>
        <v>7</v>
      </c>
      <c r="K152" s="302">
        <f>J136-J144</f>
        <v>143</v>
      </c>
      <c r="L152" s="300">
        <v>2008</v>
      </c>
      <c r="M152" s="301">
        <f>L144</f>
        <v>10</v>
      </c>
      <c r="N152" s="302">
        <f>L136-L144</f>
        <v>99</v>
      </c>
      <c r="O152" s="294"/>
      <c r="S152" s="61"/>
      <c r="T152" s="61"/>
    </row>
    <row r="153" spans="1:34" ht="24.6" customHeight="1" x14ac:dyDescent="0.25">
      <c r="A153" s="295"/>
      <c r="B153" s="296"/>
      <c r="C153" s="303"/>
      <c r="D153" s="296"/>
      <c r="E153" s="296"/>
      <c r="F153" s="296"/>
      <c r="G153" s="296"/>
      <c r="H153" s="296"/>
      <c r="I153" s="304" t="s">
        <v>237</v>
      </c>
      <c r="J153" s="301">
        <f>J145</f>
        <v>5</v>
      </c>
      <c r="K153" s="302">
        <f>J137-J145</f>
        <v>163</v>
      </c>
      <c r="L153" s="304">
        <v>2009</v>
      </c>
      <c r="M153" s="301">
        <f>L145</f>
        <v>7</v>
      </c>
      <c r="N153" s="302">
        <f>L137-L145</f>
        <v>118</v>
      </c>
      <c r="O153" s="294"/>
      <c r="S153" s="61"/>
      <c r="T153" s="61"/>
    </row>
    <row r="154" spans="1:34" ht="24.6" customHeight="1" x14ac:dyDescent="0.25">
      <c r="A154" s="295"/>
      <c r="B154" s="296"/>
      <c r="C154" s="298"/>
      <c r="D154" s="296"/>
      <c r="E154" s="299"/>
      <c r="F154" s="296"/>
      <c r="G154" s="296"/>
      <c r="H154" s="296"/>
      <c r="I154" s="304" t="s">
        <v>63</v>
      </c>
      <c r="J154" s="301">
        <f>J146</f>
        <v>7</v>
      </c>
      <c r="K154" s="302">
        <f>J138-J146</f>
        <v>162</v>
      </c>
      <c r="L154" s="304">
        <v>2010</v>
      </c>
      <c r="M154" s="301">
        <f>L146</f>
        <v>5</v>
      </c>
      <c r="N154" s="302">
        <f>L138-L146</f>
        <v>102</v>
      </c>
      <c r="O154" s="294"/>
      <c r="S154" s="61"/>
      <c r="T154" s="61"/>
    </row>
    <row r="155" spans="1:34" ht="19.5" customHeight="1" x14ac:dyDescent="0.25">
      <c r="A155" s="295"/>
      <c r="B155" s="296"/>
      <c r="C155" s="298"/>
      <c r="D155" s="296"/>
      <c r="E155" s="299"/>
      <c r="F155" s="296"/>
      <c r="G155" s="296"/>
      <c r="H155" s="296"/>
      <c r="I155" s="305">
        <v>2012</v>
      </c>
      <c r="J155" s="301">
        <f>J147</f>
        <v>4</v>
      </c>
      <c r="K155" s="302">
        <f>J139-J147</f>
        <v>174</v>
      </c>
      <c r="L155" s="305">
        <v>2011</v>
      </c>
      <c r="M155" s="301">
        <f>L147</f>
        <v>7</v>
      </c>
      <c r="N155" s="302">
        <f>L139-L147</f>
        <v>131</v>
      </c>
      <c r="O155" s="294"/>
      <c r="S155" s="61"/>
      <c r="T155" s="61"/>
    </row>
    <row r="156" spans="1:34" ht="7.2" customHeight="1" x14ac:dyDescent="0.25">
      <c r="A156" s="306"/>
      <c r="B156" s="307"/>
      <c r="C156" s="308"/>
      <c r="D156" s="307"/>
      <c r="E156" s="309"/>
      <c r="F156" s="307"/>
      <c r="G156" s="307"/>
      <c r="H156" s="307"/>
      <c r="I156" s="310"/>
      <c r="J156" s="311"/>
      <c r="K156" s="312"/>
      <c r="L156" s="310"/>
      <c r="M156" s="311"/>
      <c r="N156" s="312"/>
      <c r="O156" s="313"/>
      <c r="S156" s="61"/>
      <c r="T156" s="61"/>
    </row>
    <row r="157" spans="1:34" s="137" customFormat="1" ht="25.2" customHeight="1" x14ac:dyDescent="0.25">
      <c r="A157" s="475" t="s">
        <v>784</v>
      </c>
      <c r="B157" s="476"/>
      <c r="C157" s="476"/>
      <c r="D157" s="476"/>
      <c r="E157" s="476"/>
      <c r="F157" s="476"/>
      <c r="G157" s="476"/>
      <c r="H157" s="476"/>
      <c r="I157" s="476"/>
      <c r="J157" s="476"/>
      <c r="K157" s="476"/>
      <c r="L157" s="476"/>
      <c r="M157" s="476"/>
      <c r="N157" s="476"/>
      <c r="O157" s="477"/>
      <c r="P157" s="9"/>
      <c r="Q157" s="17"/>
      <c r="R157" s="17"/>
      <c r="S157" s="136"/>
      <c r="T157" s="136"/>
      <c r="U157" s="10"/>
      <c r="V157" s="10"/>
      <c r="W157" s="10"/>
      <c r="X157" s="10"/>
      <c r="Y157" s="10"/>
      <c r="Z157" s="10"/>
      <c r="AA157" s="10"/>
      <c r="AB157" s="16"/>
      <c r="AC157" s="16"/>
      <c r="AD157" s="16"/>
      <c r="AE157" s="16"/>
      <c r="AF157" s="16"/>
      <c r="AG157" s="16"/>
      <c r="AH157" s="16"/>
    </row>
    <row r="158" spans="1:34" s="137" customFormat="1" ht="70.8" customHeight="1" x14ac:dyDescent="0.25">
      <c r="A158" s="478" t="s">
        <v>787</v>
      </c>
      <c r="B158" s="479"/>
      <c r="C158" s="479"/>
      <c r="D158" s="479"/>
      <c r="E158" s="479"/>
      <c r="F158" s="479"/>
      <c r="G158" s="479"/>
      <c r="H158" s="479"/>
      <c r="I158" s="479"/>
      <c r="J158" s="479"/>
      <c r="K158" s="479"/>
      <c r="L158" s="479"/>
      <c r="M158" s="479"/>
      <c r="N158" s="479"/>
      <c r="O158" s="480"/>
      <c r="P158" s="9"/>
      <c r="Q158" s="17"/>
      <c r="R158" s="17"/>
      <c r="S158" s="136"/>
      <c r="T158" s="136"/>
      <c r="U158" s="10"/>
      <c r="V158" s="10"/>
      <c r="W158" s="10"/>
      <c r="X158" s="10"/>
      <c r="Y158" s="10"/>
      <c r="Z158" s="10"/>
      <c r="AA158" s="10"/>
      <c r="AB158" s="16"/>
      <c r="AC158" s="16"/>
      <c r="AD158" s="16"/>
      <c r="AE158" s="16"/>
      <c r="AF158" s="16"/>
      <c r="AG158" s="16"/>
      <c r="AH158" s="16"/>
    </row>
    <row r="159" spans="1:34" s="137" customFormat="1" ht="46.2" customHeight="1" x14ac:dyDescent="0.25">
      <c r="A159" s="1267" t="s">
        <v>785</v>
      </c>
      <c r="B159" s="1268"/>
      <c r="C159" s="1268"/>
      <c r="D159" s="1268"/>
      <c r="E159" s="1268"/>
      <c r="F159" s="1268"/>
      <c r="G159" s="1268"/>
      <c r="H159" s="1268"/>
      <c r="I159" s="1268"/>
      <c r="J159" s="1268"/>
      <c r="K159" s="1268"/>
      <c r="L159" s="1268"/>
      <c r="M159" s="1268"/>
      <c r="N159" s="1268"/>
      <c r="O159" s="1269"/>
      <c r="P159" s="9"/>
      <c r="Q159" s="17"/>
      <c r="R159" s="17"/>
      <c r="S159" s="136"/>
      <c r="T159" s="136"/>
      <c r="U159" s="10"/>
      <c r="V159" s="10"/>
      <c r="W159" s="10"/>
      <c r="X159" s="10"/>
      <c r="Y159" s="10"/>
      <c r="Z159" s="10"/>
      <c r="AA159" s="10"/>
      <c r="AB159" s="16"/>
      <c r="AC159" s="16"/>
      <c r="AD159" s="16"/>
      <c r="AE159" s="16"/>
      <c r="AF159" s="16"/>
      <c r="AG159" s="16"/>
      <c r="AH159" s="16"/>
    </row>
    <row r="160" spans="1:34" s="137" customFormat="1" ht="33.6" customHeight="1" x14ac:dyDescent="0.25">
      <c r="A160" s="1109"/>
      <c r="B160" s="1110"/>
      <c r="C160" s="1110"/>
      <c r="D160" s="1110"/>
      <c r="E160" s="1111"/>
      <c r="F160" s="1112" t="str">
        <f>$D$71</f>
        <v>Kingston Buci</v>
      </c>
      <c r="G160" s="1113"/>
      <c r="H160" s="1114"/>
      <c r="I160" s="1059" t="str">
        <f>$J$71</f>
        <v>Stepping Stones</v>
      </c>
      <c r="J160" s="1060"/>
      <c r="K160" s="1114"/>
      <c r="L160" s="1118"/>
      <c r="M160" s="1119"/>
      <c r="N160" s="1119"/>
      <c r="O160" s="1119"/>
      <c r="P160" s="9"/>
      <c r="Q160" s="17"/>
      <c r="R160" s="17"/>
      <c r="S160" s="136"/>
      <c r="T160" s="136"/>
      <c r="U160" s="10"/>
      <c r="V160" s="10"/>
      <c r="W160" s="10"/>
      <c r="X160" s="10"/>
      <c r="Y160" s="10"/>
      <c r="Z160" s="10"/>
      <c r="AA160" s="10"/>
      <c r="AB160" s="16"/>
      <c r="AC160" s="16"/>
      <c r="AD160" s="16"/>
      <c r="AE160" s="16"/>
      <c r="AF160" s="16"/>
      <c r="AG160" s="16"/>
      <c r="AH160" s="16"/>
    </row>
    <row r="161" spans="1:34" s="137" customFormat="1" ht="39.6" customHeight="1" x14ac:dyDescent="0.25">
      <c r="A161" s="1105" t="s">
        <v>786</v>
      </c>
      <c r="B161" s="1106"/>
      <c r="C161" s="1106"/>
      <c r="D161" s="1107"/>
      <c r="E161" s="1108"/>
      <c r="F161" s="1115">
        <f>HLOOKUP(A161,cfc,DATA!A$1+1,FALSE)</f>
        <v>9</v>
      </c>
      <c r="G161" s="1116"/>
      <c r="H161" s="1117"/>
      <c r="I161" s="1115">
        <f>HLOOKUP(A161,cfc,DATA!B$1+1,FALSE)</f>
        <v>15</v>
      </c>
      <c r="J161" s="1116"/>
      <c r="K161" s="1117"/>
      <c r="L161" s="1120"/>
      <c r="M161" s="1120"/>
      <c r="N161" s="1120"/>
      <c r="O161" s="1120"/>
      <c r="P161" s="9"/>
      <c r="Q161" s="17"/>
      <c r="R161" s="17"/>
      <c r="S161" s="136"/>
      <c r="T161" s="136"/>
      <c r="U161" s="10"/>
      <c r="V161" s="10"/>
      <c r="W161" s="10"/>
      <c r="X161" s="10"/>
      <c r="Y161" s="10"/>
      <c r="Z161" s="10"/>
      <c r="AA161" s="10"/>
      <c r="AB161" s="16"/>
      <c r="AC161" s="16"/>
      <c r="AD161" s="16"/>
      <c r="AE161" s="16"/>
      <c r="AF161" s="16"/>
      <c r="AG161" s="16"/>
      <c r="AH161" s="16"/>
    </row>
    <row r="162" spans="1:34" s="20" customFormat="1" ht="25.8" customHeight="1" x14ac:dyDescent="0.25">
      <c r="A162" s="937" t="s">
        <v>369</v>
      </c>
      <c r="B162" s="937"/>
      <c r="C162" s="937"/>
      <c r="D162" s="937"/>
      <c r="E162" s="937"/>
      <c r="F162" s="937"/>
      <c r="G162" s="937"/>
      <c r="H162" s="937"/>
      <c r="I162" s="937"/>
      <c r="J162" s="937"/>
      <c r="K162" s="937"/>
      <c r="L162" s="937"/>
      <c r="M162" s="937"/>
      <c r="N162" s="937"/>
      <c r="O162" s="937"/>
      <c r="P162" s="9"/>
      <c r="Q162" s="19"/>
      <c r="R162" s="19"/>
      <c r="S162" s="41"/>
      <c r="T162" s="41"/>
      <c r="U162" s="10"/>
      <c r="V162" s="10"/>
      <c r="W162" s="10"/>
      <c r="X162" s="10"/>
      <c r="Y162" s="10"/>
      <c r="Z162" s="10"/>
      <c r="AA162" s="10"/>
      <c r="AB162" s="16"/>
      <c r="AC162" s="16"/>
      <c r="AD162" s="16"/>
      <c r="AE162" s="16"/>
      <c r="AF162" s="16"/>
      <c r="AG162" s="16"/>
      <c r="AH162" s="16"/>
    </row>
    <row r="163" spans="1:34" ht="31.8" customHeight="1" x14ac:dyDescent="0.25">
      <c r="A163" s="1740" t="s">
        <v>304</v>
      </c>
      <c r="B163" s="938"/>
      <c r="C163" s="939" t="s">
        <v>789</v>
      </c>
      <c r="D163" s="940"/>
      <c r="E163" s="940"/>
      <c r="F163" s="940"/>
      <c r="G163" s="940"/>
      <c r="H163" s="940"/>
      <c r="I163" s="940"/>
      <c r="J163" s="940"/>
      <c r="K163" s="940"/>
      <c r="L163" s="940"/>
      <c r="M163" s="940"/>
      <c r="N163" s="940"/>
      <c r="O163" s="941"/>
      <c r="S163" s="61"/>
      <c r="T163" s="61"/>
    </row>
    <row r="164" spans="1:34" ht="51" customHeight="1" x14ac:dyDescent="0.25">
      <c r="A164" s="1741" t="s">
        <v>582</v>
      </c>
      <c r="B164" s="1742"/>
      <c r="C164" s="1743"/>
      <c r="D164" s="1199" t="str">
        <f>$D$71</f>
        <v>Kingston Buci</v>
      </c>
      <c r="E164" s="1199"/>
      <c r="F164" s="1124" t="str">
        <f>$J$71</f>
        <v>Stepping Stones</v>
      </c>
      <c r="G164" s="1124"/>
      <c r="H164" s="314"/>
      <c r="I164" s="314"/>
      <c r="J164" s="138"/>
      <c r="K164" s="139"/>
      <c r="L164" s="140"/>
      <c r="M164" s="138"/>
      <c r="N164" s="139"/>
      <c r="O164" s="141"/>
      <c r="S164" s="61"/>
      <c r="T164" s="61"/>
    </row>
    <row r="165" spans="1:34" ht="29.4" customHeight="1" x14ac:dyDescent="0.25">
      <c r="A165" s="1250" t="s">
        <v>525</v>
      </c>
      <c r="B165" s="1251"/>
      <c r="C165" s="1252"/>
      <c r="D165" s="1222">
        <f>HLOOKUP(A165,cfc,DATA!A$1+1,FALSE)</f>
        <v>16</v>
      </c>
      <c r="E165" s="1222"/>
      <c r="F165" s="1222">
        <f>HLOOKUP(A165,cfc,DATA!B$1+1,FALSE)</f>
        <v>5</v>
      </c>
      <c r="G165" s="1222"/>
      <c r="H165" s="314" t="str">
        <f>D164</f>
        <v>Kingston Buci</v>
      </c>
      <c r="I165" s="314" t="str">
        <f>F164</f>
        <v>Stepping Stones</v>
      </c>
      <c r="J165" s="315"/>
      <c r="K165" s="316"/>
      <c r="L165" s="317"/>
      <c r="M165" s="315"/>
      <c r="N165" s="316"/>
      <c r="O165" s="318"/>
      <c r="S165" s="61"/>
      <c r="T165" s="61"/>
    </row>
    <row r="166" spans="1:34" ht="29.4" customHeight="1" x14ac:dyDescent="0.25">
      <c r="A166" s="1258" t="s">
        <v>788</v>
      </c>
      <c r="B166" s="1259"/>
      <c r="C166" s="1260"/>
      <c r="D166" s="1198">
        <f>HLOOKUP(A166,cfc,DATA!A$1+1,FALSE)</f>
        <v>7.9207920792079209E-2</v>
      </c>
      <c r="E166" s="1198"/>
      <c r="F166" s="1198">
        <f>HLOOKUP(A166,cfc,DATA!B$1+1,FALSE)</f>
        <v>4.3478260869565216E-2</v>
      </c>
      <c r="G166" s="1198"/>
      <c r="H166" s="319">
        <f>D166</f>
        <v>7.9207920792079209E-2</v>
      </c>
      <c r="I166" s="319">
        <f>F166</f>
        <v>4.3478260869565216E-2</v>
      </c>
      <c r="J166" s="315"/>
      <c r="K166" s="316"/>
      <c r="L166" s="317"/>
      <c r="M166" s="315"/>
      <c r="N166" s="316"/>
      <c r="O166" s="318"/>
      <c r="S166" s="61"/>
      <c r="T166" s="61"/>
    </row>
    <row r="167" spans="1:34" ht="22.2" customHeight="1" x14ac:dyDescent="0.25">
      <c r="A167" s="1390" t="s">
        <v>196</v>
      </c>
      <c r="B167" s="1391"/>
      <c r="C167" s="1391"/>
      <c r="D167" s="1434">
        <f>HLOOKUP(A167,cfc,DATA!A$1+1,FALSE)</f>
        <v>4.9341090217535556E-2</v>
      </c>
      <c r="E167" s="1434"/>
      <c r="F167" s="1434">
        <f>HLOOKUP(A167,cfc,DATA!B$1+1,FALSE)</f>
        <v>1.8712101106831382E-2</v>
      </c>
      <c r="G167" s="1434"/>
      <c r="H167" s="142">
        <f>D166-D167</f>
        <v>2.9866830574543653E-2</v>
      </c>
      <c r="I167" s="142">
        <f>F166-F167</f>
        <v>2.4766159762733834E-2</v>
      </c>
      <c r="J167" s="315"/>
      <c r="K167" s="316"/>
      <c r="L167" s="317"/>
      <c r="M167" s="315"/>
      <c r="N167" s="316"/>
      <c r="O167" s="318"/>
      <c r="S167" s="61"/>
      <c r="T167" s="61"/>
    </row>
    <row r="168" spans="1:34" ht="22.2" customHeight="1" x14ac:dyDescent="0.25">
      <c r="A168" s="1744" t="s">
        <v>195</v>
      </c>
      <c r="B168" s="1745"/>
      <c r="C168" s="1746"/>
      <c r="D168" s="1389">
        <f>HLOOKUP(A168,cfc,DATA!A$1+1,FALSE)</f>
        <v>0.12478058102419014</v>
      </c>
      <c r="E168" s="1389"/>
      <c r="F168" s="1389">
        <f>HLOOKUP(A168,cfc,DATA!B$1+1,FALSE)</f>
        <v>9.7757849346889233E-2</v>
      </c>
      <c r="G168" s="1389"/>
      <c r="H168" s="142">
        <f>D168-D166</f>
        <v>4.5572660232110929E-2</v>
      </c>
      <c r="I168" s="142">
        <f>F168-F166</f>
        <v>5.4279588477324017E-2</v>
      </c>
      <c r="J168" s="315"/>
      <c r="K168" s="316"/>
      <c r="L168" s="317"/>
      <c r="M168" s="315"/>
      <c r="N168" s="316"/>
      <c r="O168" s="318"/>
      <c r="S168" s="61"/>
      <c r="T168" s="61"/>
    </row>
    <row r="169" spans="1:34" s="160" customFormat="1" ht="22.2" customHeight="1" x14ac:dyDescent="0.25">
      <c r="A169" s="320"/>
      <c r="B169" s="321"/>
      <c r="C169" s="321"/>
      <c r="D169" s="322"/>
      <c r="E169" s="322"/>
      <c r="F169" s="322"/>
      <c r="G169" s="322"/>
      <c r="H169" s="323"/>
      <c r="I169" s="323"/>
      <c r="J169" s="324"/>
      <c r="K169" s="325"/>
      <c r="L169" s="326"/>
      <c r="M169" s="324"/>
      <c r="N169" s="325"/>
      <c r="O169" s="327"/>
      <c r="P169" s="9"/>
      <c r="Q169" s="17"/>
      <c r="R169" s="17"/>
      <c r="S169" s="162"/>
      <c r="T169" s="162"/>
      <c r="U169" s="10"/>
      <c r="V169" s="10"/>
      <c r="W169" s="10"/>
      <c r="X169" s="10"/>
      <c r="Y169" s="10"/>
      <c r="Z169" s="10"/>
      <c r="AA169" s="10"/>
      <c r="AB169" s="16"/>
      <c r="AC169" s="16"/>
      <c r="AD169" s="16"/>
      <c r="AE169" s="16"/>
      <c r="AF169" s="16"/>
      <c r="AG169" s="16"/>
      <c r="AH169" s="16"/>
    </row>
    <row r="170" spans="1:34" s="168" customFormat="1" ht="17.399999999999999" customHeight="1" x14ac:dyDescent="0.25">
      <c r="A170" s="1737" t="s">
        <v>598</v>
      </c>
      <c r="B170" s="1373"/>
      <c r="C170" s="1373"/>
      <c r="D170" s="1373"/>
      <c r="E170" s="1373"/>
      <c r="F170" s="1373"/>
      <c r="G170" s="1373"/>
      <c r="H170" s="1373"/>
      <c r="I170" s="1373"/>
      <c r="J170" s="1373"/>
      <c r="K170" s="1373"/>
      <c r="L170" s="1373"/>
      <c r="M170" s="1373"/>
      <c r="N170" s="1738" t="s">
        <v>600</v>
      </c>
      <c r="O170" s="1739"/>
      <c r="P170" s="9"/>
      <c r="Q170" s="17"/>
      <c r="R170" s="17"/>
      <c r="S170" s="228"/>
      <c r="T170" s="228"/>
      <c r="U170" s="10"/>
      <c r="V170" s="10"/>
      <c r="W170" s="10"/>
      <c r="X170" s="10"/>
      <c r="Y170" s="10"/>
      <c r="Z170" s="10"/>
      <c r="AA170" s="10"/>
      <c r="AB170" s="16"/>
      <c r="AC170" s="16"/>
      <c r="AD170" s="16"/>
      <c r="AE170" s="16"/>
      <c r="AF170" s="16"/>
      <c r="AG170" s="16"/>
      <c r="AH170" s="16"/>
    </row>
    <row r="171" spans="1:34" s="168" customFormat="1" ht="17.399999999999999" customHeight="1" x14ac:dyDescent="0.25">
      <c r="A171" s="652" t="s">
        <v>216</v>
      </c>
      <c r="B171" s="653"/>
      <c r="C171" s="653"/>
      <c r="D171" s="653"/>
      <c r="E171" s="653"/>
      <c r="F171" s="653"/>
      <c r="G171" s="653"/>
      <c r="H171" s="653"/>
      <c r="I171" s="653"/>
      <c r="J171" s="653"/>
      <c r="K171" s="653"/>
      <c r="L171" s="653"/>
      <c r="M171" s="653"/>
      <c r="N171" s="653"/>
      <c r="O171" s="654"/>
      <c r="P171" s="9"/>
      <c r="Q171" s="17"/>
      <c r="R171" s="17"/>
      <c r="S171" s="228"/>
      <c r="T171" s="228"/>
      <c r="U171" s="10"/>
      <c r="V171" s="10"/>
      <c r="W171" s="10"/>
      <c r="X171" s="10"/>
      <c r="Y171" s="10"/>
      <c r="Z171" s="10"/>
      <c r="AA171" s="10"/>
      <c r="AB171" s="16"/>
      <c r="AC171" s="16"/>
      <c r="AD171" s="16"/>
      <c r="AE171" s="16"/>
      <c r="AF171" s="16"/>
      <c r="AG171" s="16"/>
      <c r="AH171" s="16"/>
    </row>
    <row r="172" spans="1:34" s="168" customFormat="1" ht="40.799999999999997" customHeight="1" x14ac:dyDescent="0.25">
      <c r="A172" s="891" t="s">
        <v>152</v>
      </c>
      <c r="B172" s="548"/>
      <c r="C172" s="507" t="s">
        <v>153</v>
      </c>
      <c r="D172" s="507"/>
      <c r="E172" s="507"/>
      <c r="F172" s="507"/>
      <c r="G172" s="507"/>
      <c r="H172" s="507"/>
      <c r="I172" s="507"/>
      <c r="J172" s="507"/>
      <c r="K172" s="507"/>
      <c r="L172" s="507"/>
      <c r="M172" s="507"/>
      <c r="N172" s="507"/>
      <c r="O172" s="1382"/>
      <c r="P172" s="9"/>
      <c r="Q172" s="17"/>
      <c r="R172" s="17"/>
      <c r="S172" s="228"/>
      <c r="T172" s="228"/>
      <c r="U172" s="10"/>
      <c r="V172" s="10"/>
      <c r="W172" s="10"/>
      <c r="X172" s="10"/>
      <c r="Y172" s="10"/>
      <c r="Z172" s="10"/>
      <c r="AA172" s="10"/>
      <c r="AB172" s="16"/>
      <c r="AC172" s="16"/>
      <c r="AD172" s="16"/>
      <c r="AE172" s="16"/>
      <c r="AF172" s="16"/>
      <c r="AG172" s="16"/>
      <c r="AH172" s="16"/>
    </row>
    <row r="173" spans="1:34" s="168" customFormat="1" ht="40.799999999999997" customHeight="1" x14ac:dyDescent="0.25">
      <c r="A173" s="891" t="s">
        <v>272</v>
      </c>
      <c r="B173" s="548"/>
      <c r="C173" s="1432" t="s">
        <v>154</v>
      </c>
      <c r="D173" s="1432"/>
      <c r="E173" s="1432"/>
      <c r="F173" s="1432"/>
      <c r="G173" s="1432"/>
      <c r="H173" s="1432"/>
      <c r="I173" s="1432"/>
      <c r="J173" s="1432"/>
      <c r="K173" s="1432"/>
      <c r="L173" s="1432"/>
      <c r="M173" s="1432"/>
      <c r="N173" s="1432"/>
      <c r="O173" s="1433"/>
      <c r="P173" s="9"/>
      <c r="Q173" s="17"/>
      <c r="R173" s="17"/>
      <c r="S173" s="228"/>
      <c r="T173" s="228"/>
      <c r="U173" s="10"/>
      <c r="V173" s="10"/>
      <c r="W173" s="10"/>
      <c r="X173" s="10"/>
      <c r="Y173" s="10"/>
      <c r="Z173" s="10"/>
      <c r="AA173" s="10"/>
      <c r="AB173" s="16"/>
      <c r="AC173" s="16"/>
      <c r="AD173" s="16"/>
      <c r="AE173" s="16"/>
      <c r="AF173" s="16"/>
      <c r="AG173" s="16"/>
      <c r="AH173" s="16"/>
    </row>
    <row r="174" spans="1:34" s="168" customFormat="1" ht="40.799999999999997" customHeight="1" x14ac:dyDescent="0.25">
      <c r="A174" s="889" t="s">
        <v>229</v>
      </c>
      <c r="B174" s="890"/>
      <c r="C174" s="1375" t="s">
        <v>283</v>
      </c>
      <c r="D174" s="1375"/>
      <c r="E174" s="1375"/>
      <c r="F174" s="1375"/>
      <c r="G174" s="1375"/>
      <c r="H174" s="1375"/>
      <c r="I174" s="1375"/>
      <c r="J174" s="1375"/>
      <c r="K174" s="1375"/>
      <c r="L174" s="1375"/>
      <c r="M174" s="1375"/>
      <c r="N174" s="1375"/>
      <c r="O174" s="1376"/>
      <c r="P174" s="9"/>
      <c r="Q174" s="17"/>
      <c r="R174" s="17"/>
      <c r="S174" s="228"/>
      <c r="T174" s="228"/>
      <c r="U174" s="10"/>
      <c r="V174" s="10"/>
      <c r="W174" s="10"/>
      <c r="X174" s="10"/>
      <c r="Y174" s="10"/>
      <c r="Z174" s="10"/>
      <c r="AA174" s="10"/>
      <c r="AB174" s="16"/>
      <c r="AC174" s="16"/>
      <c r="AD174" s="16"/>
      <c r="AE174" s="16"/>
      <c r="AF174" s="16"/>
      <c r="AG174" s="16"/>
      <c r="AH174" s="16"/>
    </row>
    <row r="175" spans="1:34" s="168" customFormat="1" ht="40.799999999999997" customHeight="1" x14ac:dyDescent="0.25">
      <c r="A175" s="1377" t="s">
        <v>273</v>
      </c>
      <c r="B175" s="1378"/>
      <c r="C175" s="1383" t="s">
        <v>94</v>
      </c>
      <c r="D175" s="1384"/>
      <c r="E175" s="1384"/>
      <c r="F175" s="1384"/>
      <c r="G175" s="1384"/>
      <c r="H175" s="1383"/>
      <c r="I175" s="1383"/>
      <c r="J175" s="1383"/>
      <c r="K175" s="1383"/>
      <c r="L175" s="1383"/>
      <c r="M175" s="1383"/>
      <c r="N175" s="1383"/>
      <c r="O175" s="1385"/>
      <c r="P175" s="9"/>
      <c r="Q175" s="17"/>
      <c r="R175" s="17"/>
      <c r="S175" s="228"/>
      <c r="T175" s="228"/>
      <c r="U175" s="10"/>
      <c r="V175" s="10"/>
      <c r="W175" s="10"/>
      <c r="X175" s="10"/>
      <c r="Y175" s="10"/>
      <c r="Z175" s="10"/>
      <c r="AA175" s="10"/>
      <c r="AB175" s="16"/>
      <c r="AC175" s="16"/>
      <c r="AD175" s="16"/>
      <c r="AE175" s="16"/>
      <c r="AF175" s="16"/>
      <c r="AG175" s="16"/>
      <c r="AH175" s="16"/>
    </row>
    <row r="176" spans="1:34" s="168" customFormat="1" ht="22.2" customHeight="1" x14ac:dyDescent="0.25">
      <c r="A176" s="1458" t="s">
        <v>201</v>
      </c>
      <c r="B176" s="1459"/>
      <c r="C176" s="1460"/>
      <c r="D176" s="914" t="str">
        <f>IF(D71="Littlehampton","Ham","Not significantly higher than England rate")</f>
        <v>Not significantly higher than England rate</v>
      </c>
      <c r="E176" s="915"/>
      <c r="F176" s="915"/>
      <c r="G176" s="916"/>
      <c r="H176" s="699" t="s">
        <v>741</v>
      </c>
      <c r="I176" s="699"/>
      <c r="J176" s="699"/>
      <c r="K176" s="699"/>
      <c r="L176" s="699"/>
      <c r="M176" s="699"/>
      <c r="N176" s="699"/>
      <c r="O176" s="700"/>
      <c r="P176" s="9"/>
      <c r="Q176" s="17"/>
      <c r="R176" s="17"/>
      <c r="S176" s="228"/>
      <c r="T176" s="228"/>
      <c r="U176" s="10"/>
      <c r="V176" s="10"/>
      <c r="W176" s="10"/>
      <c r="X176" s="10"/>
      <c r="Y176" s="10"/>
      <c r="Z176" s="10"/>
      <c r="AA176" s="10"/>
      <c r="AB176" s="16"/>
      <c r="AC176" s="16"/>
      <c r="AD176" s="16"/>
      <c r="AE176" s="16"/>
      <c r="AF176" s="16"/>
      <c r="AG176" s="16"/>
      <c r="AH176" s="16"/>
    </row>
    <row r="177" spans="1:34" s="168" customFormat="1" ht="22.2" customHeight="1" x14ac:dyDescent="0.25">
      <c r="A177" s="1461"/>
      <c r="B177" s="1462"/>
      <c r="C177" s="1462"/>
      <c r="D177" s="917"/>
      <c r="E177" s="918"/>
      <c r="F177" s="918"/>
      <c r="G177" s="919"/>
      <c r="H177" s="701"/>
      <c r="I177" s="701"/>
      <c r="J177" s="701"/>
      <c r="K177" s="701"/>
      <c r="L177" s="701"/>
      <c r="M177" s="701"/>
      <c r="N177" s="701"/>
      <c r="O177" s="702"/>
      <c r="P177" s="9"/>
      <c r="Q177" s="17"/>
      <c r="R177" s="17"/>
      <c r="S177" s="228"/>
      <c r="T177" s="228"/>
      <c r="U177" s="10"/>
      <c r="V177" s="10"/>
      <c r="W177" s="10"/>
      <c r="X177" s="10"/>
      <c r="Y177" s="10"/>
      <c r="Z177" s="10"/>
      <c r="AA177" s="10"/>
      <c r="AB177" s="16"/>
      <c r="AC177" s="16"/>
      <c r="AD177" s="16"/>
      <c r="AE177" s="16"/>
      <c r="AF177" s="16"/>
      <c r="AG177" s="16"/>
      <c r="AH177" s="16"/>
    </row>
    <row r="178" spans="1:34" s="168" customFormat="1" ht="22.2" customHeight="1" x14ac:dyDescent="0.25">
      <c r="A178" s="382"/>
      <c r="B178" s="383"/>
      <c r="C178" s="384"/>
      <c r="D178" s="706" t="str">
        <f>H73</f>
        <v>Adur</v>
      </c>
      <c r="E178" s="707"/>
      <c r="F178" s="707"/>
      <c r="G178" s="707"/>
      <c r="H178" s="703" t="s">
        <v>103</v>
      </c>
      <c r="I178" s="704"/>
      <c r="J178" s="704"/>
      <c r="K178" s="705"/>
      <c r="L178" s="692" t="s">
        <v>105</v>
      </c>
      <c r="M178" s="692"/>
      <c r="N178" s="692"/>
      <c r="O178" s="693"/>
      <c r="P178" s="9"/>
      <c r="Q178" s="17"/>
      <c r="R178" s="17"/>
      <c r="S178" s="228"/>
      <c r="T178" s="228"/>
      <c r="U178" s="10"/>
      <c r="V178" s="10"/>
      <c r="W178" s="10"/>
      <c r="X178" s="10"/>
      <c r="Y178" s="10"/>
      <c r="Z178" s="10"/>
      <c r="AA178" s="10"/>
      <c r="AB178" s="16"/>
      <c r="AC178" s="16"/>
      <c r="AD178" s="16"/>
      <c r="AE178" s="16"/>
      <c r="AF178" s="16"/>
      <c r="AG178" s="16"/>
      <c r="AH178" s="16"/>
    </row>
    <row r="179" spans="1:34" s="168" customFormat="1" ht="28.2" customHeight="1" x14ac:dyDescent="0.25">
      <c r="A179" s="385"/>
      <c r="B179" s="288"/>
      <c r="C179" s="386"/>
      <c r="D179" s="1808" t="s">
        <v>898</v>
      </c>
      <c r="E179" s="1808" t="s">
        <v>899</v>
      </c>
      <c r="F179" s="1809" t="s">
        <v>196</v>
      </c>
      <c r="G179" s="1808" t="s">
        <v>900</v>
      </c>
      <c r="H179" s="1810" t="s">
        <v>107</v>
      </c>
      <c r="I179" s="1810" t="s">
        <v>194</v>
      </c>
      <c r="J179" s="1810" t="s">
        <v>196</v>
      </c>
      <c r="K179" s="1810" t="s">
        <v>195</v>
      </c>
      <c r="L179" s="1810" t="s">
        <v>107</v>
      </c>
      <c r="M179" s="1810" t="s">
        <v>194</v>
      </c>
      <c r="N179" s="1810" t="s">
        <v>196</v>
      </c>
      <c r="O179" s="388" t="s">
        <v>195</v>
      </c>
      <c r="P179" s="9"/>
      <c r="Q179" s="17"/>
      <c r="R179" s="17"/>
      <c r="S179" s="228"/>
      <c r="T179" s="228"/>
      <c r="U179" s="10"/>
      <c r="V179" s="10"/>
      <c r="W179" s="10"/>
      <c r="X179" s="10"/>
      <c r="Y179" s="10"/>
      <c r="Z179" s="10"/>
      <c r="AA179" s="10"/>
      <c r="AB179" s="16"/>
      <c r="AC179" s="16"/>
      <c r="AD179" s="16"/>
      <c r="AE179" s="16"/>
      <c r="AF179" s="16"/>
      <c r="AG179" s="16"/>
      <c r="AH179" s="16"/>
    </row>
    <row r="180" spans="1:34" s="168" customFormat="1" ht="19.8" customHeight="1" x14ac:dyDescent="0.25">
      <c r="A180" s="389"/>
      <c r="B180" s="390"/>
      <c r="C180" s="391" t="s">
        <v>112</v>
      </c>
      <c r="D180" s="387">
        <f>VLOOKUP($D$178,pt,2,FALSE)</f>
        <v>133</v>
      </c>
      <c r="E180" s="392">
        <f>VLOOKUP($D$178,pt,3,FALSE)</f>
        <v>37.299999999999997</v>
      </c>
      <c r="F180" s="392">
        <f>VLOOKUP($D$178,pt,4,FALSE)</f>
        <v>31.230511007813849</v>
      </c>
      <c r="G180" s="392">
        <f>VLOOKUP($D$178,pt,5,FALSE)</f>
        <v>44.204716298407554</v>
      </c>
      <c r="H180" s="393">
        <f>VLOOKUP($H$178,pt,2,FALSE)</f>
        <v>1284</v>
      </c>
      <c r="I180" s="392">
        <f>VLOOKUP($H$178,pt,3,FALSE)</f>
        <v>30.196843912419745</v>
      </c>
      <c r="J180" s="392">
        <f>VLOOKUP($H$178,pt,4,FALSE)</f>
        <v>28.567535104483948</v>
      </c>
      <c r="K180" s="392">
        <f>VLOOKUP($H$178,pt,5,FALSE)</f>
        <v>31.894859642287095</v>
      </c>
      <c r="L180" s="393">
        <f>VLOOKUP($L$178,pt,2,FALSE)</f>
        <v>119272</v>
      </c>
      <c r="M180" s="392">
        <f>VLOOKUP($L$178,pt,3,FALSE)</f>
        <v>41.2</v>
      </c>
      <c r="N180" s="392">
        <f>VLOOKUP($L$178,pt,4,FALSE)</f>
        <v>40.966510345412779</v>
      </c>
      <c r="O180" s="394">
        <f>VLOOKUP($L$178,pt,5,FALSE)</f>
        <v>41.434490411159572</v>
      </c>
      <c r="P180" s="9"/>
      <c r="Q180" s="17"/>
      <c r="R180" s="17"/>
      <c r="S180" s="228"/>
      <c r="T180" s="228"/>
      <c r="U180" s="10"/>
      <c r="V180" s="10"/>
      <c r="W180" s="10"/>
      <c r="X180" s="10"/>
      <c r="Y180" s="10"/>
      <c r="Z180" s="10"/>
      <c r="AA180" s="10"/>
      <c r="AB180" s="16"/>
      <c r="AC180" s="16"/>
      <c r="AD180" s="16"/>
      <c r="AE180" s="16"/>
      <c r="AF180" s="16"/>
      <c r="AG180" s="16"/>
      <c r="AH180" s="16"/>
    </row>
    <row r="181" spans="1:34" s="168" customFormat="1" ht="19.8" customHeight="1" x14ac:dyDescent="0.25">
      <c r="A181" s="389"/>
      <c r="B181" s="390"/>
      <c r="C181" s="391" t="s">
        <v>113</v>
      </c>
      <c r="D181" s="387">
        <f>VLOOKUP($D$178,pt,6,FALSE)</f>
        <v>119</v>
      </c>
      <c r="E181" s="392">
        <f>VLOOKUP($D$178,pt,7,FALSE)</f>
        <v>33.1</v>
      </c>
      <c r="F181" s="392">
        <f>VLOOKUP($D$178,pt,8,FALSE)</f>
        <v>27.420605916369514</v>
      </c>
      <c r="G181" s="392">
        <f>VLOOKUP($D$178,pt,9,FALSE)</f>
        <v>39.609084951901316</v>
      </c>
      <c r="H181" s="393">
        <f>VLOOKUP($H$178,pt,6,FALSE)</f>
        <v>1337</v>
      </c>
      <c r="I181" s="387">
        <f>VLOOKUP($H$178,pt,7,FALSE)</f>
        <v>31.2</v>
      </c>
      <c r="J181" s="387">
        <f>VLOOKUP($H$178,pt,8,FALSE)</f>
        <v>29.6</v>
      </c>
      <c r="K181" s="387">
        <f>VLOOKUP($H$178,pt,9,FALSE)</f>
        <v>32.9</v>
      </c>
      <c r="L181" s="393">
        <f>VLOOKUP($L$178,pt,6,FALSE)</f>
        <v>118319</v>
      </c>
      <c r="M181" s="392">
        <f>VLOOKUP($L$178,pt,7,FALSE)</f>
        <v>41</v>
      </c>
      <c r="N181" s="392">
        <f>VLOOKUP($L$178,pt,8,FALSE)</f>
        <v>40.700000000000003</v>
      </c>
      <c r="O181" s="394">
        <f>VLOOKUP($L$178,pt,9,FALSE)</f>
        <v>41.2</v>
      </c>
      <c r="P181" s="9"/>
      <c r="Q181" s="17"/>
      <c r="R181" s="17"/>
      <c r="S181" s="228"/>
      <c r="T181" s="228"/>
      <c r="U181" s="10"/>
      <c r="V181" s="10"/>
      <c r="W181" s="10"/>
      <c r="X181" s="10"/>
      <c r="Y181" s="10"/>
      <c r="Z181" s="10"/>
      <c r="AA181" s="10"/>
      <c r="AB181" s="16"/>
      <c r="AC181" s="16"/>
      <c r="AD181" s="16"/>
      <c r="AE181" s="16"/>
      <c r="AF181" s="16"/>
      <c r="AG181" s="16"/>
      <c r="AH181" s="16"/>
    </row>
    <row r="182" spans="1:34" s="168" customFormat="1" ht="19.8" customHeight="1" x14ac:dyDescent="0.25">
      <c r="A182" s="389"/>
      <c r="B182" s="390"/>
      <c r="C182" s="391" t="s">
        <v>25</v>
      </c>
      <c r="D182" s="387">
        <f>VLOOKUP($D$178,pt,10,FALSE)</f>
        <v>119</v>
      </c>
      <c r="E182" s="387">
        <f>VLOOKUP($D$178,pt,11,FALSE)</f>
        <v>32.9</v>
      </c>
      <c r="F182" s="387">
        <f>VLOOKUP($D$178,pt,12,FALSE)</f>
        <v>27.6</v>
      </c>
      <c r="G182" s="387">
        <f>VLOOKUP($D$178,pt,13,FALSE)</f>
        <v>39.200000000000003</v>
      </c>
      <c r="H182" s="393">
        <f>VLOOKUP($H$178,pt,10,FALSE)</f>
        <v>1341</v>
      </c>
      <c r="I182" s="387">
        <f>VLOOKUP($H$178,pt,11,FALSE)</f>
        <v>31.3</v>
      </c>
      <c r="J182" s="387">
        <f>VLOOKUP($H$178,pt,12,FALSE)</f>
        <v>29.7</v>
      </c>
      <c r="K182" s="387">
        <f>VLOOKUP($H$178,pt,13,FALSE)</f>
        <v>33</v>
      </c>
      <c r="L182" s="393">
        <f>VLOOKUP($L$178,pt,10,FALSE)</f>
        <v>115115</v>
      </c>
      <c r="M182" s="387">
        <f>VLOOKUP($L$178,pt,11,FALSE)</f>
        <v>40.200000000000003</v>
      </c>
      <c r="N182" s="387">
        <f>VLOOKUP($L$178,pt,12,FALSE)</f>
        <v>39.9</v>
      </c>
      <c r="O182" s="388">
        <f>VLOOKUP($L$178,pt,13,FALSE)</f>
        <v>40.4</v>
      </c>
      <c r="P182" s="9"/>
      <c r="Q182" s="17"/>
      <c r="R182" s="17"/>
      <c r="S182" s="228"/>
      <c r="T182" s="228"/>
      <c r="U182" s="10"/>
      <c r="V182" s="10"/>
      <c r="W182" s="10"/>
      <c r="X182" s="10"/>
      <c r="Y182" s="10"/>
      <c r="Z182" s="10"/>
      <c r="AA182" s="10"/>
      <c r="AB182" s="16"/>
      <c r="AC182" s="16"/>
      <c r="AD182" s="16"/>
      <c r="AE182" s="16"/>
      <c r="AF182" s="16"/>
      <c r="AG182" s="16"/>
      <c r="AH182" s="16"/>
    </row>
    <row r="183" spans="1:34" s="168" customFormat="1" ht="19.8" customHeight="1" x14ac:dyDescent="0.25">
      <c r="A183" s="389"/>
      <c r="B183" s="390"/>
      <c r="C183" s="391" t="s">
        <v>247</v>
      </c>
      <c r="D183" s="387">
        <f>VLOOKUP($D$178,pt,14,FALSE)</f>
        <v>107</v>
      </c>
      <c r="E183" s="387">
        <f>VLOOKUP($D$178,pt,15,FALSE)</f>
        <v>29.9</v>
      </c>
      <c r="F183" s="387">
        <f>VLOOKUP($D$178,pt,16,FALSE)</f>
        <v>24.8</v>
      </c>
      <c r="G183" s="387">
        <f>VLOOKUP($D$178,pt,17,FALSE)</f>
        <v>36</v>
      </c>
      <c r="H183" s="393">
        <f>VLOOKUP($H$178,pt,14,FALSE)</f>
        <v>1281</v>
      </c>
      <c r="I183" s="387">
        <f>VLOOKUP($H$178,pt,15,FALSE)</f>
        <v>30.1</v>
      </c>
      <c r="J183" s="387">
        <f>VLOOKUP($H$178,pt,16,FALSE)</f>
        <v>28.5</v>
      </c>
      <c r="K183" s="387">
        <f>VLOOKUP($H$178,pt,17,FALSE)</f>
        <v>31.8</v>
      </c>
      <c r="L183" s="393">
        <f>VLOOKUP($L$178,pt,14,FALSE)</f>
        <v>107301</v>
      </c>
      <c r="M183" s="387">
        <f>VLOOKUP($L$178,pt,15,FALSE)</f>
        <v>38.1</v>
      </c>
      <c r="N183" s="387">
        <f>VLOOKUP($L$178,pt,16,FALSE)</f>
        <v>37.799999999999997</v>
      </c>
      <c r="O183" s="388">
        <f>VLOOKUP($L$178,pt,17,FALSE)</f>
        <v>38.299999999999997</v>
      </c>
      <c r="P183" s="9"/>
      <c r="Q183" s="17"/>
      <c r="R183" s="17"/>
      <c r="S183" s="228"/>
      <c r="T183" s="228"/>
      <c r="U183" s="10"/>
      <c r="V183" s="10"/>
      <c r="W183" s="10"/>
      <c r="X183" s="10"/>
      <c r="Y183" s="10"/>
      <c r="Z183" s="10"/>
      <c r="AA183" s="10"/>
      <c r="AB183" s="16"/>
      <c r="AC183" s="16"/>
      <c r="AD183" s="16"/>
      <c r="AE183" s="16"/>
      <c r="AF183" s="16"/>
      <c r="AG183" s="16"/>
      <c r="AH183" s="16"/>
    </row>
    <row r="184" spans="1:34" s="168" customFormat="1" ht="19.8" customHeight="1" x14ac:dyDescent="0.25">
      <c r="A184" s="389"/>
      <c r="B184" s="390"/>
      <c r="C184" s="391" t="s">
        <v>500</v>
      </c>
      <c r="D184" s="387">
        <f>VLOOKUP($D$178,pt,18,FALSE)</f>
        <v>108</v>
      </c>
      <c r="E184" s="387">
        <f>VLOOKUP($D$178,pt,19,FALSE)</f>
        <v>33.200000000000003</v>
      </c>
      <c r="F184" s="387">
        <f>VLOOKUP($D$178,pt,20,FALSE)</f>
        <v>27.6</v>
      </c>
      <c r="G184" s="387">
        <f>VLOOKUP($D$178,pt,21,FALSE)</f>
        <v>39.9</v>
      </c>
      <c r="H184" s="393">
        <f>VLOOKUP($H$178,pt,18,FALSE)</f>
        <v>1120</v>
      </c>
      <c r="I184" s="392">
        <f>VLOOKUP($H$178,pt,19,FALSE)</f>
        <v>27</v>
      </c>
      <c r="J184" s="387">
        <f>VLOOKUP($H$178,pt,20,FALSE)</f>
        <v>25.4</v>
      </c>
      <c r="K184" s="387">
        <f>VLOOKUP($H$178,pt,21,FALSE)</f>
        <v>28.6</v>
      </c>
      <c r="L184" s="393">
        <f>VLOOKUP($L$178,pt,18,FALSE)</f>
        <v>97684</v>
      </c>
      <c r="M184" s="392">
        <f>VLOOKUP($L$178,pt,19,FALSE)</f>
        <v>34</v>
      </c>
      <c r="N184" s="392">
        <f>VLOOKUP($L$178,pt,20,FALSE)</f>
        <v>33.799999999999997</v>
      </c>
      <c r="O184" s="394">
        <f>VLOOKUP($L$178,pt,21,FALSE)</f>
        <v>34.200000000000003</v>
      </c>
      <c r="P184" s="9"/>
      <c r="Q184" s="17"/>
      <c r="R184" s="17"/>
      <c r="S184" s="228"/>
      <c r="T184" s="228"/>
      <c r="U184" s="10"/>
      <c r="V184" s="10"/>
      <c r="W184" s="10"/>
      <c r="X184" s="10"/>
      <c r="Y184" s="10"/>
      <c r="Z184" s="10"/>
      <c r="AA184" s="10"/>
      <c r="AB184" s="16"/>
      <c r="AC184" s="16"/>
      <c r="AD184" s="16"/>
      <c r="AE184" s="16"/>
      <c r="AF184" s="16"/>
      <c r="AG184" s="16"/>
      <c r="AH184" s="16"/>
    </row>
    <row r="185" spans="1:34" s="168" customFormat="1" ht="19.8" customHeight="1" x14ac:dyDescent="0.25">
      <c r="A185" s="389"/>
      <c r="B185" s="390"/>
      <c r="C185" s="391" t="s">
        <v>719</v>
      </c>
      <c r="D185" s="387">
        <f>VLOOKUP($D$178,TeenPreg!$A$1:$Y$10,22,FALSE)</f>
        <v>98</v>
      </c>
      <c r="E185" s="387">
        <f>VLOOKUP($D$178,TeenPreg!$A$1:$Y$10,23,FALSE)</f>
        <v>30.6</v>
      </c>
      <c r="F185" s="387">
        <f>VLOOKUP($D$178,TeenPreg!$A$1:$Y$10,24,FALSE)</f>
        <v>25.2</v>
      </c>
      <c r="G185" s="387">
        <f>VLOOKUP($D$178,TeenPreg!$A$1:$Y$10,25,FALSE)</f>
        <v>37.200000000000003</v>
      </c>
      <c r="H185" s="393">
        <f>VLOOKUP($H$178,TeenPreg!$A$1:$Y$10,22,FALSE)</f>
        <v>1016</v>
      </c>
      <c r="I185" s="387">
        <f>VLOOKUP($H$178,TeenPreg!$A$1:$Y$10,23,FALSE)</f>
        <v>24.6</v>
      </c>
      <c r="J185" s="387">
        <f>VLOOKUP($H$178,TeenPreg!$A$1:$Y$10,24,FALSE)</f>
        <v>23.2</v>
      </c>
      <c r="K185" s="387">
        <f>VLOOKUP($H$178,TeenPreg!$A$1:$Y$10,25,FALSE)</f>
        <v>26.2</v>
      </c>
      <c r="L185" s="393">
        <f>VLOOKUP($L$178,TeenPreg!$A$1:$Y$10,22,FALSE)</f>
        <v>87875</v>
      </c>
      <c r="M185" s="387">
        <f>VLOOKUP($L$178,TeenPreg!$A$1:$Y$10,23,FALSE)</f>
        <v>30.9</v>
      </c>
      <c r="N185" s="387">
        <f>VLOOKUP($L$178,TeenPreg!$A$1:$Y$10,24,FALSE)</f>
        <v>30.7</v>
      </c>
      <c r="O185" s="388">
        <f>VLOOKUP($L$178,TeenPreg!$A$1:$Y$10,25,FALSE)</f>
        <v>31.1</v>
      </c>
      <c r="P185" s="9"/>
      <c r="Q185" s="17"/>
      <c r="R185" s="17"/>
      <c r="S185" s="228"/>
      <c r="T185" s="228"/>
      <c r="U185" s="10"/>
      <c r="V185" s="10"/>
      <c r="W185" s="10"/>
      <c r="X185" s="10"/>
      <c r="Y185" s="10"/>
      <c r="Z185" s="10"/>
      <c r="AA185" s="10"/>
      <c r="AB185" s="16"/>
      <c r="AC185" s="16"/>
      <c r="AD185" s="16"/>
      <c r="AE185" s="16"/>
      <c r="AF185" s="16"/>
      <c r="AG185" s="16"/>
      <c r="AH185" s="16"/>
    </row>
    <row r="186" spans="1:34" s="168" customFormat="1" ht="22.2" customHeight="1" x14ac:dyDescent="0.25">
      <c r="A186" s="900" t="s">
        <v>742</v>
      </c>
      <c r="B186" s="901"/>
      <c r="C186" s="901"/>
      <c r="D186" s="901"/>
      <c r="E186" s="901"/>
      <c r="F186" s="901"/>
      <c r="G186" s="901"/>
      <c r="H186" s="901"/>
      <c r="I186" s="901"/>
      <c r="J186" s="901"/>
      <c r="K186" s="901"/>
      <c r="L186" s="901"/>
      <c r="M186" s="901"/>
      <c r="N186" s="901"/>
      <c r="O186" s="902"/>
      <c r="P186" s="9"/>
      <c r="Q186" s="17"/>
      <c r="R186" s="17"/>
      <c r="S186" s="228"/>
      <c r="T186" s="228"/>
      <c r="U186" s="10"/>
      <c r="V186" s="10"/>
      <c r="W186" s="10"/>
      <c r="X186" s="10"/>
      <c r="Y186" s="10"/>
      <c r="Z186" s="10"/>
      <c r="AA186" s="10"/>
      <c r="AB186" s="16"/>
      <c r="AC186" s="16"/>
      <c r="AD186" s="16"/>
      <c r="AE186" s="16"/>
      <c r="AF186" s="16"/>
      <c r="AG186" s="16"/>
      <c r="AH186" s="16"/>
    </row>
    <row r="187" spans="1:34" s="168" customFormat="1" ht="22.2" customHeight="1" x14ac:dyDescent="0.25">
      <c r="A187" s="395"/>
      <c r="B187" s="122"/>
      <c r="C187" s="223"/>
      <c r="D187" s="223"/>
      <c r="E187" s="396"/>
      <c r="F187" s="397">
        <f>G180-E180</f>
        <v>6.904716298407557</v>
      </c>
      <c r="G187" s="397">
        <f>E180-F180</f>
        <v>6.0694889921861481</v>
      </c>
      <c r="H187" s="396"/>
      <c r="I187" s="396"/>
      <c r="J187" s="397">
        <f>K180-I180</f>
        <v>1.6980157298673504</v>
      </c>
      <c r="K187" s="397">
        <f>I180-J180</f>
        <v>1.6293088079357965</v>
      </c>
      <c r="L187" s="396"/>
      <c r="M187" s="397">
        <f>O180-M180</f>
        <v>0.23449041115956959</v>
      </c>
      <c r="N187" s="397">
        <f>M180-N180</f>
        <v>0.23348965458722404</v>
      </c>
      <c r="O187" s="398"/>
      <c r="P187" s="9"/>
      <c r="Q187" s="17"/>
      <c r="R187" s="17"/>
      <c r="S187" s="228"/>
      <c r="T187" s="228"/>
      <c r="U187" s="10"/>
      <c r="V187" s="10"/>
      <c r="W187" s="10"/>
      <c r="X187" s="10"/>
      <c r="Y187" s="10"/>
      <c r="Z187" s="10"/>
      <c r="AA187" s="10"/>
      <c r="AB187" s="16"/>
      <c r="AC187" s="16"/>
      <c r="AD187" s="16"/>
      <c r="AE187" s="16"/>
      <c r="AF187" s="16"/>
      <c r="AG187" s="16"/>
      <c r="AH187" s="16"/>
    </row>
    <row r="188" spans="1:34" s="168" customFormat="1" ht="22.2" customHeight="1" x14ac:dyDescent="0.25">
      <c r="A188" s="399"/>
      <c r="B188" s="400"/>
      <c r="C188" s="401"/>
      <c r="D188" s="401"/>
      <c r="E188" s="396"/>
      <c r="F188" s="397">
        <f>G181-E181</f>
        <v>6.5090849519013148</v>
      </c>
      <c r="G188" s="397">
        <f>E181-F181</f>
        <v>5.6793940836304877</v>
      </c>
      <c r="H188" s="396"/>
      <c r="I188" s="396"/>
      <c r="J188" s="397">
        <f>K181-I181</f>
        <v>1.6999999999999993</v>
      </c>
      <c r="K188" s="397">
        <f>I181-J181</f>
        <v>1.5999999999999979</v>
      </c>
      <c r="L188" s="396"/>
      <c r="M188" s="397">
        <f>O181-M181</f>
        <v>0.20000000000000284</v>
      </c>
      <c r="N188" s="397">
        <f>M181-N181</f>
        <v>0.29999999999999716</v>
      </c>
      <c r="O188" s="398"/>
      <c r="P188" s="9"/>
      <c r="Q188" s="17"/>
      <c r="R188" s="17"/>
      <c r="S188" s="228"/>
      <c r="T188" s="228"/>
      <c r="U188" s="10"/>
      <c r="V188" s="10"/>
      <c r="W188" s="10"/>
      <c r="X188" s="10"/>
      <c r="Y188" s="10"/>
      <c r="Z188" s="10"/>
      <c r="AA188" s="10"/>
      <c r="AB188" s="16"/>
      <c r="AC188" s="16"/>
      <c r="AD188" s="16"/>
      <c r="AE188" s="16"/>
      <c r="AF188" s="16"/>
      <c r="AG188" s="16"/>
      <c r="AH188" s="16"/>
    </row>
    <row r="189" spans="1:34" s="168" customFormat="1" ht="22.2" customHeight="1" x14ac:dyDescent="0.25">
      <c r="A189" s="399"/>
      <c r="B189" s="400"/>
      <c r="C189" s="401"/>
      <c r="D189" s="401"/>
      <c r="E189" s="396"/>
      <c r="F189" s="397">
        <f>G182-E182</f>
        <v>6.3000000000000043</v>
      </c>
      <c r="G189" s="397">
        <f>E182-F182</f>
        <v>5.2999999999999972</v>
      </c>
      <c r="H189" s="396"/>
      <c r="I189" s="396"/>
      <c r="J189" s="397">
        <f>K182-I182</f>
        <v>1.6999999999999993</v>
      </c>
      <c r="K189" s="397">
        <f>I182-J182</f>
        <v>1.6000000000000014</v>
      </c>
      <c r="L189" s="396"/>
      <c r="M189" s="397">
        <f>O182-M182</f>
        <v>0.19999999999999574</v>
      </c>
      <c r="N189" s="397">
        <f>M182-N182</f>
        <v>0.30000000000000426</v>
      </c>
      <c r="O189" s="398"/>
      <c r="P189" s="9"/>
      <c r="Q189" s="17"/>
      <c r="R189" s="17"/>
      <c r="S189" s="228"/>
      <c r="T189" s="228"/>
      <c r="U189" s="10"/>
      <c r="V189" s="10"/>
      <c r="W189" s="10"/>
      <c r="X189" s="10"/>
      <c r="Y189" s="10"/>
      <c r="Z189" s="10"/>
      <c r="AA189" s="10"/>
      <c r="AB189" s="16"/>
      <c r="AC189" s="16"/>
      <c r="AD189" s="16"/>
      <c r="AE189" s="16"/>
      <c r="AF189" s="16"/>
      <c r="AG189" s="16"/>
      <c r="AH189" s="16"/>
    </row>
    <row r="190" spans="1:34" s="168" customFormat="1" ht="22.2" customHeight="1" x14ac:dyDescent="0.25">
      <c r="A190" s="402"/>
      <c r="B190" s="403"/>
      <c r="C190" s="404"/>
      <c r="D190" s="404"/>
      <c r="E190" s="396"/>
      <c r="F190" s="397">
        <f>G183-E183</f>
        <v>6.1000000000000014</v>
      </c>
      <c r="G190" s="397">
        <f>E183-F183</f>
        <v>5.0999999999999979</v>
      </c>
      <c r="H190" s="396"/>
      <c r="I190" s="396"/>
      <c r="J190" s="397">
        <f>K183-I183</f>
        <v>1.6999999999999993</v>
      </c>
      <c r="K190" s="397">
        <f>I183-J183</f>
        <v>1.6000000000000014</v>
      </c>
      <c r="L190" s="396"/>
      <c r="M190" s="397">
        <f>O183-M183</f>
        <v>0.19999999999999574</v>
      </c>
      <c r="N190" s="397">
        <f>M183-N183</f>
        <v>0.30000000000000426</v>
      </c>
      <c r="O190" s="398"/>
      <c r="P190" s="9"/>
      <c r="Q190" s="17"/>
      <c r="R190" s="17"/>
      <c r="S190" s="228"/>
      <c r="T190" s="228"/>
      <c r="U190" s="10"/>
      <c r="V190" s="10"/>
      <c r="W190" s="10"/>
      <c r="X190" s="10"/>
      <c r="Y190" s="10"/>
      <c r="Z190" s="10"/>
      <c r="AA190" s="10"/>
      <c r="AB190" s="16"/>
      <c r="AC190" s="16"/>
      <c r="AD190" s="16"/>
      <c r="AE190" s="16"/>
      <c r="AF190" s="16"/>
      <c r="AG190" s="16"/>
      <c r="AH190" s="16"/>
    </row>
    <row r="191" spans="1:34" s="168" customFormat="1" ht="22.2" customHeight="1" x14ac:dyDescent="0.25">
      <c r="A191" s="402"/>
      <c r="B191" s="403"/>
      <c r="C191" s="404"/>
      <c r="D191" s="404"/>
      <c r="E191" s="405"/>
      <c r="F191" s="397">
        <f t="shared" ref="F191:F192" si="0">G184-E184</f>
        <v>6.6999999999999957</v>
      </c>
      <c r="G191" s="397">
        <f t="shared" ref="G191:G192" si="1">E184-F184</f>
        <v>5.6000000000000014</v>
      </c>
      <c r="H191" s="396"/>
      <c r="I191" s="396"/>
      <c r="J191" s="397">
        <f t="shared" ref="J191:J192" si="2">K184-I184</f>
        <v>1.6000000000000014</v>
      </c>
      <c r="K191" s="397">
        <f t="shared" ref="K191:K192" si="3">I184-J184</f>
        <v>1.6000000000000014</v>
      </c>
      <c r="L191" s="396"/>
      <c r="M191" s="397">
        <f t="shared" ref="M191:M192" si="4">O184-M184</f>
        <v>0.20000000000000284</v>
      </c>
      <c r="N191" s="397">
        <f t="shared" ref="N191:N192" si="5">M184-N184</f>
        <v>0.20000000000000284</v>
      </c>
      <c r="O191" s="406"/>
      <c r="P191" s="9"/>
      <c r="Q191" s="17"/>
      <c r="R191" s="17"/>
      <c r="S191" s="228"/>
      <c r="T191" s="228"/>
      <c r="U191" s="10"/>
      <c r="V191" s="10"/>
      <c r="W191" s="10"/>
      <c r="X191" s="10"/>
      <c r="Y191" s="10"/>
      <c r="Z191" s="10"/>
      <c r="AA191" s="10"/>
      <c r="AB191" s="16"/>
      <c r="AC191" s="16"/>
      <c r="AD191" s="16"/>
      <c r="AE191" s="16"/>
      <c r="AF191" s="16"/>
      <c r="AG191" s="16"/>
      <c r="AH191" s="16"/>
    </row>
    <row r="192" spans="1:34" s="168" customFormat="1" ht="22.2" customHeight="1" x14ac:dyDescent="0.25">
      <c r="A192" s="402"/>
      <c r="B192" s="403"/>
      <c r="C192" s="403"/>
      <c r="D192" s="403"/>
      <c r="E192" s="407"/>
      <c r="F192" s="408">
        <f t="shared" si="0"/>
        <v>6.6000000000000014</v>
      </c>
      <c r="G192" s="408">
        <f t="shared" si="1"/>
        <v>5.4000000000000021</v>
      </c>
      <c r="H192" s="405"/>
      <c r="I192" s="405"/>
      <c r="J192" s="408">
        <f t="shared" si="2"/>
        <v>1.5999999999999979</v>
      </c>
      <c r="K192" s="408">
        <f t="shared" si="3"/>
        <v>1.4000000000000021</v>
      </c>
      <c r="L192" s="405"/>
      <c r="M192" s="408">
        <f t="shared" si="4"/>
        <v>0.20000000000000284</v>
      </c>
      <c r="N192" s="408">
        <f t="shared" si="5"/>
        <v>0.19999999999999929</v>
      </c>
      <c r="O192" s="409"/>
      <c r="P192" s="9"/>
      <c r="Q192" s="17"/>
      <c r="R192" s="17"/>
      <c r="S192" s="228"/>
      <c r="T192" s="228"/>
      <c r="U192" s="10"/>
      <c r="V192" s="10"/>
      <c r="W192" s="10"/>
      <c r="X192" s="10"/>
      <c r="Y192" s="10"/>
      <c r="Z192" s="10"/>
      <c r="AA192" s="10"/>
      <c r="AB192" s="16"/>
      <c r="AC192" s="16"/>
      <c r="AD192" s="16"/>
      <c r="AE192" s="16"/>
      <c r="AF192" s="16"/>
      <c r="AG192" s="16"/>
      <c r="AH192" s="16"/>
    </row>
    <row r="193" spans="1:42" s="20" customFormat="1" ht="30" customHeight="1" x14ac:dyDescent="0.25">
      <c r="A193" s="823" t="s">
        <v>553</v>
      </c>
      <c r="B193" s="824"/>
      <c r="C193" s="824"/>
      <c r="D193" s="824"/>
      <c r="E193" s="824"/>
      <c r="F193" s="824"/>
      <c r="G193" s="824"/>
      <c r="H193" s="824"/>
      <c r="I193" s="824"/>
      <c r="J193" s="824"/>
      <c r="K193" s="824"/>
      <c r="L193" s="824"/>
      <c r="M193" s="824"/>
      <c r="N193" s="824"/>
      <c r="O193" s="825"/>
      <c r="P193" s="37"/>
      <c r="Q193" s="19"/>
      <c r="R193" s="19"/>
      <c r="S193" s="41"/>
      <c r="T193" s="41"/>
      <c r="U193" s="10"/>
      <c r="V193" s="10"/>
      <c r="W193" s="10"/>
      <c r="X193" s="10"/>
      <c r="Y193" s="10"/>
      <c r="Z193" s="10"/>
      <c r="AA193" s="10"/>
      <c r="AB193" s="16"/>
      <c r="AC193" s="16"/>
      <c r="AD193" s="16"/>
      <c r="AE193" s="16"/>
      <c r="AF193" s="16"/>
      <c r="AG193" s="16"/>
      <c r="AH193" s="16"/>
    </row>
    <row r="194" spans="1:42" s="16" customFormat="1" ht="59.4" customHeight="1" x14ac:dyDescent="0.25">
      <c r="A194" s="833" t="s">
        <v>817</v>
      </c>
      <c r="B194" s="834"/>
      <c r="C194" s="834"/>
      <c r="D194" s="834"/>
      <c r="E194" s="834"/>
      <c r="F194" s="834"/>
      <c r="G194" s="834"/>
      <c r="H194" s="834"/>
      <c r="I194" s="834"/>
      <c r="J194" s="834"/>
      <c r="K194" s="834"/>
      <c r="L194" s="834"/>
      <c r="M194" s="834"/>
      <c r="N194" s="834"/>
      <c r="O194" s="835"/>
      <c r="P194" s="37"/>
      <c r="Q194" s="9"/>
      <c r="R194" s="9"/>
      <c r="S194" s="10"/>
      <c r="T194" s="10"/>
      <c r="U194" s="10"/>
      <c r="V194" s="10"/>
      <c r="W194" s="10"/>
      <c r="X194" s="10"/>
      <c r="Y194" s="10"/>
      <c r="Z194" s="10"/>
      <c r="AA194" s="10"/>
    </row>
    <row r="195" spans="1:42" s="16" customFormat="1" ht="34.5" customHeight="1" x14ac:dyDescent="0.25">
      <c r="A195" s="836" t="s">
        <v>581</v>
      </c>
      <c r="B195" s="837"/>
      <c r="C195" s="837"/>
      <c r="D195" s="837"/>
      <c r="E195" s="837"/>
      <c r="F195" s="837"/>
      <c r="G195" s="838"/>
      <c r="H195" s="839" t="str">
        <f>$D$71</f>
        <v>Kingston Buci</v>
      </c>
      <c r="I195" s="839"/>
      <c r="J195" s="822" t="str">
        <f>$J$71</f>
        <v>Stepping Stones</v>
      </c>
      <c r="K195" s="822"/>
      <c r="L195" s="832" t="s">
        <v>103</v>
      </c>
      <c r="M195" s="832"/>
      <c r="N195" s="827" t="s">
        <v>105</v>
      </c>
      <c r="O195" s="827"/>
      <c r="P195" s="46"/>
      <c r="Q195" s="46"/>
      <c r="R195" s="46"/>
      <c r="S195" s="46"/>
      <c r="T195" s="46"/>
      <c r="U195" s="46"/>
      <c r="V195" s="46"/>
      <c r="W195" s="46"/>
      <c r="X195" s="46"/>
      <c r="Y195" s="46"/>
      <c r="Z195" s="46"/>
      <c r="AA195" s="46"/>
      <c r="AB195" s="46"/>
      <c r="AC195" s="46"/>
      <c r="AD195" s="46"/>
      <c r="AE195" s="37"/>
      <c r="AF195" s="9"/>
      <c r="AG195" s="9"/>
      <c r="AH195" s="10"/>
      <c r="AI195" s="10"/>
      <c r="AJ195" s="10"/>
      <c r="AK195" s="10"/>
      <c r="AL195" s="10"/>
      <c r="AM195" s="10"/>
      <c r="AN195" s="10"/>
      <c r="AO195" s="10"/>
      <c r="AP195" s="10"/>
    </row>
    <row r="196" spans="1:42" s="48" customFormat="1" ht="47.4" customHeight="1" x14ac:dyDescent="0.25">
      <c r="A196" s="567" t="s">
        <v>701</v>
      </c>
      <c r="B196" s="568"/>
      <c r="C196" s="568"/>
      <c r="D196" s="568"/>
      <c r="E196" s="568"/>
      <c r="F196" s="328" t="s">
        <v>554</v>
      </c>
      <c r="G196" s="329"/>
      <c r="H196" s="826">
        <f>HLOOKUP(A196,cfc,DATA!A$1+1,FALSE)</f>
        <v>22</v>
      </c>
      <c r="I196" s="826"/>
      <c r="J196" s="826">
        <f>HLOOKUP(A196,cfc,DATA!B$1+1,FALSE)</f>
        <v>26</v>
      </c>
      <c r="K196" s="826"/>
      <c r="L196" s="840">
        <v>853</v>
      </c>
      <c r="M196" s="841"/>
      <c r="N196" s="840">
        <v>70922</v>
      </c>
      <c r="O196" s="841"/>
      <c r="P196" s="46"/>
      <c r="Q196" s="47"/>
      <c r="R196" s="47"/>
      <c r="S196" s="47"/>
      <c r="T196" s="47"/>
      <c r="U196" s="46"/>
      <c r="V196" s="46"/>
      <c r="W196" s="46"/>
      <c r="X196" s="46"/>
      <c r="Y196" s="46"/>
      <c r="Z196" s="46"/>
      <c r="AA196" s="46"/>
      <c r="AB196" s="46"/>
      <c r="AC196" s="46"/>
      <c r="AD196" s="46"/>
      <c r="AE196" s="37"/>
      <c r="AF196" s="9"/>
      <c r="AG196" s="9"/>
      <c r="AH196" s="10"/>
      <c r="AI196" s="42"/>
      <c r="AJ196" s="42"/>
      <c r="AK196" s="42"/>
      <c r="AL196" s="42"/>
      <c r="AM196" s="42"/>
      <c r="AN196" s="42"/>
      <c r="AO196" s="42"/>
      <c r="AP196" s="42"/>
    </row>
    <row r="197" spans="1:42" s="16" customFormat="1" ht="37.200000000000003" customHeight="1" x14ac:dyDescent="0.3">
      <c r="A197" s="828" t="s">
        <v>702</v>
      </c>
      <c r="B197" s="829"/>
      <c r="C197" s="829"/>
      <c r="D197" s="829"/>
      <c r="E197" s="830"/>
      <c r="F197" s="330" t="s">
        <v>552</v>
      </c>
      <c r="G197" s="331"/>
      <c r="H197" s="831">
        <f>HLOOKUP(A197,cfc,DATA!A$1+1,FALSE)</f>
        <v>2.4663677130044841E-2</v>
      </c>
      <c r="I197" s="831"/>
      <c r="J197" s="831">
        <f>HLOOKUP(A197,cfc,DATA!B$1+1,FALSE)</f>
        <v>3.2338308457711441E-2</v>
      </c>
      <c r="K197" s="831"/>
      <c r="L197" s="831">
        <v>1.7999999999999999E-2</v>
      </c>
      <c r="M197" s="831"/>
      <c r="N197" s="831">
        <v>2.1000000000000001E-2</v>
      </c>
      <c r="O197" s="831"/>
      <c r="P197" s="46"/>
      <c r="Q197" s="46"/>
      <c r="R197" s="46"/>
      <c r="S197" s="46"/>
      <c r="T197" s="46"/>
      <c r="U197" s="46"/>
      <c r="V197" s="46"/>
      <c r="W197" s="46"/>
      <c r="X197" s="46"/>
      <c r="Y197" s="46"/>
      <c r="Z197" s="46"/>
      <c r="AA197" s="46"/>
      <c r="AB197" s="46"/>
      <c r="AC197" s="46"/>
      <c r="AD197" s="46"/>
      <c r="AE197" s="37"/>
      <c r="AF197" s="9"/>
      <c r="AG197" s="9"/>
      <c r="AH197" s="10"/>
      <c r="AI197" s="10"/>
      <c r="AJ197" s="10"/>
      <c r="AK197" s="10"/>
      <c r="AL197" s="10"/>
      <c r="AM197" s="10"/>
      <c r="AN197" s="10"/>
      <c r="AO197" s="10"/>
      <c r="AP197" s="10"/>
    </row>
    <row r="198" spans="1:42" ht="19.5" customHeight="1" x14ac:dyDescent="0.25">
      <c r="A198" s="1443" t="s">
        <v>591</v>
      </c>
      <c r="B198" s="1444"/>
      <c r="C198" s="1444"/>
      <c r="D198" s="1444"/>
      <c r="E198" s="1444"/>
      <c r="F198" s="1444"/>
      <c r="G198" s="1444"/>
      <c r="H198" s="1444"/>
      <c r="I198" s="1444"/>
      <c r="J198" s="1444"/>
      <c r="K198" s="1444"/>
      <c r="L198" s="1444"/>
      <c r="M198" s="1444"/>
      <c r="N198" s="465" t="s">
        <v>600</v>
      </c>
      <c r="O198" s="466"/>
      <c r="S198" s="61"/>
      <c r="T198" s="61"/>
    </row>
    <row r="199" spans="1:42" s="20" customFormat="1" ht="26.4" customHeight="1" x14ac:dyDescent="0.25">
      <c r="A199" s="1244" t="s">
        <v>592</v>
      </c>
      <c r="B199" s="1245"/>
      <c r="C199" s="1246"/>
      <c r="D199" s="1246"/>
      <c r="E199" s="1246"/>
      <c r="F199" s="1246"/>
      <c r="G199" s="1246"/>
      <c r="H199" s="1246"/>
      <c r="I199" s="1246"/>
      <c r="J199" s="1246"/>
      <c r="K199" s="1246"/>
      <c r="L199" s="1246"/>
      <c r="M199" s="1246"/>
      <c r="N199" s="1246"/>
      <c r="O199" s="1246"/>
      <c r="P199" s="9"/>
      <c r="Q199" s="19"/>
      <c r="R199" s="19"/>
      <c r="S199" s="41"/>
      <c r="T199" s="41"/>
      <c r="U199" s="10"/>
      <c r="V199" s="10"/>
      <c r="W199" s="10"/>
      <c r="X199" s="10"/>
      <c r="Y199" s="10"/>
      <c r="Z199" s="10"/>
      <c r="AA199" s="10"/>
      <c r="AB199" s="16"/>
      <c r="AC199" s="16"/>
      <c r="AD199" s="16"/>
      <c r="AE199" s="16"/>
      <c r="AF199" s="16"/>
      <c r="AG199" s="16"/>
      <c r="AH199" s="16"/>
    </row>
    <row r="200" spans="1:42" ht="92.4" customHeight="1" x14ac:dyDescent="0.25">
      <c r="A200" s="471" t="s">
        <v>273</v>
      </c>
      <c r="B200" s="472"/>
      <c r="C200" s="1018" t="s">
        <v>879</v>
      </c>
      <c r="D200" s="1019"/>
      <c r="E200" s="1019"/>
      <c r="F200" s="1019"/>
      <c r="G200" s="1019"/>
      <c r="H200" s="1019"/>
      <c r="I200" s="1019"/>
      <c r="J200" s="332"/>
      <c r="K200" s="333"/>
      <c r="L200" s="333"/>
      <c r="M200" s="333"/>
      <c r="N200" s="333"/>
      <c r="O200" s="334"/>
      <c r="S200" s="61"/>
      <c r="T200" s="61"/>
    </row>
    <row r="201" spans="1:42" ht="36.75" customHeight="1" x14ac:dyDescent="0.25">
      <c r="A201" s="1202" t="s">
        <v>581</v>
      </c>
      <c r="B201" s="1202"/>
      <c r="C201" s="1203"/>
      <c r="D201" s="1203"/>
      <c r="E201" s="1203"/>
      <c r="F201" s="1012" t="str">
        <f>$D$71</f>
        <v>Kingston Buci</v>
      </c>
      <c r="G201" s="1012"/>
      <c r="H201" s="473" t="str">
        <f>$J$71</f>
        <v>Stepping Stones</v>
      </c>
      <c r="I201" s="473"/>
      <c r="J201" s="1677"/>
      <c r="K201" s="1678"/>
      <c r="L201" s="1679"/>
      <c r="M201" s="1679"/>
      <c r="N201" s="1679"/>
      <c r="O201" s="1680"/>
      <c r="S201" s="61"/>
      <c r="T201" s="61"/>
    </row>
    <row r="202" spans="1:42" ht="31.8" customHeight="1" x14ac:dyDescent="0.25">
      <c r="A202" s="1216" t="s">
        <v>526</v>
      </c>
      <c r="B202" s="1216"/>
      <c r="C202" s="1216"/>
      <c r="D202" s="1216"/>
      <c r="E202" s="1216"/>
      <c r="F202" s="470">
        <f>HLOOKUP(A202,cfc,DATA!A$1+1,FALSE)</f>
        <v>1701</v>
      </c>
      <c r="G202" s="470"/>
      <c r="H202" s="470">
        <f>HLOOKUP(A202,cfc,DATA!B$1+1,FALSE)</f>
        <v>1665</v>
      </c>
      <c r="I202" s="470"/>
      <c r="J202" s="1681"/>
      <c r="K202" s="1682"/>
      <c r="L202" s="1682"/>
      <c r="M202" s="1683" t="str">
        <f>F201</f>
        <v>Kingston Buci</v>
      </c>
      <c r="N202" s="1683" t="str">
        <f>H201</f>
        <v>Stepping Stones</v>
      </c>
      <c r="O202" s="1680"/>
      <c r="S202" s="61"/>
      <c r="T202" s="61"/>
    </row>
    <row r="203" spans="1:42" ht="31.8" customHeight="1" x14ac:dyDescent="0.25">
      <c r="A203" s="955" t="s">
        <v>603</v>
      </c>
      <c r="B203" s="956"/>
      <c r="C203" s="956"/>
      <c r="D203" s="956"/>
      <c r="E203" s="335" t="s">
        <v>379</v>
      </c>
      <c r="F203" s="470">
        <f>HLOOKUP(E203,cfc,DATA!A$1+1,FALSE)</f>
        <v>299</v>
      </c>
      <c r="G203" s="470"/>
      <c r="H203" s="470">
        <f>HLOOKUP(E203,cfc,DATA!B$1+1,FALSE)</f>
        <v>256</v>
      </c>
      <c r="I203" s="470"/>
      <c r="J203" s="1684" t="str">
        <f>A203</f>
        <v xml:space="preserve"> - with one child (aged 0-4)</v>
      </c>
      <c r="K203" s="1682"/>
      <c r="L203" s="1682" t="s">
        <v>880</v>
      </c>
      <c r="M203" s="1685">
        <f>F203/F202</f>
        <v>0.17577895355673134</v>
      </c>
      <c r="N203" s="1685">
        <f>H203/H202</f>
        <v>0.15375375375375375</v>
      </c>
      <c r="O203" s="1680"/>
      <c r="S203" s="61"/>
      <c r="T203" s="61"/>
    </row>
    <row r="204" spans="1:42" s="20" customFormat="1" ht="31.8" customHeight="1" x14ac:dyDescent="0.25">
      <c r="A204" s="955" t="s">
        <v>604</v>
      </c>
      <c r="B204" s="956"/>
      <c r="C204" s="956"/>
      <c r="D204" s="956"/>
      <c r="E204" s="335" t="s">
        <v>380</v>
      </c>
      <c r="F204" s="470">
        <f>HLOOKUP(E204,cfc,DATA!A$1+1,FALSE)</f>
        <v>296</v>
      </c>
      <c r="G204" s="470"/>
      <c r="H204" s="470">
        <f>HLOOKUP(E204,cfc,DATA!B$1+1,FALSE)</f>
        <v>276</v>
      </c>
      <c r="I204" s="470"/>
      <c r="J204" s="1686" t="str">
        <f>A204</f>
        <v>-  with two children (youngest aged 0-4)</v>
      </c>
      <c r="K204" s="1682"/>
      <c r="L204" s="1682" t="s">
        <v>881</v>
      </c>
      <c r="M204" s="1685">
        <f>F204/F202</f>
        <v>0.17401528512639625</v>
      </c>
      <c r="N204" s="1685">
        <f>H204/H202</f>
        <v>0.16576576576576577</v>
      </c>
      <c r="O204" s="1680"/>
      <c r="P204" s="9"/>
      <c r="Q204" s="19"/>
      <c r="R204" s="19"/>
      <c r="S204" s="41"/>
      <c r="T204" s="41"/>
      <c r="U204" s="10"/>
      <c r="V204" s="10"/>
      <c r="W204" s="10"/>
      <c r="X204" s="10"/>
      <c r="Y204" s="10"/>
      <c r="Z204" s="10"/>
      <c r="AA204" s="10"/>
      <c r="AB204" s="16"/>
      <c r="AC204" s="16"/>
      <c r="AD204" s="16"/>
      <c r="AE204" s="16"/>
      <c r="AF204" s="16"/>
      <c r="AG204" s="16"/>
      <c r="AH204" s="16"/>
    </row>
    <row r="205" spans="1:42" s="33" customFormat="1" ht="31.8" customHeight="1" x14ac:dyDescent="0.25">
      <c r="A205" s="955" t="s">
        <v>605</v>
      </c>
      <c r="B205" s="956"/>
      <c r="C205" s="956"/>
      <c r="D205" s="956"/>
      <c r="E205" s="335" t="s">
        <v>381</v>
      </c>
      <c r="F205" s="470">
        <f>HLOOKUP(E205,cfc,DATA!A$1+1,FALSE)</f>
        <v>106</v>
      </c>
      <c r="G205" s="470"/>
      <c r="H205" s="470">
        <f>HLOOKUP(E205,cfc,DATA!B$1+1,FALSE)</f>
        <v>106</v>
      </c>
      <c r="I205" s="470"/>
      <c r="J205" s="1686" t="str">
        <f>A205</f>
        <v>-  with three or more children (youngest aged 0-4)</v>
      </c>
      <c r="K205" s="1682"/>
      <c r="L205" s="1682" t="s">
        <v>882</v>
      </c>
      <c r="M205" s="1685">
        <f>F205/F202</f>
        <v>6.231628453850676E-2</v>
      </c>
      <c r="N205" s="1685">
        <f>H205/H202</f>
        <v>6.3663663663663661E-2</v>
      </c>
      <c r="O205" s="1680"/>
      <c r="P205" s="9"/>
      <c r="Q205" s="31"/>
      <c r="R205" s="31"/>
      <c r="S205" s="32"/>
      <c r="T205" s="32"/>
      <c r="U205" s="10"/>
      <c r="V205" s="10"/>
      <c r="W205" s="10"/>
      <c r="X205" s="10"/>
      <c r="Y205" s="10"/>
      <c r="Z205" s="10"/>
      <c r="AA205" s="10"/>
      <c r="AB205" s="16"/>
      <c r="AC205" s="16"/>
      <c r="AD205" s="16"/>
      <c r="AE205" s="16"/>
      <c r="AF205" s="16"/>
      <c r="AG205" s="16"/>
      <c r="AH205" s="16"/>
    </row>
    <row r="206" spans="1:42" ht="31.8" customHeight="1" x14ac:dyDescent="0.25">
      <c r="A206" s="955" t="s">
        <v>28</v>
      </c>
      <c r="B206" s="956"/>
      <c r="C206" s="956"/>
      <c r="D206" s="956"/>
      <c r="E206" s="335" t="s">
        <v>529</v>
      </c>
      <c r="F206" s="474">
        <f>HLOOKUP(E206,cfc,DATA!A$1+1,FALSE)</f>
        <v>0.10826011162237827</v>
      </c>
      <c r="G206" s="474"/>
      <c r="H206" s="474">
        <f>HLOOKUP(E206,cfc,DATA!B$1+1,FALSE)</f>
        <v>0.12492352662605885</v>
      </c>
      <c r="I206" s="474"/>
      <c r="J206" s="1687"/>
      <c r="K206" s="1688"/>
      <c r="L206" s="1688"/>
      <c r="M206" s="1688"/>
      <c r="N206" s="1688"/>
      <c r="O206" s="1689"/>
      <c r="S206" s="61"/>
      <c r="T206" s="61"/>
    </row>
    <row r="207" spans="1:42" ht="22.2" customHeight="1" x14ac:dyDescent="0.25">
      <c r="A207" s="1436" t="s">
        <v>357</v>
      </c>
      <c r="B207" s="1437"/>
      <c r="C207" s="1438"/>
      <c r="D207" s="1438"/>
      <c r="E207" s="1438"/>
      <c r="F207" s="1438"/>
      <c r="G207" s="1438"/>
      <c r="H207" s="1438"/>
      <c r="I207" s="1438"/>
      <c r="J207" s="1437"/>
      <c r="K207" s="1437"/>
      <c r="L207" s="1437"/>
      <c r="M207" s="1437"/>
      <c r="N207" s="1437"/>
      <c r="O207" s="1702"/>
      <c r="S207" s="61"/>
      <c r="T207" s="61"/>
    </row>
    <row r="208" spans="1:42" ht="15.6" customHeight="1" x14ac:dyDescent="0.25">
      <c r="A208" s="1253" t="s">
        <v>273</v>
      </c>
      <c r="B208" s="1254"/>
      <c r="C208" s="1784" t="s">
        <v>530</v>
      </c>
      <c r="D208" s="1435"/>
      <c r="E208" s="1435"/>
      <c r="F208" s="1435"/>
      <c r="G208" s="1435"/>
      <c r="H208" s="1435"/>
      <c r="I208" s="1785"/>
      <c r="J208" s="38"/>
      <c r="K208" s="38"/>
      <c r="L208" s="38"/>
      <c r="M208" s="38"/>
      <c r="N208" s="38"/>
      <c r="O208" s="38"/>
      <c r="S208" s="61"/>
      <c r="T208" s="61"/>
    </row>
    <row r="209" spans="1:34" ht="33.6" customHeight="1" x14ac:dyDescent="0.25">
      <c r="A209" s="1734"/>
      <c r="B209" s="1735"/>
      <c r="C209" s="1786"/>
      <c r="D209" s="1005"/>
      <c r="E209" s="1005"/>
      <c r="F209" s="1005"/>
      <c r="G209" s="1005"/>
      <c r="H209" s="1005"/>
      <c r="I209" s="1787"/>
      <c r="J209" s="1705"/>
      <c r="K209" s="1705"/>
      <c r="L209" s="1705" t="str">
        <f>F210</f>
        <v>Kingston Buci</v>
      </c>
      <c r="M209" s="1705" t="str">
        <f>H210</f>
        <v>Stepping Stones</v>
      </c>
      <c r="N209" s="1705" t="s">
        <v>103</v>
      </c>
      <c r="O209" s="1705" t="s">
        <v>105</v>
      </c>
      <c r="S209" s="61"/>
      <c r="T209" s="61"/>
    </row>
    <row r="210" spans="1:34" ht="38.4" customHeight="1" x14ac:dyDescent="0.25">
      <c r="A210" s="1736" t="s">
        <v>581</v>
      </c>
      <c r="B210" s="1439"/>
      <c r="C210" s="1439"/>
      <c r="D210" s="1439"/>
      <c r="E210" s="1439"/>
      <c r="F210" s="1012" t="str">
        <f>$D$71</f>
        <v>Kingston Buci</v>
      </c>
      <c r="G210" s="1012"/>
      <c r="H210" s="473" t="str">
        <f>$J$71</f>
        <v>Stepping Stones</v>
      </c>
      <c r="I210" s="473"/>
      <c r="J210" s="1705"/>
      <c r="K210" s="1705" t="s">
        <v>888</v>
      </c>
      <c r="L210" s="1706">
        <f>F212</f>
        <v>1218</v>
      </c>
      <c r="M210" s="1706">
        <f>H212</f>
        <v>1069</v>
      </c>
      <c r="N210" s="1705">
        <v>65639</v>
      </c>
      <c r="O210" s="1705">
        <v>4482036</v>
      </c>
      <c r="S210" s="61"/>
      <c r="T210" s="61"/>
    </row>
    <row r="211" spans="1:34" ht="28.2" customHeight="1" x14ac:dyDescent="0.25">
      <c r="A211" s="1692" t="s">
        <v>883</v>
      </c>
      <c r="B211" s="1692"/>
      <c r="C211" s="1692"/>
      <c r="D211" s="1692"/>
      <c r="E211" s="1692"/>
      <c r="F211" s="470">
        <f>HLOOKUP(A211,cfc,DATA!A$1+1,FALSE)</f>
        <v>1387</v>
      </c>
      <c r="G211" s="470"/>
      <c r="H211" s="470">
        <f>HLOOKUP(A211,cfc,DATA!B$1+1,FALSE)</f>
        <v>1254</v>
      </c>
      <c r="I211" s="470"/>
      <c r="J211" s="1705"/>
      <c r="K211" s="1705" t="s">
        <v>889</v>
      </c>
      <c r="L211" s="1706">
        <f>F213</f>
        <v>169</v>
      </c>
      <c r="M211" s="1706">
        <f>H213</f>
        <v>185</v>
      </c>
      <c r="N211" s="1705">
        <v>7309</v>
      </c>
      <c r="O211" s="1705">
        <v>741155</v>
      </c>
      <c r="S211" s="61"/>
      <c r="T211" s="61"/>
    </row>
    <row r="212" spans="1:34" s="20" customFormat="1" ht="24" customHeight="1" x14ac:dyDescent="0.25">
      <c r="A212" s="1694"/>
      <c r="B212" s="1696" t="s">
        <v>884</v>
      </c>
      <c r="C212" s="1697"/>
      <c r="D212" s="1697"/>
      <c r="E212" s="1698"/>
      <c r="F212" s="470">
        <f>HLOOKUP(B212,cfc,DATA!A$1+1,FALSE)</f>
        <v>1218</v>
      </c>
      <c r="G212" s="470"/>
      <c r="H212" s="470">
        <f>HLOOKUP(B212,cfc,DATA!B$1+1,FALSE)</f>
        <v>1069</v>
      </c>
      <c r="I212" s="470"/>
      <c r="J212" s="1705"/>
      <c r="K212" s="1707"/>
      <c r="L212" s="1707"/>
      <c r="M212" s="1705"/>
      <c r="N212" s="1705"/>
      <c r="O212" s="1705"/>
      <c r="P212" s="9"/>
      <c r="Q212" s="19"/>
      <c r="R212" s="19"/>
      <c r="S212" s="41"/>
      <c r="T212" s="41"/>
      <c r="U212" s="10"/>
      <c r="V212" s="10"/>
      <c r="W212" s="10"/>
      <c r="X212" s="10"/>
      <c r="Y212" s="10"/>
      <c r="Z212" s="10"/>
      <c r="AA212" s="10"/>
      <c r="AB212" s="16"/>
      <c r="AC212" s="16"/>
      <c r="AD212" s="16"/>
      <c r="AE212" s="16"/>
      <c r="AF212" s="16"/>
      <c r="AG212" s="16"/>
      <c r="AH212" s="16"/>
    </row>
    <row r="213" spans="1:34" ht="24" customHeight="1" x14ac:dyDescent="0.25">
      <c r="A213" s="1695"/>
      <c r="B213" s="1699" t="s">
        <v>885</v>
      </c>
      <c r="C213" s="1700"/>
      <c r="D213" s="1700"/>
      <c r="E213" s="1701"/>
      <c r="F213" s="470">
        <f>HLOOKUP(B213,cfc,DATA!A$1+1,FALSE)</f>
        <v>169</v>
      </c>
      <c r="G213" s="470"/>
      <c r="H213" s="470">
        <f>HLOOKUP(B213,cfc,DATA!B$1+1,FALSE)</f>
        <v>185</v>
      </c>
      <c r="I213" s="470"/>
      <c r="J213" s="38"/>
      <c r="K213" s="1703"/>
      <c r="L213" s="1703"/>
      <c r="M213" s="38"/>
      <c r="N213" s="38"/>
      <c r="O213" s="38"/>
      <c r="S213" s="61"/>
      <c r="T213" s="61"/>
    </row>
    <row r="214" spans="1:34" ht="28.8" customHeight="1" x14ac:dyDescent="0.25">
      <c r="A214" s="1693" t="s">
        <v>886</v>
      </c>
      <c r="B214" s="1216"/>
      <c r="C214" s="1216"/>
      <c r="D214" s="1216"/>
      <c r="E214" s="1216"/>
      <c r="F214" s="474">
        <f>HLOOKUP(A214,cfc,DATA!A$1+1,FALSE)</f>
        <v>0.12184571016582552</v>
      </c>
      <c r="G214" s="474"/>
      <c r="H214" s="474">
        <f>HLOOKUP(A214,cfc,DATA!B$1+1,FALSE)</f>
        <v>0.14752791068580542</v>
      </c>
      <c r="I214" s="474"/>
      <c r="J214" s="38"/>
      <c r="K214" s="1703"/>
      <c r="L214" s="1703"/>
      <c r="M214" s="38"/>
      <c r="N214" s="38"/>
      <c r="O214" s="38"/>
      <c r="S214" s="61"/>
      <c r="T214" s="61"/>
    </row>
    <row r="215" spans="1:34" ht="19.2" customHeight="1" x14ac:dyDescent="0.25">
      <c r="A215" s="560" t="s">
        <v>895</v>
      </c>
      <c r="B215" s="561"/>
      <c r="C215" s="561"/>
      <c r="D215" s="561"/>
      <c r="E215" s="561"/>
      <c r="F215" s="561"/>
      <c r="G215" s="561"/>
      <c r="H215" s="561"/>
      <c r="I215" s="561"/>
      <c r="J215" s="561"/>
      <c r="K215" s="561"/>
      <c r="L215" s="561"/>
      <c r="M215" s="561"/>
      <c r="N215" s="1379"/>
      <c r="O215" s="358"/>
      <c r="S215" s="61"/>
      <c r="T215" s="61"/>
    </row>
    <row r="216" spans="1:34" ht="30.6" customHeight="1" x14ac:dyDescent="0.25">
      <c r="A216" s="958" t="s">
        <v>273</v>
      </c>
      <c r="B216" s="1724"/>
      <c r="C216" s="1725" t="s">
        <v>896</v>
      </c>
      <c r="D216" s="1726"/>
      <c r="E216" s="1726"/>
      <c r="F216" s="1726"/>
      <c r="G216" s="1726"/>
      <c r="H216" s="1726"/>
      <c r="I216" s="1726"/>
      <c r="J216" s="1726"/>
      <c r="K216" s="1726"/>
      <c r="L216" s="1726"/>
      <c r="M216" s="1726"/>
      <c r="N216" s="1726"/>
      <c r="O216" s="1727"/>
      <c r="S216" s="61"/>
      <c r="T216" s="61"/>
    </row>
    <row r="217" spans="1:34" ht="34.799999999999997" customHeight="1" x14ac:dyDescent="0.25">
      <c r="A217" s="1712" t="s">
        <v>581</v>
      </c>
      <c r="B217" s="1712"/>
      <c r="C217" s="1712"/>
      <c r="D217" s="1712"/>
      <c r="E217" s="1712"/>
      <c r="F217" s="1713" t="str">
        <f>$D$71</f>
        <v>Kingston Buci</v>
      </c>
      <c r="G217" s="1713"/>
      <c r="H217" s="1714" t="str">
        <f>$J$71</f>
        <v>Stepping Stones</v>
      </c>
      <c r="I217" s="1714"/>
      <c r="J217" s="1715" t="s">
        <v>103</v>
      </c>
      <c r="K217" s="1716"/>
      <c r="L217" s="1717" t="s">
        <v>104</v>
      </c>
      <c r="M217" s="1718"/>
      <c r="N217" s="1719" t="s">
        <v>105</v>
      </c>
      <c r="O217" s="1720"/>
      <c r="S217" s="61"/>
      <c r="T217" s="61"/>
    </row>
    <row r="218" spans="1:34" s="168" customFormat="1" ht="21" customHeight="1" x14ac:dyDescent="0.25">
      <c r="A218" s="1728" t="s">
        <v>892</v>
      </c>
      <c r="B218" s="1729"/>
      <c r="C218" s="1729"/>
      <c r="D218" s="1729"/>
      <c r="E218" s="1730"/>
      <c r="F218" s="957">
        <f>HLOOKUP(A218,cfc,DATA!A$1+1,FALSE)</f>
        <v>405</v>
      </c>
      <c r="G218" s="957"/>
      <c r="H218" s="957">
        <f>HLOOKUP(A218,cfc,DATA!B$1+1,FALSE)</f>
        <v>384</v>
      </c>
      <c r="I218" s="957"/>
      <c r="J218" s="957">
        <v>18637</v>
      </c>
      <c r="K218" s="957"/>
      <c r="L218" s="957">
        <v>215348</v>
      </c>
      <c r="M218" s="957"/>
      <c r="N218" s="957">
        <v>1564681</v>
      </c>
      <c r="O218" s="957"/>
      <c r="P218" s="9"/>
      <c r="Q218" s="17"/>
      <c r="R218" s="17"/>
      <c r="S218" s="228"/>
      <c r="T218" s="228"/>
      <c r="U218" s="10"/>
      <c r="V218" s="10"/>
      <c r="W218" s="10"/>
      <c r="X218" s="10"/>
      <c r="Y218" s="10"/>
      <c r="Z218" s="10"/>
      <c r="AA218" s="10"/>
      <c r="AB218" s="16"/>
      <c r="AC218" s="16"/>
      <c r="AD218" s="16"/>
      <c r="AE218" s="16"/>
      <c r="AF218" s="16"/>
      <c r="AG218" s="16"/>
      <c r="AH218" s="16"/>
    </row>
    <row r="219" spans="1:34" s="168" customFormat="1" ht="21" customHeight="1" x14ac:dyDescent="0.25">
      <c r="A219" s="1731" t="s">
        <v>894</v>
      </c>
      <c r="B219" s="1732"/>
      <c r="C219" s="1732"/>
      <c r="D219" s="1732"/>
      <c r="E219" s="1733"/>
      <c r="F219" s="957">
        <f>HLOOKUP(A219,cfc,DATA!A$1+1,FALSE)</f>
        <v>156</v>
      </c>
      <c r="G219" s="957"/>
      <c r="H219" s="957">
        <f>HLOOKUP(A219,cfc,DATA!B$1+1,FALSE)</f>
        <v>151</v>
      </c>
      <c r="I219" s="957"/>
      <c r="J219" s="957">
        <v>6279</v>
      </c>
      <c r="K219" s="957"/>
      <c r="L219" s="957">
        <v>78504</v>
      </c>
      <c r="M219" s="957"/>
      <c r="N219" s="957">
        <v>634019</v>
      </c>
      <c r="O219" s="957"/>
      <c r="P219" s="9"/>
      <c r="Q219" s="17"/>
      <c r="R219" s="17"/>
      <c r="S219" s="228"/>
      <c r="T219" s="228"/>
      <c r="U219" s="10"/>
      <c r="V219" s="10"/>
      <c r="W219" s="10"/>
      <c r="X219" s="10"/>
      <c r="Y219" s="10"/>
      <c r="Z219" s="10"/>
      <c r="AA219" s="10"/>
      <c r="AB219" s="16"/>
      <c r="AC219" s="16"/>
      <c r="AD219" s="16"/>
      <c r="AE219" s="16"/>
      <c r="AF219" s="16"/>
      <c r="AG219" s="16"/>
      <c r="AH219" s="16"/>
    </row>
    <row r="220" spans="1:34" s="168" customFormat="1" ht="21" customHeight="1" x14ac:dyDescent="0.25">
      <c r="A220" s="1728" t="s">
        <v>891</v>
      </c>
      <c r="B220" s="1729"/>
      <c r="C220" s="1729"/>
      <c r="D220" s="1729"/>
      <c r="E220" s="1730"/>
      <c r="F220" s="1056">
        <f>HLOOKUP(A220,cfc,DATA!A$1+1,FALSE)</f>
        <v>0.38518518518518519</v>
      </c>
      <c r="G220" s="1056"/>
      <c r="H220" s="1056">
        <f>HLOOKUP(A220,cfc,DATA!B$1+1,FALSE)</f>
        <v>0.39322916666666669</v>
      </c>
      <c r="I220" s="1056"/>
      <c r="J220" s="1056">
        <v>0.33700000000000002</v>
      </c>
      <c r="K220" s="1056"/>
      <c r="L220" s="1056">
        <v>0.36499999999999999</v>
      </c>
      <c r="M220" s="1056"/>
      <c r="N220" s="1056">
        <v>0.40500000000000003</v>
      </c>
      <c r="O220" s="1056"/>
      <c r="P220" s="9"/>
      <c r="Q220" s="17"/>
      <c r="R220" s="17"/>
      <c r="S220" s="228"/>
      <c r="T220" s="228"/>
      <c r="U220" s="10"/>
      <c r="V220" s="10"/>
      <c r="W220" s="10"/>
      <c r="X220" s="10"/>
      <c r="Y220" s="10"/>
      <c r="Z220" s="10"/>
      <c r="AA220" s="10"/>
      <c r="AB220" s="16"/>
      <c r="AC220" s="16"/>
      <c r="AD220" s="16"/>
      <c r="AE220" s="16"/>
      <c r="AF220" s="16"/>
      <c r="AG220" s="16"/>
      <c r="AH220" s="16"/>
    </row>
    <row r="221" spans="1:34" ht="21" customHeight="1" x14ac:dyDescent="0.25">
      <c r="A221" s="1728" t="s">
        <v>890</v>
      </c>
      <c r="B221" s="1729"/>
      <c r="C221" s="1729"/>
      <c r="D221" s="1729"/>
      <c r="E221" s="1730"/>
      <c r="F221" s="957">
        <f>HLOOKUP(A221,cfc,DATA!A$1+1,FALSE)</f>
        <v>30</v>
      </c>
      <c r="G221" s="957"/>
      <c r="H221" s="957">
        <f>HLOOKUP(A221,cfc,DATA!B$1+1,FALSE)</f>
        <v>34</v>
      </c>
      <c r="I221" s="957"/>
      <c r="J221" s="957">
        <v>1695</v>
      </c>
      <c r="K221" s="957"/>
      <c r="L221" s="957">
        <v>22090</v>
      </c>
      <c r="M221" s="957"/>
      <c r="N221" s="957">
        <v>151744</v>
      </c>
      <c r="O221" s="957"/>
      <c r="S221" s="61"/>
      <c r="T221" s="61"/>
    </row>
    <row r="222" spans="1:34" ht="21.75" customHeight="1" x14ac:dyDescent="0.25">
      <c r="A222" s="560" t="s">
        <v>120</v>
      </c>
      <c r="B222" s="561"/>
      <c r="C222" s="561"/>
      <c r="D222" s="561"/>
      <c r="E222" s="561"/>
      <c r="F222" s="561"/>
      <c r="G222" s="561"/>
      <c r="H222" s="561"/>
      <c r="I222" s="561"/>
      <c r="J222" s="561"/>
      <c r="K222" s="561"/>
      <c r="L222" s="561"/>
      <c r="M222" s="561"/>
      <c r="N222" s="561"/>
      <c r="O222" s="336" t="s">
        <v>600</v>
      </c>
      <c r="S222" s="61"/>
      <c r="T222" s="61"/>
    </row>
    <row r="223" spans="1:34" ht="27.6" customHeight="1" x14ac:dyDescent="0.25">
      <c r="A223" s="1217" t="s">
        <v>273</v>
      </c>
      <c r="B223" s="1218"/>
      <c r="C223" s="1008" t="s">
        <v>356</v>
      </c>
      <c r="D223" s="1009"/>
      <c r="E223" s="1009"/>
      <c r="F223" s="1009"/>
      <c r="G223" s="1009"/>
      <c r="H223" s="1009"/>
      <c r="I223" s="1010"/>
      <c r="J223" s="337"/>
      <c r="K223" s="338"/>
      <c r="L223" s="338"/>
      <c r="M223" s="338"/>
      <c r="N223" s="338"/>
      <c r="O223" s="339"/>
      <c r="S223" s="61"/>
      <c r="T223" s="61"/>
    </row>
    <row r="224" spans="1:34" ht="58.8" customHeight="1" x14ac:dyDescent="0.25">
      <c r="A224" s="1219"/>
      <c r="B224" s="1220"/>
      <c r="C224" s="1008" t="s">
        <v>312</v>
      </c>
      <c r="D224" s="1009"/>
      <c r="E224" s="1009"/>
      <c r="F224" s="1009"/>
      <c r="G224" s="1009"/>
      <c r="H224" s="1009"/>
      <c r="I224" s="1010"/>
      <c r="J224" s="340"/>
      <c r="K224" s="341"/>
      <c r="L224" s="341"/>
      <c r="M224" s="341"/>
      <c r="N224" s="342"/>
      <c r="O224" s="343"/>
      <c r="S224" s="61"/>
      <c r="T224" s="61"/>
    </row>
    <row r="225" spans="1:34" ht="33" customHeight="1" x14ac:dyDescent="0.25">
      <c r="A225" s="1257" t="s">
        <v>583</v>
      </c>
      <c r="B225" s="1257"/>
      <c r="C225" s="1257"/>
      <c r="D225" s="1257"/>
      <c r="E225" s="1257"/>
      <c r="F225" s="1012" t="str">
        <f>$D$71</f>
        <v>Kingston Buci</v>
      </c>
      <c r="G225" s="1012"/>
      <c r="H225" s="473" t="str">
        <f>$J$71</f>
        <v>Stepping Stones</v>
      </c>
      <c r="I225" s="473"/>
      <c r="J225" s="344"/>
      <c r="K225" s="345" t="str">
        <f>F225</f>
        <v>Kingston Buci</v>
      </c>
      <c r="L225" s="346" t="str">
        <f>H225</f>
        <v>Stepping Stones</v>
      </c>
      <c r="M225" s="346"/>
      <c r="N225" s="347"/>
      <c r="O225" s="348"/>
      <c r="S225" s="61"/>
      <c r="T225" s="61"/>
    </row>
    <row r="226" spans="1:34" ht="30" customHeight="1" x14ac:dyDescent="0.25">
      <c r="A226" s="1261" t="s">
        <v>352</v>
      </c>
      <c r="B226" s="1261"/>
      <c r="C226" s="1261"/>
      <c r="D226" s="1261"/>
      <c r="E226" s="1261"/>
      <c r="F226" s="470">
        <f>HLOOKUP(A226,cfc,DATA!A$1+1,FALSE)</f>
        <v>135</v>
      </c>
      <c r="G226" s="470"/>
      <c r="H226" s="470">
        <f>HLOOKUP(A226,cfc,DATA!B$1+1,FALSE)</f>
        <v>145</v>
      </c>
      <c r="I226" s="470"/>
      <c r="J226" s="349">
        <v>2011</v>
      </c>
      <c r="K226" s="350">
        <f>F226</f>
        <v>135</v>
      </c>
      <c r="L226" s="350">
        <f>H226</f>
        <v>145</v>
      </c>
      <c r="M226" s="346"/>
      <c r="N226" s="347"/>
      <c r="O226" s="348"/>
      <c r="S226" s="61"/>
      <c r="T226" s="61"/>
    </row>
    <row r="227" spans="1:34" s="20" customFormat="1" ht="30" customHeight="1" x14ac:dyDescent="0.25">
      <c r="A227" s="1261" t="s">
        <v>353</v>
      </c>
      <c r="B227" s="1261"/>
      <c r="C227" s="1261"/>
      <c r="D227" s="1261"/>
      <c r="E227" s="1261"/>
      <c r="F227" s="470">
        <f>HLOOKUP(A227,cfc,DATA!A$1+1,FALSE)</f>
        <v>105</v>
      </c>
      <c r="G227" s="470"/>
      <c r="H227" s="470">
        <f>HLOOKUP(A227,cfc,DATA!B$1+1,FALSE)</f>
        <v>130</v>
      </c>
      <c r="I227" s="470"/>
      <c r="J227" s="351" t="s">
        <v>64</v>
      </c>
      <c r="K227" s="352">
        <f>F227</f>
        <v>105</v>
      </c>
      <c r="L227" s="352">
        <f>H227</f>
        <v>130</v>
      </c>
      <c r="M227" s="346"/>
      <c r="N227" s="347"/>
      <c r="O227" s="348"/>
      <c r="P227" s="9"/>
      <c r="Q227" s="19"/>
      <c r="R227" s="19"/>
      <c r="S227" s="41"/>
      <c r="T227" s="41"/>
      <c r="U227" s="10"/>
      <c r="V227" s="10"/>
      <c r="W227" s="10"/>
      <c r="X227" s="10"/>
      <c r="Y227" s="10"/>
      <c r="Z227" s="10"/>
      <c r="AA227" s="10"/>
      <c r="AB227" s="16"/>
      <c r="AC227" s="16"/>
      <c r="AD227" s="16"/>
      <c r="AE227" s="16"/>
      <c r="AF227" s="16"/>
      <c r="AG227" s="16"/>
      <c r="AH227" s="16"/>
    </row>
    <row r="228" spans="1:34" ht="30" customHeight="1" x14ac:dyDescent="0.25">
      <c r="A228" s="1261" t="s">
        <v>354</v>
      </c>
      <c r="B228" s="1261"/>
      <c r="C228" s="1261"/>
      <c r="D228" s="1261"/>
      <c r="E228" s="1261"/>
      <c r="F228" s="470">
        <f>HLOOKUP(A228,cfc,DATA!A$1+1,FALSE)</f>
        <v>95</v>
      </c>
      <c r="G228" s="470"/>
      <c r="H228" s="470">
        <f>HLOOKUP(A228,cfc,DATA!B$1+1,FALSE)</f>
        <v>105</v>
      </c>
      <c r="I228" s="470"/>
      <c r="J228" s="353" t="s">
        <v>355</v>
      </c>
      <c r="K228" s="354">
        <f>F228</f>
        <v>95</v>
      </c>
      <c r="L228" s="354">
        <f>H228</f>
        <v>105</v>
      </c>
      <c r="M228" s="355"/>
      <c r="N228" s="356"/>
      <c r="O228" s="357"/>
      <c r="S228" s="61"/>
      <c r="T228" s="61"/>
    </row>
    <row r="229" spans="1:34" ht="21.75" customHeight="1" x14ac:dyDescent="0.25">
      <c r="A229" s="1708" t="s">
        <v>594</v>
      </c>
      <c r="B229" s="1709"/>
      <c r="C229" s="1709"/>
      <c r="D229" s="1709"/>
      <c r="E229" s="1709"/>
      <c r="F229" s="1709"/>
      <c r="G229" s="1709"/>
      <c r="H229" s="1709"/>
      <c r="I229" s="1709"/>
      <c r="J229" s="1709"/>
      <c r="K229" s="1709"/>
      <c r="L229" s="1709"/>
      <c r="M229" s="1709"/>
      <c r="N229" s="1710" t="s">
        <v>600</v>
      </c>
      <c r="O229" s="1711"/>
      <c r="S229" s="61"/>
      <c r="T229" s="61"/>
    </row>
    <row r="230" spans="1:34" s="20" customFormat="1" ht="14.4" x14ac:dyDescent="0.25">
      <c r="A230" s="1289" t="s">
        <v>317</v>
      </c>
      <c r="B230" s="1290"/>
      <c r="C230" s="1291"/>
      <c r="D230" s="1291"/>
      <c r="E230" s="1291"/>
      <c r="F230" s="1291"/>
      <c r="G230" s="1291"/>
      <c r="H230" s="1291"/>
      <c r="I230" s="1291"/>
      <c r="J230" s="1290"/>
      <c r="K230" s="1290"/>
      <c r="L230" s="1290"/>
      <c r="M230" s="1290"/>
      <c r="N230" s="1290"/>
      <c r="O230" s="1292"/>
      <c r="P230" s="9"/>
      <c r="Q230" s="19"/>
      <c r="R230" s="19"/>
      <c r="S230" s="41"/>
      <c r="T230" s="41"/>
      <c r="U230" s="10"/>
      <c r="V230" s="10"/>
      <c r="W230" s="10"/>
      <c r="X230" s="10"/>
      <c r="Y230" s="10"/>
      <c r="Z230" s="10"/>
      <c r="AA230" s="10"/>
      <c r="AB230" s="16"/>
      <c r="AC230" s="16"/>
      <c r="AD230" s="16"/>
      <c r="AE230" s="16"/>
      <c r="AF230" s="16"/>
      <c r="AG230" s="16"/>
      <c r="AH230" s="16"/>
    </row>
    <row r="231" spans="1:34" ht="38.4" customHeight="1" x14ac:dyDescent="0.25">
      <c r="A231" s="1448" t="s">
        <v>273</v>
      </c>
      <c r="B231" s="1449"/>
      <c r="C231" s="1634" t="s">
        <v>790</v>
      </c>
      <c r="D231" s="1635"/>
      <c r="E231" s="1635"/>
      <c r="F231" s="1635"/>
      <c r="G231" s="1635"/>
      <c r="H231" s="1635"/>
      <c r="I231" s="1635"/>
      <c r="J231" s="1636"/>
      <c r="K231" s="1637"/>
      <c r="L231" s="1638" t="str">
        <f>$D$71</f>
        <v>Kingston Buci</v>
      </c>
      <c r="M231" s="1638"/>
      <c r="N231" s="1639" t="str">
        <f>$J$71</f>
        <v>Stepping Stones</v>
      </c>
      <c r="O231" s="1640"/>
      <c r="S231" s="61"/>
      <c r="T231" s="61"/>
    </row>
    <row r="232" spans="1:34" ht="46.5" customHeight="1" x14ac:dyDescent="0.25">
      <c r="A232" s="164"/>
      <c r="B232" s="165"/>
      <c r="C232" s="1641" t="s">
        <v>606</v>
      </c>
      <c r="D232" s="1642"/>
      <c r="E232" s="1642"/>
      <c r="F232" s="1642"/>
      <c r="G232" s="1642"/>
      <c r="H232" s="1642"/>
      <c r="I232" s="1642"/>
      <c r="J232" s="1643" t="s">
        <v>870</v>
      </c>
      <c r="K232" s="1644"/>
      <c r="L232" s="1645">
        <f>HLOOKUP(J232,cfc,DATA!A$1+1,FALSE)</f>
        <v>3</v>
      </c>
      <c r="M232" s="1645"/>
      <c r="N232" s="1645">
        <f>HLOOKUP(J232,cfc,DATA!B$1+1,FALSE)</f>
        <v>2</v>
      </c>
      <c r="O232" s="1646"/>
      <c r="S232" s="61"/>
      <c r="T232" s="61"/>
    </row>
    <row r="233" spans="1:34" s="168" customFormat="1" ht="16.8" customHeight="1" x14ac:dyDescent="0.25">
      <c r="A233" s="1659" t="s">
        <v>872</v>
      </c>
      <c r="B233" s="1660"/>
      <c r="C233" s="1660"/>
      <c r="D233" s="1660"/>
      <c r="E233" s="1660"/>
      <c r="F233" s="1660"/>
      <c r="G233" s="1660"/>
      <c r="H233" s="1660"/>
      <c r="I233" s="1660"/>
      <c r="J233" s="1660"/>
      <c r="K233" s="1660"/>
      <c r="L233" s="1660"/>
      <c r="M233" s="1660"/>
      <c r="N233" s="1660"/>
      <c r="O233" s="1661"/>
      <c r="P233" s="9"/>
      <c r="Q233" s="17"/>
      <c r="R233" s="17"/>
      <c r="S233" s="228"/>
      <c r="T233" s="228"/>
      <c r="U233" s="10"/>
      <c r="V233" s="10"/>
      <c r="W233" s="10"/>
      <c r="X233" s="10"/>
      <c r="Y233" s="10"/>
      <c r="Z233" s="10"/>
      <c r="AA233" s="10"/>
      <c r="AB233" s="16"/>
      <c r="AC233" s="16"/>
      <c r="AD233" s="16"/>
      <c r="AE233" s="16"/>
      <c r="AF233" s="16"/>
      <c r="AG233" s="16"/>
      <c r="AH233" s="16"/>
    </row>
    <row r="234" spans="1:34" s="168" customFormat="1" ht="30.6" customHeight="1" x14ac:dyDescent="0.25">
      <c r="A234" s="1655" t="s">
        <v>874</v>
      </c>
      <c r="B234" s="1653"/>
      <c r="C234" s="1653"/>
      <c r="D234" s="1653"/>
      <c r="E234" s="1653"/>
      <c r="F234" s="1653"/>
      <c r="G234" s="1653"/>
      <c r="H234" s="1653"/>
      <c r="I234" s="1653"/>
      <c r="J234" s="1653"/>
      <c r="K234" s="1653"/>
      <c r="L234" s="1653"/>
      <c r="M234" s="1653"/>
      <c r="N234" s="1653"/>
      <c r="O234" s="480"/>
      <c r="P234" s="9"/>
      <c r="Q234" s="17"/>
      <c r="R234" s="17"/>
      <c r="S234" s="228"/>
      <c r="T234" s="228"/>
      <c r="U234" s="10"/>
      <c r="V234" s="10"/>
      <c r="W234" s="10"/>
      <c r="X234" s="10"/>
      <c r="Y234" s="10"/>
      <c r="Z234" s="10"/>
      <c r="AA234" s="10"/>
      <c r="AB234" s="16"/>
      <c r="AC234" s="16"/>
      <c r="AD234" s="16"/>
      <c r="AE234" s="16"/>
      <c r="AF234" s="16"/>
      <c r="AG234" s="16"/>
      <c r="AH234" s="16"/>
    </row>
    <row r="235" spans="1:34" s="168" customFormat="1" ht="18" customHeight="1" x14ac:dyDescent="0.25">
      <c r="A235" s="1585"/>
      <c r="B235" s="1654" t="s">
        <v>871</v>
      </c>
      <c r="C235" s="1654"/>
      <c r="D235" s="1654"/>
      <c r="E235" s="1654"/>
      <c r="F235" s="1654"/>
      <c r="G235" s="1654"/>
      <c r="H235" s="1654"/>
      <c r="I235" s="1654"/>
      <c r="J235" s="1654"/>
      <c r="K235" s="1654"/>
      <c r="L235" s="1654"/>
      <c r="M235" s="1654"/>
      <c r="N235" s="1654"/>
      <c r="O235" s="1365"/>
      <c r="P235" s="9"/>
      <c r="Q235" s="17"/>
      <c r="R235" s="17"/>
      <c r="S235" s="228"/>
      <c r="T235" s="228"/>
      <c r="U235" s="10"/>
      <c r="V235" s="10"/>
      <c r="W235" s="10"/>
      <c r="X235" s="10"/>
      <c r="Y235" s="10"/>
      <c r="Z235" s="10"/>
      <c r="AA235" s="10"/>
      <c r="AB235" s="16"/>
      <c r="AC235" s="16"/>
      <c r="AD235" s="16"/>
      <c r="AE235" s="16"/>
      <c r="AF235" s="16"/>
      <c r="AG235" s="16"/>
      <c r="AH235" s="16"/>
    </row>
    <row r="236" spans="1:34" s="168" customFormat="1" ht="18" customHeight="1" x14ac:dyDescent="0.25">
      <c r="A236" s="1585"/>
      <c r="B236" s="1654"/>
      <c r="C236" s="1654"/>
      <c r="D236" s="1654"/>
      <c r="E236" s="1654"/>
      <c r="F236" s="1654"/>
      <c r="G236" s="1654"/>
      <c r="H236" s="1654"/>
      <c r="I236" s="1654"/>
      <c r="J236" s="1654"/>
      <c r="K236" s="1654"/>
      <c r="L236" s="1654"/>
      <c r="M236" s="1654"/>
      <c r="N236" s="1654"/>
      <c r="O236" s="1365"/>
      <c r="P236" s="9"/>
      <c r="Q236" s="17"/>
      <c r="R236" s="17"/>
      <c r="S236" s="228"/>
      <c r="T236" s="228"/>
      <c r="U236" s="10"/>
      <c r="V236" s="10"/>
      <c r="W236" s="10"/>
      <c r="X236" s="10"/>
      <c r="Y236" s="10"/>
      <c r="Z236" s="10"/>
      <c r="AA236" s="10"/>
      <c r="AB236" s="16"/>
      <c r="AC236" s="16"/>
      <c r="AD236" s="16"/>
      <c r="AE236" s="16"/>
      <c r="AF236" s="16"/>
      <c r="AG236" s="16"/>
      <c r="AH236" s="16"/>
    </row>
    <row r="237" spans="1:34" s="168" customFormat="1" ht="27.6" customHeight="1" x14ac:dyDescent="0.25">
      <c r="A237" s="1585"/>
      <c r="B237" s="1654"/>
      <c r="C237" s="1654"/>
      <c r="D237" s="1654"/>
      <c r="E237" s="1654"/>
      <c r="F237" s="1654"/>
      <c r="G237" s="1654"/>
      <c r="H237" s="1654"/>
      <c r="I237" s="1654"/>
      <c r="J237" s="1654"/>
      <c r="K237" s="1654"/>
      <c r="L237" s="1654"/>
      <c r="M237" s="1654"/>
      <c r="N237" s="1654"/>
      <c r="O237" s="1365"/>
      <c r="P237" s="9"/>
      <c r="Q237" s="17"/>
      <c r="R237" s="17"/>
      <c r="S237" s="228"/>
      <c r="T237" s="228"/>
      <c r="U237" s="10"/>
      <c r="V237" s="10"/>
      <c r="W237" s="10"/>
      <c r="X237" s="10"/>
      <c r="Y237" s="10"/>
      <c r="Z237" s="10"/>
      <c r="AA237" s="10"/>
      <c r="AB237" s="16"/>
      <c r="AC237" s="16"/>
      <c r="AD237" s="16"/>
      <c r="AE237" s="16"/>
      <c r="AF237" s="16"/>
      <c r="AG237" s="16"/>
      <c r="AH237" s="16"/>
    </row>
    <row r="238" spans="1:34" s="168" customFormat="1" ht="19.2" customHeight="1" x14ac:dyDescent="0.25">
      <c r="A238" s="1655" t="s">
        <v>873</v>
      </c>
      <c r="B238" s="1653"/>
      <c r="C238" s="1653"/>
      <c r="D238" s="1653"/>
      <c r="E238" s="1653"/>
      <c r="F238" s="1653"/>
      <c r="G238" s="1653"/>
      <c r="H238" s="1653"/>
      <c r="I238" s="1653"/>
      <c r="J238" s="1653"/>
      <c r="K238" s="1653"/>
      <c r="L238" s="1653"/>
      <c r="M238" s="1653"/>
      <c r="N238" s="1653"/>
      <c r="O238" s="480"/>
      <c r="P238" s="9"/>
      <c r="Q238" s="17"/>
      <c r="R238" s="17"/>
      <c r="S238" s="228"/>
      <c r="T238" s="228"/>
      <c r="U238" s="10"/>
      <c r="V238" s="10"/>
      <c r="W238" s="10"/>
      <c r="X238" s="10"/>
      <c r="Y238" s="10"/>
      <c r="Z238" s="10"/>
      <c r="AA238" s="10"/>
      <c r="AB238" s="16"/>
      <c r="AC238" s="16"/>
      <c r="AD238" s="16"/>
      <c r="AE238" s="16"/>
      <c r="AF238" s="16"/>
      <c r="AG238" s="16"/>
      <c r="AH238" s="16"/>
    </row>
    <row r="239" spans="1:34" s="168" customFormat="1" ht="36.6" customHeight="1" x14ac:dyDescent="0.25">
      <c r="A239" s="1662" t="s">
        <v>875</v>
      </c>
      <c r="B239" s="1663"/>
      <c r="C239" s="1663"/>
      <c r="D239" s="1663"/>
      <c r="E239" s="1664"/>
      <c r="F239" s="1638" t="str">
        <f>$D$71</f>
        <v>Kingston Buci</v>
      </c>
      <c r="G239" s="1638"/>
      <c r="H239" s="1639" t="str">
        <f>$J$71</f>
        <v>Stepping Stones</v>
      </c>
      <c r="I239" s="1640"/>
      <c r="J239" s="1665" t="s">
        <v>103</v>
      </c>
      <c r="K239" s="1666"/>
      <c r="L239" s="1667" t="s">
        <v>104</v>
      </c>
      <c r="M239" s="1668"/>
      <c r="N239" s="1669" t="s">
        <v>105</v>
      </c>
      <c r="O239" s="1670"/>
      <c r="P239" s="9"/>
      <c r="Q239" s="17"/>
      <c r="R239" s="17"/>
      <c r="S239" s="228"/>
      <c r="T239" s="228"/>
      <c r="U239" s="10"/>
      <c r="V239" s="10"/>
      <c r="W239" s="10"/>
      <c r="X239" s="10"/>
      <c r="Y239" s="10"/>
      <c r="Z239" s="10"/>
      <c r="AA239" s="10"/>
      <c r="AB239" s="16"/>
      <c r="AC239" s="16"/>
      <c r="AD239" s="16"/>
      <c r="AE239" s="16"/>
      <c r="AF239" s="16"/>
      <c r="AG239" s="16"/>
      <c r="AH239" s="16"/>
    </row>
    <row r="240" spans="1:34" s="168" customFormat="1" ht="24.6" customHeight="1" x14ac:dyDescent="0.25">
      <c r="A240" s="1657" t="s">
        <v>876</v>
      </c>
      <c r="B240" s="1658"/>
      <c r="C240" s="1658"/>
      <c r="D240" s="1658"/>
      <c r="E240" s="1656"/>
      <c r="F240" s="1671">
        <f>HLOOKUP(A240,cfc,DATA!A$1+1,FALSE)</f>
        <v>345</v>
      </c>
      <c r="G240" s="1671"/>
      <c r="H240" s="1671">
        <f>HLOOKUP(A240,cfc,DATA!B$1+1,FALSE)</f>
        <v>300</v>
      </c>
      <c r="I240" s="1671"/>
      <c r="J240" s="1674">
        <v>12980</v>
      </c>
      <c r="K240" s="1675"/>
      <c r="L240" s="1674">
        <v>143980</v>
      </c>
      <c r="M240" s="1675"/>
      <c r="N240" s="1674">
        <v>1249560</v>
      </c>
      <c r="O240" s="1675"/>
      <c r="P240" s="9"/>
      <c r="Q240" s="17"/>
      <c r="R240" s="17"/>
      <c r="S240" s="228"/>
      <c r="T240" s="228"/>
      <c r="U240" s="10"/>
      <c r="V240" s="10"/>
      <c r="W240" s="10"/>
      <c r="X240" s="10"/>
      <c r="Y240" s="10"/>
      <c r="Z240" s="10"/>
      <c r="AA240" s="10"/>
      <c r="AB240" s="16"/>
      <c r="AC240" s="16"/>
      <c r="AD240" s="16"/>
      <c r="AE240" s="16"/>
      <c r="AF240" s="16"/>
      <c r="AG240" s="16"/>
      <c r="AH240" s="16"/>
    </row>
    <row r="241" spans="1:34" s="168" customFormat="1" ht="24.6" customHeight="1" x14ac:dyDescent="0.25">
      <c r="A241" s="1657" t="s">
        <v>877</v>
      </c>
      <c r="B241" s="1658"/>
      <c r="C241" s="1658"/>
      <c r="D241" s="1658"/>
      <c r="E241" s="1656"/>
      <c r="F241" s="1672">
        <f>HLOOKUP(A241,cfc,DATA!A$1+1,FALSE)</f>
        <v>5.3889409559512651E-2</v>
      </c>
      <c r="G241" s="1672"/>
      <c r="H241" s="1672">
        <f>HLOOKUP(A241,cfc,DATA!B$1+1,FALSE)</f>
        <v>5.3229240596167494E-2</v>
      </c>
      <c r="I241" s="1672"/>
      <c r="J241" s="1672">
        <v>3.7999999999999999E-2</v>
      </c>
      <c r="K241" s="1672"/>
      <c r="L241" s="1672">
        <v>0.04</v>
      </c>
      <c r="M241" s="1672"/>
      <c r="N241" s="1672">
        <v>5.7000000000000002E-2</v>
      </c>
      <c r="O241" s="1673"/>
      <c r="P241" s="9"/>
      <c r="Q241" s="17"/>
      <c r="R241" s="17"/>
      <c r="S241" s="228"/>
      <c r="T241" s="228"/>
      <c r="U241" s="10"/>
      <c r="V241" s="10"/>
      <c r="W241" s="10"/>
      <c r="X241" s="10"/>
      <c r="Y241" s="10"/>
      <c r="Z241" s="10"/>
      <c r="AA241" s="10"/>
      <c r="AB241" s="16"/>
      <c r="AC241" s="16"/>
      <c r="AD241" s="16"/>
      <c r="AE241" s="16"/>
      <c r="AF241" s="16"/>
      <c r="AG241" s="16"/>
      <c r="AH241" s="16"/>
    </row>
    <row r="242" spans="1:34" s="20" customFormat="1" ht="21" customHeight="1" x14ac:dyDescent="0.25">
      <c r="A242" s="1647" t="s">
        <v>551</v>
      </c>
      <c r="B242" s="1632"/>
      <c r="C242" s="1632"/>
      <c r="D242" s="1632"/>
      <c r="E242" s="1632"/>
      <c r="F242" s="1632"/>
      <c r="G242" s="1632"/>
      <c r="H242" s="1632"/>
      <c r="I242" s="1632"/>
      <c r="J242" s="1632"/>
      <c r="K242" s="1632"/>
      <c r="L242" s="1632"/>
      <c r="M242" s="1632"/>
      <c r="N242" s="1632"/>
      <c r="O242" s="1633"/>
      <c r="P242" s="9"/>
      <c r="Q242" s="19"/>
      <c r="R242" s="19"/>
      <c r="S242" s="41"/>
      <c r="T242" s="41"/>
      <c r="U242" s="10"/>
      <c r="V242" s="10"/>
      <c r="W242" s="10"/>
      <c r="X242" s="10"/>
      <c r="Y242" s="10"/>
      <c r="Z242" s="10"/>
      <c r="AA242" s="10"/>
      <c r="AB242" s="16"/>
      <c r="AC242" s="16"/>
      <c r="AD242" s="16"/>
      <c r="AE242" s="16"/>
      <c r="AF242" s="16"/>
      <c r="AG242" s="16"/>
      <c r="AH242" s="16"/>
    </row>
    <row r="243" spans="1:34" ht="38.25" customHeight="1" x14ac:dyDescent="0.25">
      <c r="A243" s="1648" t="s">
        <v>11</v>
      </c>
      <c r="B243" s="1649"/>
      <c r="C243" s="738"/>
      <c r="D243" s="1011" t="s">
        <v>878</v>
      </c>
      <c r="E243" s="1011"/>
      <c r="F243" s="1011"/>
      <c r="G243" s="1011"/>
      <c r="H243" s="1011"/>
      <c r="I243" s="1011"/>
      <c r="J243" s="78"/>
      <c r="K243" s="79"/>
      <c r="L243" s="79"/>
      <c r="M243" s="79"/>
      <c r="N243" s="79"/>
      <c r="O243" s="80"/>
      <c r="S243" s="61"/>
      <c r="T243" s="61"/>
    </row>
    <row r="244" spans="1:34" ht="24.75" customHeight="1" x14ac:dyDescent="0.25">
      <c r="A244" s="1648"/>
      <c r="B244" s="1649"/>
      <c r="C244" s="738"/>
      <c r="D244" s="462"/>
      <c r="E244" s="462"/>
      <c r="F244" s="462"/>
      <c r="G244" s="462"/>
      <c r="H244" s="462"/>
      <c r="I244" s="462"/>
      <c r="J244" s="78"/>
      <c r="K244" s="79"/>
      <c r="L244" s="79"/>
      <c r="M244" s="79"/>
      <c r="N244" s="79"/>
      <c r="O244" s="80"/>
      <c r="S244" s="61"/>
      <c r="T244" s="61"/>
    </row>
    <row r="245" spans="1:34" ht="24.75" customHeight="1" x14ac:dyDescent="0.25">
      <c r="A245" s="1650"/>
      <c r="B245" s="1651"/>
      <c r="C245" s="1652"/>
      <c r="D245" s="1017" t="s">
        <v>12</v>
      </c>
      <c r="E245" s="1017"/>
      <c r="F245" s="1017"/>
      <c r="G245" s="1017"/>
      <c r="H245" s="1017"/>
      <c r="I245" s="1017"/>
      <c r="J245" s="359"/>
      <c r="K245" s="360"/>
      <c r="L245" s="360"/>
      <c r="M245" s="360"/>
      <c r="N245" s="360"/>
      <c r="O245" s="361"/>
      <c r="S245" s="61"/>
      <c r="T245" s="61"/>
    </row>
    <row r="246" spans="1:34" s="25" customFormat="1" ht="38.25" customHeight="1" x14ac:dyDescent="0.25">
      <c r="A246" s="462" t="s">
        <v>584</v>
      </c>
      <c r="B246" s="462"/>
      <c r="C246" s="462"/>
      <c r="D246" s="462"/>
      <c r="E246" s="462"/>
      <c r="F246" s="1012" t="str">
        <f>$D$71</f>
        <v>Kingston Buci</v>
      </c>
      <c r="G246" s="1012"/>
      <c r="H246" s="473" t="str">
        <f>$J$71</f>
        <v>Stepping Stones</v>
      </c>
      <c r="I246" s="473"/>
      <c r="J246" s="362"/>
      <c r="K246" s="363"/>
      <c r="L246" s="364" t="str">
        <f t="shared" ref="L246:L250" si="6">F246</f>
        <v>Kingston Buci</v>
      </c>
      <c r="M246" s="364" t="str">
        <f t="shared" ref="M246:M250" si="7">H246</f>
        <v>Stepping Stones</v>
      </c>
      <c r="N246" s="364"/>
      <c r="O246" s="365"/>
      <c r="P246" s="134"/>
      <c r="Q246" s="24"/>
      <c r="R246" s="24"/>
      <c r="S246" s="65"/>
      <c r="T246" s="65"/>
      <c r="U246" s="56"/>
      <c r="V246" s="56"/>
      <c r="W246" s="56"/>
      <c r="X246" s="56"/>
      <c r="Y246" s="56"/>
      <c r="Z246" s="56"/>
      <c r="AA246" s="56"/>
      <c r="AB246" s="57"/>
      <c r="AC246" s="57"/>
      <c r="AD246" s="57"/>
      <c r="AE246" s="57"/>
      <c r="AF246" s="57"/>
      <c r="AG246" s="57"/>
      <c r="AH246" s="57"/>
    </row>
    <row r="247" spans="1:34" s="159" customFormat="1" ht="28.8" customHeight="1" x14ac:dyDescent="0.25">
      <c r="A247" s="462" t="s">
        <v>819</v>
      </c>
      <c r="B247" s="462"/>
      <c r="C247" s="462"/>
      <c r="D247" s="462"/>
      <c r="E247" s="462"/>
      <c r="F247" s="951">
        <f>HLOOKUP(A247,cfc,DATA!A$1+1,FALSE)</f>
        <v>165</v>
      </c>
      <c r="G247" s="951"/>
      <c r="H247" s="951">
        <f>HLOOKUP(A247,cfc,DATA!B$1+1,FALSE)</f>
        <v>215</v>
      </c>
      <c r="I247" s="951"/>
      <c r="J247" s="366"/>
      <c r="K247" s="364">
        <v>2010</v>
      </c>
      <c r="L247" s="364">
        <f t="shared" si="6"/>
        <v>165</v>
      </c>
      <c r="M247" s="364">
        <f t="shared" si="7"/>
        <v>215</v>
      </c>
      <c r="N247" s="364"/>
      <c r="O247" s="367"/>
      <c r="P247" s="52"/>
      <c r="Q247" s="24"/>
      <c r="R247" s="24"/>
      <c r="S247" s="161"/>
      <c r="T247" s="161"/>
      <c r="U247" s="56"/>
      <c r="V247" s="56"/>
      <c r="W247" s="56"/>
      <c r="X247" s="56"/>
      <c r="Y247" s="56"/>
      <c r="Z247" s="56"/>
      <c r="AA247" s="56"/>
      <c r="AB247" s="57"/>
      <c r="AC247" s="57"/>
      <c r="AD247" s="57"/>
      <c r="AE247" s="57"/>
      <c r="AF247" s="57"/>
      <c r="AG247" s="57"/>
      <c r="AH247" s="57"/>
    </row>
    <row r="248" spans="1:34" s="159" customFormat="1" ht="28.8" customHeight="1" x14ac:dyDescent="0.25">
      <c r="A248" s="462" t="s">
        <v>820</v>
      </c>
      <c r="B248" s="462"/>
      <c r="C248" s="462"/>
      <c r="D248" s="462"/>
      <c r="E248" s="462"/>
      <c r="F248" s="951">
        <f>HLOOKUP(A248,cfc,DATA!A$1+1,FALSE)</f>
        <v>165</v>
      </c>
      <c r="G248" s="951" t="e">
        <f>HLOOKUP(A248,CFCLook,#REF!+3,FALSE)</f>
        <v>#REF!</v>
      </c>
      <c r="H248" s="951">
        <f>HLOOKUP(A248,cfc,DATA!B$1+1,FALSE)</f>
        <v>210</v>
      </c>
      <c r="I248" s="951"/>
      <c r="J248" s="366"/>
      <c r="K248" s="364">
        <v>2011</v>
      </c>
      <c r="L248" s="364">
        <f t="shared" si="6"/>
        <v>165</v>
      </c>
      <c r="M248" s="364">
        <f t="shared" si="7"/>
        <v>210</v>
      </c>
      <c r="N248" s="364"/>
      <c r="O248" s="367"/>
      <c r="P248" s="52"/>
      <c r="Q248" s="24"/>
      <c r="R248" s="24"/>
      <c r="S248" s="161"/>
      <c r="T248" s="161"/>
      <c r="U248" s="56"/>
      <c r="V248" s="56"/>
      <c r="W248" s="56"/>
      <c r="X248" s="56"/>
      <c r="Y248" s="56"/>
      <c r="Z248" s="56"/>
      <c r="AA248" s="56"/>
      <c r="AB248" s="57"/>
      <c r="AC248" s="57"/>
      <c r="AD248" s="57"/>
      <c r="AE248" s="57"/>
      <c r="AF248" s="57"/>
      <c r="AG248" s="57"/>
      <c r="AH248" s="57"/>
    </row>
    <row r="249" spans="1:34" s="159" customFormat="1" ht="28.8" customHeight="1" x14ac:dyDescent="0.25">
      <c r="A249" s="462" t="s">
        <v>821</v>
      </c>
      <c r="B249" s="462"/>
      <c r="C249" s="462"/>
      <c r="D249" s="462"/>
      <c r="E249" s="462"/>
      <c r="F249" s="951">
        <f>HLOOKUP(A249,cfc,DATA!A$1+1,FALSE)</f>
        <v>155</v>
      </c>
      <c r="G249" s="951" t="e">
        <f>HLOOKUP(A249,CFCLook,#REF!+3,FALSE)</f>
        <v>#REF!</v>
      </c>
      <c r="H249" s="951">
        <f>HLOOKUP(A249,cfc,DATA!B$1+1,FALSE)</f>
        <v>215</v>
      </c>
      <c r="I249" s="951"/>
      <c r="J249" s="366"/>
      <c r="K249" s="364">
        <v>2012</v>
      </c>
      <c r="L249" s="368">
        <f t="shared" si="6"/>
        <v>155</v>
      </c>
      <c r="M249" s="368">
        <f t="shared" si="7"/>
        <v>215</v>
      </c>
      <c r="N249" s="364"/>
      <c r="O249" s="367"/>
      <c r="P249" s="52"/>
      <c r="Q249" s="24"/>
      <c r="R249" s="24"/>
      <c r="S249" s="161"/>
      <c r="T249" s="161"/>
      <c r="U249" s="56"/>
      <c r="V249" s="56"/>
      <c r="W249" s="56"/>
      <c r="X249" s="56"/>
      <c r="Y249" s="56"/>
      <c r="Z249" s="56"/>
      <c r="AA249" s="56"/>
      <c r="AB249" s="57"/>
      <c r="AC249" s="57"/>
      <c r="AD249" s="57"/>
      <c r="AE249" s="57"/>
      <c r="AF249" s="57"/>
      <c r="AG249" s="57"/>
      <c r="AH249" s="57"/>
    </row>
    <row r="250" spans="1:34" s="159" customFormat="1" ht="28.8" customHeight="1" x14ac:dyDescent="0.25">
      <c r="A250" s="462" t="s">
        <v>822</v>
      </c>
      <c r="B250" s="462"/>
      <c r="C250" s="462"/>
      <c r="D250" s="462"/>
      <c r="E250" s="462"/>
      <c r="F250" s="951">
        <f>HLOOKUP(A250,cfc,DATA!A$1+1,FALSE)</f>
        <v>155</v>
      </c>
      <c r="G250" s="951" t="e">
        <f>HLOOKUP(A250,CFCLook,#REF!+3,FALSE)</f>
        <v>#REF!</v>
      </c>
      <c r="H250" s="951">
        <f>HLOOKUP(A250,cfc,DATA!B$1+1,FALSE)</f>
        <v>185</v>
      </c>
      <c r="I250" s="951"/>
      <c r="J250" s="369"/>
      <c r="K250" s="370">
        <v>2013</v>
      </c>
      <c r="L250" s="371">
        <f t="shared" si="6"/>
        <v>155</v>
      </c>
      <c r="M250" s="371">
        <f t="shared" si="7"/>
        <v>185</v>
      </c>
      <c r="N250" s="370"/>
      <c r="O250" s="372"/>
      <c r="P250" s="52"/>
      <c r="Q250" s="24"/>
      <c r="R250" s="24"/>
      <c r="S250" s="161"/>
      <c r="T250" s="161"/>
      <c r="U250" s="56"/>
      <c r="V250" s="56"/>
      <c r="W250" s="56"/>
      <c r="X250" s="56"/>
      <c r="Y250" s="56"/>
      <c r="Z250" s="56"/>
      <c r="AA250" s="56"/>
      <c r="AB250" s="57"/>
      <c r="AC250" s="57"/>
      <c r="AD250" s="57"/>
      <c r="AE250" s="57"/>
      <c r="AF250" s="57"/>
      <c r="AG250" s="57"/>
      <c r="AH250" s="57"/>
    </row>
    <row r="251" spans="1:34" s="20" customFormat="1" ht="21.75" customHeight="1" x14ac:dyDescent="0.25">
      <c r="A251" s="1767" t="s">
        <v>549</v>
      </c>
      <c r="B251" s="1768"/>
      <c r="C251" s="1768"/>
      <c r="D251" s="1768"/>
      <c r="E251" s="1768"/>
      <c r="F251" s="1768"/>
      <c r="G251" s="1768"/>
      <c r="H251" s="1768"/>
      <c r="I251" s="1768"/>
      <c r="J251" s="1768"/>
      <c r="K251" s="1768"/>
      <c r="L251" s="1768"/>
      <c r="M251" s="1768"/>
      <c r="N251" s="1768"/>
      <c r="O251" s="262" t="s">
        <v>600</v>
      </c>
      <c r="P251" s="9"/>
      <c r="Q251" s="19"/>
      <c r="R251" s="19"/>
      <c r="S251" s="41"/>
      <c r="T251" s="41"/>
      <c r="U251" s="10"/>
      <c r="V251" s="10"/>
      <c r="W251" s="10"/>
      <c r="X251" s="10"/>
      <c r="Y251" s="10"/>
      <c r="Z251" s="10"/>
      <c r="AA251" s="10"/>
      <c r="AB251" s="16"/>
      <c r="AC251" s="16"/>
      <c r="AD251" s="16"/>
      <c r="AE251" s="16"/>
      <c r="AF251" s="16"/>
      <c r="AG251" s="16"/>
      <c r="AH251" s="16"/>
    </row>
    <row r="252" spans="1:34" ht="49.8" customHeight="1" x14ac:dyDescent="0.25">
      <c r="A252" s="1769" t="s">
        <v>303</v>
      </c>
      <c r="B252" s="1770"/>
      <c r="C252" s="499" t="s">
        <v>26</v>
      </c>
      <c r="D252" s="499"/>
      <c r="E252" s="499"/>
      <c r="F252" s="499"/>
      <c r="G252" s="499"/>
      <c r="H252" s="499"/>
      <c r="I252" s="499"/>
      <c r="J252" s="499"/>
      <c r="K252" s="499"/>
      <c r="L252" s="499"/>
      <c r="M252" s="499"/>
      <c r="N252" s="499"/>
      <c r="O252" s="500"/>
      <c r="S252" s="61"/>
      <c r="T252" s="61"/>
    </row>
    <row r="253" spans="1:34" ht="49.8" customHeight="1" x14ac:dyDescent="0.25">
      <c r="A253" s="1771" t="s">
        <v>304</v>
      </c>
      <c r="B253" s="1772"/>
      <c r="C253" s="1375" t="s">
        <v>774</v>
      </c>
      <c r="D253" s="1375"/>
      <c r="E253" s="1375"/>
      <c r="F253" s="1375"/>
      <c r="G253" s="1375"/>
      <c r="H253" s="1375"/>
      <c r="I253" s="1375"/>
      <c r="J253" s="1375"/>
      <c r="K253" s="1375"/>
      <c r="L253" s="1375"/>
      <c r="M253" s="1375"/>
      <c r="N253" s="1375"/>
      <c r="O253" s="506"/>
      <c r="S253" s="61"/>
      <c r="T253" s="61"/>
    </row>
    <row r="254" spans="1:34" ht="19.2" customHeight="1" x14ac:dyDescent="0.25">
      <c r="A254" s="459" t="s">
        <v>775</v>
      </c>
      <c r="B254" s="460"/>
      <c r="C254" s="1602"/>
      <c r="D254" s="1602"/>
      <c r="E254" s="1602"/>
      <c r="F254" s="1602"/>
      <c r="G254" s="1602"/>
      <c r="H254" s="1602"/>
      <c r="I254" s="1602"/>
      <c r="J254" s="1602"/>
      <c r="K254" s="1602"/>
      <c r="L254" s="1602"/>
      <c r="M254" s="1602"/>
      <c r="N254" s="1602"/>
      <c r="O254" s="461"/>
      <c r="S254" s="61"/>
      <c r="T254" s="61"/>
    </row>
    <row r="255" spans="1:34" ht="33" customHeight="1" x14ac:dyDescent="0.25">
      <c r="A255" s="1773" t="s">
        <v>550</v>
      </c>
      <c r="B255" s="1774"/>
      <c r="C255" s="1774"/>
      <c r="D255" s="1774"/>
      <c r="E255" s="1774"/>
      <c r="F255" s="1775" t="str">
        <f>$D$71</f>
        <v>Kingston Buci</v>
      </c>
      <c r="G255" s="1775"/>
      <c r="H255" s="1776" t="str">
        <f>$J$71</f>
        <v>Stepping Stones</v>
      </c>
      <c r="I255" s="1776"/>
      <c r="J255" s="1777" t="s">
        <v>103</v>
      </c>
      <c r="K255" s="1777"/>
      <c r="L255" s="1778" t="s">
        <v>104</v>
      </c>
      <c r="M255" s="1778"/>
      <c r="N255" s="1779" t="s">
        <v>105</v>
      </c>
      <c r="O255" s="1780"/>
      <c r="S255" s="61"/>
      <c r="T255" s="61"/>
    </row>
    <row r="256" spans="1:34" ht="21.75" customHeight="1" x14ac:dyDescent="0.25">
      <c r="A256" s="501"/>
      <c r="B256" s="502"/>
      <c r="C256" s="502"/>
      <c r="D256" s="502"/>
      <c r="E256" s="502"/>
      <c r="F256" s="153" t="s">
        <v>107</v>
      </c>
      <c r="G256" s="153" t="s">
        <v>110</v>
      </c>
      <c r="H256" s="154" t="s">
        <v>107</v>
      </c>
      <c r="I256" s="154" t="s">
        <v>110</v>
      </c>
      <c r="J256" s="1152"/>
      <c r="K256" s="1152"/>
      <c r="L256" s="1153"/>
      <c r="M256" s="1153"/>
      <c r="N256" s="1409"/>
      <c r="O256" s="1410"/>
      <c r="S256" s="61"/>
      <c r="T256" s="61"/>
    </row>
    <row r="257" spans="1:34" ht="22.5" customHeight="1" x14ac:dyDescent="0.25">
      <c r="A257" s="501" t="s">
        <v>198</v>
      </c>
      <c r="B257" s="502"/>
      <c r="C257" s="502"/>
      <c r="D257" s="502"/>
      <c r="E257" s="155" t="s">
        <v>531</v>
      </c>
      <c r="F257" s="1842">
        <f>HLOOKUP(E257,cfc,DATA!A$1+1,FALSE)</f>
        <v>415</v>
      </c>
      <c r="G257" s="230">
        <f>HLOOKUP(A257,cfc,DATA!A$1+1,FALSE)</f>
        <v>0.16354545454545455</v>
      </c>
      <c r="H257" s="156">
        <f>HLOOKUP(E257,cfc,DATA!B$1+1,FALSE)</f>
        <v>480</v>
      </c>
      <c r="I257" s="230">
        <f>HLOOKUP(A257,cfc,DATA!B$1+1,FALSE)</f>
        <v>0.19444444444444442</v>
      </c>
      <c r="J257" s="458">
        <f>DATA!CG$75</f>
        <v>0.13900000000000001</v>
      </c>
      <c r="K257" s="458"/>
      <c r="L257" s="458">
        <f>DATA!CG$76</f>
        <v>0.156</v>
      </c>
      <c r="M257" s="458"/>
      <c r="N257" s="458">
        <f>DATA!CG$77</f>
        <v>0.224</v>
      </c>
      <c r="O257" s="1781"/>
      <c r="S257" s="61"/>
      <c r="T257" s="61"/>
    </row>
    <row r="258" spans="1:34" ht="22.5" customHeight="1" x14ac:dyDescent="0.25">
      <c r="A258" s="501" t="s">
        <v>199</v>
      </c>
      <c r="B258" s="502"/>
      <c r="C258" s="502"/>
      <c r="D258" s="502"/>
      <c r="E258" s="155" t="s">
        <v>532</v>
      </c>
      <c r="F258" s="1842">
        <f>HLOOKUP(E258,cfc,DATA!A$1+1,FALSE)</f>
        <v>425</v>
      </c>
      <c r="G258" s="230">
        <f>HLOOKUP(A258,cfc,DATA!A$1+1,FALSE)</f>
        <v>0.15463636363636366</v>
      </c>
      <c r="H258" s="156">
        <f>HLOOKUP(E258,cfc,DATA!B$1+1,FALSE)</f>
        <v>480</v>
      </c>
      <c r="I258" s="230">
        <f>HLOOKUP(A258,cfc,DATA!B$1+1,FALSE)</f>
        <v>0.18844444444444447</v>
      </c>
      <c r="J258" s="458">
        <f>DATA!CI$75</f>
        <v>0.13400000000000001</v>
      </c>
      <c r="K258" s="458"/>
      <c r="L258" s="458">
        <f>DATA!CI$76</f>
        <v>0.152</v>
      </c>
      <c r="M258" s="458"/>
      <c r="N258" s="458">
        <f>DATA!CI$77</f>
        <v>0.216</v>
      </c>
      <c r="O258" s="1781"/>
      <c r="S258" s="61"/>
      <c r="T258" s="61"/>
    </row>
    <row r="259" spans="1:34" ht="22.5" customHeight="1" x14ac:dyDescent="0.25">
      <c r="A259" s="501" t="s">
        <v>206</v>
      </c>
      <c r="B259" s="502"/>
      <c r="C259" s="502"/>
      <c r="D259" s="502"/>
      <c r="E259" s="155" t="s">
        <v>533</v>
      </c>
      <c r="F259" s="1842">
        <f>HLOOKUP(E259,cfc,DATA!A$1+1,FALSE)</f>
        <v>420</v>
      </c>
      <c r="G259" s="230">
        <f>HLOOKUP(A259,cfc,DATA!A$1+1,FALSE)</f>
        <v>0.15981818181818183</v>
      </c>
      <c r="H259" s="156">
        <f>HLOOKUP(E259,cfc,DATA!B$1+1,FALSE)</f>
        <v>555</v>
      </c>
      <c r="I259" s="230">
        <f>HLOOKUP(A259,cfc,DATA!B$1+1,FALSE)</f>
        <v>0.20177777777777775</v>
      </c>
      <c r="J259" s="458">
        <f>DATA!CK$75</f>
        <v>0.14299999999999999</v>
      </c>
      <c r="K259" s="458"/>
      <c r="L259" s="458">
        <f>DATA!CK$76</f>
        <v>0.16</v>
      </c>
      <c r="M259" s="458"/>
      <c r="N259" s="458">
        <f>DATA!CK$77</f>
        <v>0.219</v>
      </c>
      <c r="O259" s="1781"/>
      <c r="S259" s="61"/>
      <c r="T259" s="61"/>
    </row>
    <row r="260" spans="1:34" ht="22.5" customHeight="1" x14ac:dyDescent="0.25">
      <c r="A260" s="501" t="s">
        <v>234</v>
      </c>
      <c r="B260" s="502"/>
      <c r="C260" s="502"/>
      <c r="D260" s="502"/>
      <c r="E260" s="155" t="s">
        <v>534</v>
      </c>
      <c r="F260" s="1842">
        <f>HLOOKUP(E260,cfc,DATA!A$1+1,FALSE)</f>
        <v>420</v>
      </c>
      <c r="G260" s="230">
        <f>HLOOKUP(A260,cfc,DATA!A$1+1,FALSE)</f>
        <v>0.1598181818181818</v>
      </c>
      <c r="H260" s="156">
        <f>HLOOKUP(E260,cfc,DATA!B$1+1,FALSE)</f>
        <v>515</v>
      </c>
      <c r="I260" s="230">
        <f>HLOOKUP(A260,cfc,DATA!B$1+1,FALSE)</f>
        <v>0.17744444444444449</v>
      </c>
      <c r="J260" s="458">
        <f>DATA!CM$75</f>
        <v>0.13800000000000001</v>
      </c>
      <c r="K260" s="458"/>
      <c r="L260" s="458">
        <f>DATA!CM$76</f>
        <v>0.155</v>
      </c>
      <c r="M260" s="458"/>
      <c r="N260" s="458">
        <f>DATA!CM$77</f>
        <v>0.21099999999999999</v>
      </c>
      <c r="O260" s="1781"/>
      <c r="S260" s="61"/>
      <c r="T260" s="61"/>
    </row>
    <row r="261" spans="1:34" ht="22.5" customHeight="1" x14ac:dyDescent="0.25">
      <c r="A261" s="501" t="s">
        <v>364</v>
      </c>
      <c r="B261" s="502"/>
      <c r="C261" s="502"/>
      <c r="D261" s="502"/>
      <c r="E261" s="155" t="s">
        <v>535</v>
      </c>
      <c r="F261" s="1842">
        <f>HLOOKUP(E261,cfc,DATA!A$1+1,FALSE)</f>
        <v>445</v>
      </c>
      <c r="G261" s="230">
        <f>HLOOKUP(A261,cfc,DATA!A$1+1,FALSE)</f>
        <v>0.15672727272727272</v>
      </c>
      <c r="H261" s="156">
        <f>HLOOKUP(E261,cfc,DATA!B$1+1,FALSE)</f>
        <v>520</v>
      </c>
      <c r="I261" s="230">
        <f>HLOOKUP(A261,cfc,DATA!B$1+1,FALSE)</f>
        <v>0.17844444444444446</v>
      </c>
      <c r="J261" s="458">
        <f>DATA!CO$75</f>
        <v>0.13500000000000001</v>
      </c>
      <c r="K261" s="458"/>
      <c r="L261" s="458">
        <f>DATA!CO$76</f>
        <v>0.151</v>
      </c>
      <c r="M261" s="458"/>
      <c r="N261" s="458">
        <f>DATA!CO$77</f>
        <v>0.20599999999999999</v>
      </c>
      <c r="O261" s="1781"/>
      <c r="S261" s="61"/>
      <c r="T261" s="61"/>
    </row>
    <row r="262" spans="1:34" ht="22.5" customHeight="1" x14ac:dyDescent="0.25">
      <c r="A262" s="455" t="s">
        <v>636</v>
      </c>
      <c r="B262" s="456"/>
      <c r="C262" s="456"/>
      <c r="D262" s="456"/>
      <c r="E262" s="157" t="s">
        <v>658</v>
      </c>
      <c r="F262" s="1843">
        <f>HLOOKUP(E262,cfc,DATA!A$1+1,FALSE)</f>
        <v>435</v>
      </c>
      <c r="G262" s="236">
        <f>HLOOKUP(A262,cfc,DATA!A$1+1,FALSE)</f>
        <v>0.16322701688555347</v>
      </c>
      <c r="H262" s="158">
        <f>HLOOKUP(E262,cfc,DATA!B$1+1,FALSE)</f>
        <v>495</v>
      </c>
      <c r="I262" s="236">
        <f>HLOOKUP(A262,cfc,DATA!B$1+1,FALSE)</f>
        <v>0.19919517102615694</v>
      </c>
      <c r="J262" s="457">
        <v>0.124</v>
      </c>
      <c r="K262" s="457"/>
      <c r="L262" s="457">
        <v>0.14199999999999999</v>
      </c>
      <c r="M262" s="457"/>
      <c r="N262" s="457">
        <v>0.192</v>
      </c>
      <c r="O262" s="1782"/>
      <c r="S262" s="61"/>
      <c r="T262" s="61"/>
    </row>
    <row r="263" spans="1:34" ht="252" customHeight="1" x14ac:dyDescent="0.25">
      <c r="A263" s="534"/>
      <c r="B263" s="1783"/>
      <c r="C263" s="1783"/>
      <c r="D263" s="1783"/>
      <c r="E263" s="1783"/>
      <c r="F263" s="1783"/>
      <c r="G263" s="1783"/>
      <c r="H263" s="1783"/>
      <c r="I263" s="1783"/>
      <c r="J263" s="1783"/>
      <c r="K263" s="1783"/>
      <c r="L263" s="1783"/>
      <c r="M263" s="1783"/>
      <c r="N263" s="1783"/>
      <c r="O263" s="535"/>
      <c r="S263" s="61"/>
      <c r="T263" s="61"/>
    </row>
    <row r="264" spans="1:34" s="20" customFormat="1" ht="29.4" customHeight="1" x14ac:dyDescent="0.25">
      <c r="A264" s="519" t="s">
        <v>835</v>
      </c>
      <c r="B264" s="520"/>
      <c r="C264" s="520"/>
      <c r="D264" s="520"/>
      <c r="E264" s="520"/>
      <c r="F264" s="520"/>
      <c r="G264" s="520"/>
      <c r="H264" s="520"/>
      <c r="I264" s="520"/>
      <c r="J264" s="520"/>
      <c r="K264" s="520"/>
      <c r="L264" s="520"/>
      <c r="M264" s="520"/>
      <c r="N264" s="521" t="s">
        <v>600</v>
      </c>
      <c r="O264" s="522"/>
      <c r="P264" s="9"/>
      <c r="Q264" s="19"/>
      <c r="R264" s="19"/>
      <c r="S264" s="41"/>
      <c r="T264" s="41"/>
      <c r="U264" s="10"/>
      <c r="V264" s="10"/>
      <c r="W264" s="10"/>
      <c r="X264" s="10"/>
      <c r="Y264" s="10"/>
      <c r="Z264" s="10"/>
      <c r="AA264" s="10"/>
      <c r="AB264" s="16"/>
      <c r="AC264" s="16"/>
      <c r="AD264" s="16"/>
      <c r="AE264" s="16"/>
      <c r="AF264" s="16"/>
      <c r="AG264" s="16"/>
      <c r="AH264" s="16"/>
    </row>
    <row r="265" spans="1:34" s="36" customFormat="1" ht="44.25" customHeight="1" x14ac:dyDescent="0.25">
      <c r="A265" s="1021" t="s">
        <v>230</v>
      </c>
      <c r="B265" s="582"/>
      <c r="C265" s="537" t="s">
        <v>271</v>
      </c>
      <c r="D265" s="538"/>
      <c r="E265" s="538"/>
      <c r="F265" s="538"/>
      <c r="G265" s="538"/>
      <c r="H265" s="538"/>
      <c r="I265" s="538"/>
      <c r="J265" s="538"/>
      <c r="K265" s="538"/>
      <c r="L265" s="538"/>
      <c r="M265" s="538"/>
      <c r="N265" s="538"/>
      <c r="O265" s="583"/>
      <c r="P265" s="37"/>
      <c r="Q265" s="35"/>
      <c r="R265" s="35"/>
      <c r="S265" s="63"/>
      <c r="T265" s="63"/>
      <c r="U265" s="64"/>
      <c r="V265" s="64"/>
      <c r="W265" s="64"/>
      <c r="X265" s="64"/>
      <c r="Y265" s="64"/>
      <c r="Z265" s="64"/>
      <c r="AA265" s="64"/>
      <c r="AB265" s="58"/>
      <c r="AC265" s="58"/>
      <c r="AD265" s="58"/>
      <c r="AE265" s="58"/>
      <c r="AF265" s="58"/>
      <c r="AG265" s="58"/>
      <c r="AH265" s="58"/>
    </row>
    <row r="266" spans="1:34" s="36" customFormat="1" ht="55.8" customHeight="1" x14ac:dyDescent="0.25">
      <c r="A266" s="1021" t="s">
        <v>272</v>
      </c>
      <c r="B266" s="582"/>
      <c r="C266" s="537" t="s">
        <v>89</v>
      </c>
      <c r="D266" s="538"/>
      <c r="E266" s="538"/>
      <c r="F266" s="538"/>
      <c r="G266" s="538"/>
      <c r="H266" s="538"/>
      <c r="I266" s="538"/>
      <c r="J266" s="538"/>
      <c r="K266" s="538"/>
      <c r="L266" s="538"/>
      <c r="M266" s="539" t="s">
        <v>12</v>
      </c>
      <c r="N266" s="540"/>
      <c r="O266" s="540"/>
      <c r="P266" s="37"/>
      <c r="Q266" s="35"/>
      <c r="R266" s="35"/>
      <c r="S266" s="63"/>
      <c r="T266" s="63"/>
      <c r="U266" s="64"/>
      <c r="V266" s="64"/>
      <c r="W266" s="64"/>
      <c r="X266" s="64"/>
      <c r="Y266" s="64"/>
      <c r="Z266" s="64"/>
      <c r="AA266" s="64"/>
      <c r="AB266" s="58"/>
      <c r="AC266" s="58"/>
      <c r="AD266" s="58"/>
      <c r="AE266" s="58"/>
      <c r="AF266" s="58"/>
      <c r="AG266" s="58"/>
      <c r="AH266" s="58"/>
    </row>
    <row r="267" spans="1:34" s="36" customFormat="1" ht="64.2" customHeight="1" x14ac:dyDescent="0.25">
      <c r="A267" s="1044" t="s">
        <v>229</v>
      </c>
      <c r="B267" s="584"/>
      <c r="C267" s="531" t="s">
        <v>90</v>
      </c>
      <c r="D267" s="532"/>
      <c r="E267" s="532"/>
      <c r="F267" s="532"/>
      <c r="G267" s="532"/>
      <c r="H267" s="532"/>
      <c r="I267" s="532"/>
      <c r="J267" s="532"/>
      <c r="K267" s="532"/>
      <c r="L267" s="532"/>
      <c r="M267" s="532"/>
      <c r="N267" s="532"/>
      <c r="O267" s="533"/>
      <c r="P267" s="37"/>
      <c r="Q267" s="35"/>
      <c r="R267" s="35"/>
      <c r="S267" s="63"/>
      <c r="T267" s="63"/>
      <c r="U267" s="64"/>
      <c r="V267" s="64"/>
      <c r="W267" s="64"/>
      <c r="X267" s="64"/>
      <c r="Y267" s="64"/>
      <c r="Z267" s="64"/>
      <c r="AA267" s="64"/>
      <c r="AB267" s="58"/>
      <c r="AC267" s="58"/>
      <c r="AD267" s="58"/>
      <c r="AE267" s="58"/>
      <c r="AF267" s="58"/>
      <c r="AG267" s="58"/>
      <c r="AH267" s="58"/>
    </row>
    <row r="268" spans="1:34" s="36" customFormat="1" ht="42.75" customHeight="1" x14ac:dyDescent="0.25">
      <c r="A268" s="980" t="s">
        <v>273</v>
      </c>
      <c r="B268" s="552"/>
      <c r="C268" s="537" t="s">
        <v>731</v>
      </c>
      <c r="D268" s="538"/>
      <c r="E268" s="538"/>
      <c r="F268" s="538"/>
      <c r="G268" s="538"/>
      <c r="H268" s="538"/>
      <c r="I268" s="538"/>
      <c r="J268" s="538"/>
      <c r="K268" s="538"/>
      <c r="L268" s="538"/>
      <c r="M268" s="538"/>
      <c r="N268" s="538"/>
      <c r="O268" s="583"/>
      <c r="P268" s="37"/>
      <c r="Q268" s="35"/>
      <c r="R268" s="35"/>
      <c r="S268" s="63"/>
      <c r="T268" s="63"/>
      <c r="U268" s="64"/>
      <c r="V268" s="64"/>
      <c r="W268" s="64"/>
      <c r="X268" s="64"/>
      <c r="Y268" s="64"/>
      <c r="Z268" s="64"/>
      <c r="AA268" s="64"/>
      <c r="AB268" s="58"/>
      <c r="AC268" s="58"/>
      <c r="AD268" s="58"/>
      <c r="AE268" s="58"/>
      <c r="AF268" s="58"/>
      <c r="AG268" s="58"/>
      <c r="AH268" s="58"/>
    </row>
    <row r="269" spans="1:34" s="25" customFormat="1" ht="34.799999999999997" customHeight="1" x14ac:dyDescent="0.25">
      <c r="A269" s="981" t="s">
        <v>767</v>
      </c>
      <c r="B269" s="982"/>
      <c r="C269" s="982"/>
      <c r="D269" s="982"/>
      <c r="E269" s="982"/>
      <c r="F269" s="982"/>
      <c r="G269" s="982"/>
      <c r="H269" s="982"/>
      <c r="I269" s="982"/>
      <c r="J269" s="982"/>
      <c r="K269" s="983"/>
      <c r="L269" s="495" t="str">
        <f>$D$71</f>
        <v>Kingston Buci</v>
      </c>
      <c r="M269" s="495"/>
      <c r="N269" s="546" t="str">
        <f>$J$71</f>
        <v>Stepping Stones</v>
      </c>
      <c r="O269" s="546"/>
      <c r="P269" s="52"/>
      <c r="Q269" s="24"/>
      <c r="R269" s="24"/>
      <c r="S269" s="65"/>
      <c r="T269" s="65"/>
      <c r="U269" s="56"/>
      <c r="V269" s="56"/>
      <c r="W269" s="56"/>
      <c r="X269" s="56"/>
      <c r="Y269" s="56"/>
      <c r="Z269" s="56"/>
      <c r="AA269" s="56"/>
      <c r="AB269" s="57"/>
      <c r="AC269" s="57"/>
      <c r="AD269" s="57"/>
      <c r="AE269" s="57"/>
      <c r="AF269" s="57"/>
      <c r="AG269" s="57"/>
      <c r="AH269" s="57"/>
    </row>
    <row r="270" spans="1:34" s="25" customFormat="1" ht="19.5" customHeight="1" x14ac:dyDescent="0.25">
      <c r="A270" s="962" t="s">
        <v>14</v>
      </c>
      <c r="B270" s="963"/>
      <c r="C270" s="964"/>
      <c r="D270" s="972" t="s">
        <v>732</v>
      </c>
      <c r="E270" s="973"/>
      <c r="F270" s="973"/>
      <c r="G270" s="973"/>
      <c r="H270" s="973"/>
      <c r="I270" s="973"/>
      <c r="J270" s="973"/>
      <c r="K270" s="81" t="s">
        <v>383</v>
      </c>
      <c r="L270" s="960">
        <f>HLOOKUP(K270,cfc,DATA!A1+1,FALSE)</f>
        <v>181</v>
      </c>
      <c r="M270" s="961"/>
      <c r="N270" s="960">
        <f>HLOOKUP(K270,cfc,DATA!B$1+1,FALSE)</f>
        <v>138</v>
      </c>
      <c r="O270" s="961"/>
      <c r="P270" s="52"/>
      <c r="Q270" s="24"/>
      <c r="R270" s="24"/>
      <c r="S270" s="65"/>
      <c r="T270" s="65"/>
      <c r="U270" s="56"/>
      <c r="V270" s="56"/>
      <c r="W270" s="56"/>
      <c r="X270" s="56"/>
      <c r="Y270" s="56"/>
      <c r="Z270" s="56"/>
      <c r="AA270" s="56"/>
      <c r="AB270" s="57"/>
      <c r="AC270" s="57"/>
      <c r="AD270" s="57"/>
      <c r="AE270" s="57"/>
      <c r="AF270" s="57"/>
      <c r="AG270" s="57"/>
      <c r="AH270" s="57"/>
    </row>
    <row r="271" spans="1:34" s="25" customFormat="1" ht="19.5" customHeight="1" x14ac:dyDescent="0.25">
      <c r="A271" s="926"/>
      <c r="B271" s="965"/>
      <c r="C271" s="966"/>
      <c r="D271" s="972" t="s">
        <v>733</v>
      </c>
      <c r="E271" s="973"/>
      <c r="F271" s="973"/>
      <c r="G271" s="973"/>
      <c r="H271" s="973"/>
      <c r="I271" s="973"/>
      <c r="J271" s="973"/>
      <c r="K271" s="81" t="s">
        <v>385</v>
      </c>
      <c r="L271" s="960">
        <f>HLOOKUP(K271,cfc,DATA!A$1+1,FALSE)</f>
        <v>176</v>
      </c>
      <c r="M271" s="961"/>
      <c r="N271" s="960">
        <f>HLOOKUP(K271,cfc,DATA!B$1+1,FALSE)</f>
        <v>123</v>
      </c>
      <c r="O271" s="961"/>
      <c r="P271" s="52"/>
      <c r="Q271" s="24"/>
      <c r="R271" s="24"/>
      <c r="S271" s="65"/>
      <c r="T271" s="65"/>
      <c r="U271" s="56"/>
      <c r="V271" s="56"/>
      <c r="W271" s="56"/>
      <c r="X271" s="56"/>
      <c r="Y271" s="56"/>
      <c r="Z271" s="56"/>
      <c r="AA271" s="56"/>
      <c r="AB271" s="57"/>
      <c r="AC271" s="57"/>
      <c r="AD271" s="57"/>
      <c r="AE271" s="57"/>
      <c r="AF271" s="57"/>
      <c r="AG271" s="57"/>
      <c r="AH271" s="57"/>
    </row>
    <row r="272" spans="1:34" s="25" customFormat="1" ht="19.5" customHeight="1" x14ac:dyDescent="0.25">
      <c r="A272" s="926"/>
      <c r="B272" s="965"/>
      <c r="C272" s="966"/>
      <c r="D272" s="972" t="s">
        <v>734</v>
      </c>
      <c r="E272" s="973"/>
      <c r="F272" s="973"/>
      <c r="G272" s="973"/>
      <c r="H272" s="973"/>
      <c r="I272" s="973"/>
      <c r="J272" s="973"/>
      <c r="K272" s="81" t="s">
        <v>386</v>
      </c>
      <c r="L272" s="544">
        <f>HLOOKUP(K272,cfc,DATA!A$1+1,FALSE)</f>
        <v>0.97242984471245353</v>
      </c>
      <c r="M272" s="545"/>
      <c r="N272" s="544">
        <f>HLOOKUP(K272,cfc,DATA!B$1+1,FALSE)</f>
        <v>0.90037632661901679</v>
      </c>
      <c r="O272" s="545"/>
      <c r="P272" s="52"/>
      <c r="Q272" s="24"/>
      <c r="R272" s="24"/>
      <c r="S272" s="65"/>
      <c r="T272" s="65"/>
      <c r="U272" s="56"/>
      <c r="V272" s="56"/>
      <c r="W272" s="56"/>
      <c r="X272" s="56"/>
      <c r="Y272" s="56"/>
      <c r="Z272" s="56"/>
      <c r="AA272" s="56"/>
      <c r="AB272" s="57"/>
      <c r="AC272" s="57"/>
      <c r="AD272" s="57"/>
      <c r="AE272" s="57"/>
      <c r="AF272" s="57"/>
      <c r="AG272" s="57"/>
      <c r="AH272" s="57"/>
    </row>
    <row r="273" spans="1:34" s="25" customFormat="1" ht="19.5" customHeight="1" x14ac:dyDescent="0.3">
      <c r="A273" s="967"/>
      <c r="B273" s="968"/>
      <c r="C273" s="966"/>
      <c r="D273" s="1028" t="s">
        <v>735</v>
      </c>
      <c r="E273" s="1029"/>
      <c r="F273" s="1029"/>
      <c r="G273" s="1029"/>
      <c r="H273" s="1029"/>
      <c r="I273" s="1029"/>
      <c r="J273" s="1029"/>
      <c r="K273" s="82" t="s">
        <v>387</v>
      </c>
      <c r="L273" s="960">
        <f>HLOOKUP(K273,cfc,DATA!A$1+1,FALSE)</f>
        <v>73</v>
      </c>
      <c r="M273" s="961"/>
      <c r="N273" s="960">
        <f>HLOOKUP(K273,cfc,DATA!B$1+1,FALSE)</f>
        <v>51</v>
      </c>
      <c r="O273" s="961"/>
      <c r="P273" s="52"/>
      <c r="Q273" s="24"/>
      <c r="R273" s="24"/>
      <c r="S273" s="65"/>
      <c r="T273" s="65"/>
      <c r="U273" s="56"/>
      <c r="V273" s="56"/>
      <c r="W273" s="56"/>
      <c r="X273" s="56"/>
      <c r="Y273" s="56"/>
      <c r="Z273" s="56"/>
      <c r="AA273" s="56"/>
      <c r="AB273" s="57"/>
      <c r="AC273" s="57"/>
      <c r="AD273" s="57"/>
      <c r="AE273" s="57"/>
      <c r="AF273" s="57"/>
      <c r="AG273" s="57"/>
      <c r="AH273" s="57"/>
    </row>
    <row r="274" spans="1:34" ht="19.5" customHeight="1" x14ac:dyDescent="0.3">
      <c r="A274" s="967"/>
      <c r="B274" s="968"/>
      <c r="C274" s="966"/>
      <c r="D274" s="1028" t="s">
        <v>736</v>
      </c>
      <c r="E274" s="1029"/>
      <c r="F274" s="1029"/>
      <c r="G274" s="1029"/>
      <c r="H274" s="1029"/>
      <c r="I274" s="1029"/>
      <c r="J274" s="1029"/>
      <c r="K274" s="82" t="s">
        <v>388</v>
      </c>
      <c r="L274" s="960">
        <f>HLOOKUP(K274,cfc,DATA!A$1+1,FALSE)</f>
        <v>95</v>
      </c>
      <c r="M274" s="961"/>
      <c r="N274" s="960">
        <f>HLOOKUP(K274,cfc,DATA!B$1+1,FALSE)</f>
        <v>71</v>
      </c>
      <c r="O274" s="961"/>
      <c r="S274" s="61"/>
      <c r="T274" s="61"/>
    </row>
    <row r="275" spans="1:34" ht="19.5" customHeight="1" x14ac:dyDescent="0.3">
      <c r="A275" s="967"/>
      <c r="B275" s="968"/>
      <c r="C275" s="966"/>
      <c r="D275" s="1028" t="s">
        <v>737</v>
      </c>
      <c r="E275" s="1029"/>
      <c r="F275" s="1029"/>
      <c r="G275" s="1029"/>
      <c r="H275" s="1029"/>
      <c r="I275" s="1029"/>
      <c r="J275" s="1029"/>
      <c r="K275" s="82" t="s">
        <v>389</v>
      </c>
      <c r="L275" s="544">
        <f>HLOOKUP(K275,cfc,DATA!A$1+1,FALSE)</f>
        <v>0.42210762312085143</v>
      </c>
      <c r="M275" s="545"/>
      <c r="N275" s="544">
        <f>HLOOKUP(K275,cfc,DATA!B$1+1,FALSE)</f>
        <v>0.39368252379312629</v>
      </c>
      <c r="O275" s="545"/>
      <c r="S275" s="61"/>
      <c r="T275" s="61"/>
    </row>
    <row r="276" spans="1:34" ht="19.5" customHeight="1" x14ac:dyDescent="0.3">
      <c r="A276" s="969"/>
      <c r="B276" s="970"/>
      <c r="C276" s="971"/>
      <c r="D276" s="1446" t="s">
        <v>738</v>
      </c>
      <c r="E276" s="1447"/>
      <c r="F276" s="1447"/>
      <c r="G276" s="1447"/>
      <c r="H276" s="1447"/>
      <c r="I276" s="1447"/>
      <c r="J276" s="1447"/>
      <c r="K276" s="83" t="s">
        <v>390</v>
      </c>
      <c r="L276" s="544">
        <f>HLOOKUP(K276,cfc,DATA!A$1+1,FALSE)</f>
        <v>0.5499432456088803</v>
      </c>
      <c r="M276" s="545"/>
      <c r="N276" s="544">
        <f>HLOOKUP(K276,cfc,DATA!B$1+1,FALSE)</f>
        <v>0.56805227360147259</v>
      </c>
      <c r="O276" s="545"/>
      <c r="S276" s="61"/>
      <c r="T276" s="61"/>
    </row>
    <row r="277" spans="1:34" ht="22.5" customHeight="1" x14ac:dyDescent="0.25">
      <c r="A277" s="1193" t="s">
        <v>739</v>
      </c>
      <c r="B277" s="1194"/>
      <c r="C277" s="1194"/>
      <c r="D277" s="1194"/>
      <c r="E277" s="1194"/>
      <c r="F277" s="1194"/>
      <c r="G277" s="1194"/>
      <c r="H277" s="1194"/>
      <c r="I277" s="1194"/>
      <c r="J277" s="1194"/>
      <c r="K277" s="1194"/>
      <c r="L277" s="1194"/>
      <c r="M277" s="1194"/>
      <c r="N277" s="1194"/>
      <c r="O277" s="1195"/>
      <c r="P277" s="37"/>
      <c r="S277" s="61"/>
      <c r="T277" s="61"/>
    </row>
    <row r="278" spans="1:34" s="16" customFormat="1" ht="25.5" customHeight="1" x14ac:dyDescent="0.25">
      <c r="A278" s="1747"/>
      <c r="B278" s="1748"/>
      <c r="C278" s="1749" t="str">
        <f>L269</f>
        <v>Kingston Buci</v>
      </c>
      <c r="D278" s="1749" t="str">
        <f>N269</f>
        <v>Stepping Stones</v>
      </c>
      <c r="E278" s="1750"/>
      <c r="F278" s="1750"/>
      <c r="G278" s="1750"/>
      <c r="H278" s="1750"/>
      <c r="I278" s="1750"/>
      <c r="J278" s="1750"/>
      <c r="K278" s="1750"/>
      <c r="L278" s="1750"/>
      <c r="M278" s="84"/>
      <c r="N278" s="84"/>
      <c r="O278" s="85"/>
      <c r="P278" s="9"/>
      <c r="Q278" s="9"/>
      <c r="R278" s="9"/>
      <c r="S278" s="10"/>
      <c r="T278" s="10"/>
      <c r="U278" s="10"/>
      <c r="V278" s="10"/>
      <c r="W278" s="10"/>
      <c r="X278" s="10"/>
      <c r="Y278" s="10"/>
      <c r="Z278" s="10"/>
      <c r="AA278" s="10"/>
    </row>
    <row r="279" spans="1:34" ht="25.5" customHeight="1" x14ac:dyDescent="0.2">
      <c r="A279" s="1751"/>
      <c r="B279" s="1752" t="s">
        <v>536</v>
      </c>
      <c r="C279" s="1753">
        <f>(HLOOKUP(K275,cfc,DATA!A$1+1,FALSE))</f>
        <v>0.42210762312085143</v>
      </c>
      <c r="D279" s="1753">
        <f>HLOOKUP(K275,cfc,DATA!B$1+1,FALSE)</f>
        <v>0.39368252379312629</v>
      </c>
      <c r="E279" s="1754"/>
      <c r="F279" s="1755"/>
      <c r="G279" s="1752" t="str">
        <f>B279</f>
        <v>% Exclusively breast fed (2012/2013)</v>
      </c>
      <c r="H279" s="1752" t="str">
        <f>B280</f>
        <v>ExclusiveLCL</v>
      </c>
      <c r="I279" s="1752" t="str">
        <f>B281</f>
        <v>ExclusiveUCL</v>
      </c>
      <c r="J279" s="1752" t="str">
        <f>B282</f>
        <v>% Breastfeeding (including partially) (2012/2013)</v>
      </c>
      <c r="K279" s="1756" t="str">
        <f>B283</f>
        <v>PartialLCL</v>
      </c>
      <c r="L279" s="1756" t="str">
        <f>B284</f>
        <v>PartialUCL</v>
      </c>
      <c r="M279" s="15"/>
      <c r="N279" s="15"/>
      <c r="O279" s="29"/>
      <c r="S279" s="61"/>
      <c r="T279" s="61"/>
    </row>
    <row r="280" spans="1:34" ht="25.5" customHeight="1" x14ac:dyDescent="0.2">
      <c r="A280" s="1751"/>
      <c r="B280" s="1757" t="s">
        <v>41</v>
      </c>
      <c r="C280" s="1753">
        <f>HLOOKUP(B280,cfc,DATA!A1+1,FALSE)</f>
        <v>0.34456265326077334</v>
      </c>
      <c r="D280" s="1753">
        <f>HLOOKUP(B280,cfc,DATA!B1+1,FALSE)</f>
        <v>0.33144299050634901</v>
      </c>
      <c r="E280" s="1754"/>
      <c r="F280" s="1755" t="str">
        <f>C278</f>
        <v>Kingston Buci</v>
      </c>
      <c r="G280" s="1758">
        <f>C279</f>
        <v>0.42210762312085143</v>
      </c>
      <c r="H280" s="1758">
        <f>G280-C280</f>
        <v>7.7544969860078083E-2</v>
      </c>
      <c r="I280" s="1758">
        <f>C281-G280</f>
        <v>6.6516261104696495E-2</v>
      </c>
      <c r="J280" s="1758">
        <f>C282</f>
        <v>0.5499432456088803</v>
      </c>
      <c r="K280" s="1758">
        <f>J280-C283</f>
        <v>8.38705430866446E-2</v>
      </c>
      <c r="L280" s="1758">
        <f>C284-J280</f>
        <v>6.1830334375267415E-2</v>
      </c>
      <c r="M280" s="15"/>
      <c r="N280" s="15"/>
      <c r="O280" s="29"/>
      <c r="S280" s="61"/>
      <c r="T280" s="61"/>
    </row>
    <row r="281" spans="1:34" ht="25.5" customHeight="1" x14ac:dyDescent="0.2">
      <c r="A281" s="1751"/>
      <c r="B281" s="1757" t="s">
        <v>42</v>
      </c>
      <c r="C281" s="1753">
        <f>HLOOKUP(B281,cfc,DATA!A1+1,FALSE)</f>
        <v>0.48862388422554792</v>
      </c>
      <c r="D281" s="1753">
        <f>HLOOKUP(B281,cfc,DATA!B1+1,FALSE)</f>
        <v>0.50299618402314283</v>
      </c>
      <c r="E281" s="1754"/>
      <c r="F281" s="1755" t="str">
        <f>D278</f>
        <v>Stepping Stones</v>
      </c>
      <c r="G281" s="1758">
        <f>D279</f>
        <v>0.39368252379312629</v>
      </c>
      <c r="H281" s="1758">
        <f>G281-D280</f>
        <v>6.2239533286777282E-2</v>
      </c>
      <c r="I281" s="1758">
        <f>D281-G281</f>
        <v>0.10931366023001654</v>
      </c>
      <c r="J281" s="1758">
        <f>D282</f>
        <v>0.56805227360147259</v>
      </c>
      <c r="K281" s="1758">
        <f>J281-D283</f>
        <v>7.9158324441517436E-2</v>
      </c>
      <c r="L281" s="1758">
        <f>D284-J281</f>
        <v>9.2846905045222416E-2</v>
      </c>
      <c r="M281" s="15"/>
      <c r="N281" s="15"/>
      <c r="O281" s="29"/>
      <c r="S281" s="61"/>
      <c r="T281" s="61"/>
    </row>
    <row r="282" spans="1:34" ht="25.5" customHeight="1" x14ac:dyDescent="0.2">
      <c r="A282" s="1751"/>
      <c r="B282" s="1752" t="s">
        <v>537</v>
      </c>
      <c r="C282" s="1753">
        <f>HLOOKUP(K276,cfc,DATA!A1+1,FALSE)</f>
        <v>0.5499432456088803</v>
      </c>
      <c r="D282" s="1753">
        <f>HLOOKUP(K276,cfc,DATA!B$1+1,FALSE)</f>
        <v>0.56805227360147259</v>
      </c>
      <c r="E282" s="1754"/>
      <c r="F282" s="1754"/>
      <c r="G282" s="1754"/>
      <c r="H282" s="1754"/>
      <c r="I282" s="1754"/>
      <c r="J282" s="1754"/>
      <c r="K282" s="1754"/>
      <c r="L282" s="1754"/>
      <c r="M282" s="15"/>
      <c r="N282" s="15"/>
      <c r="O282" s="29"/>
      <c r="S282" s="61"/>
      <c r="T282" s="61"/>
    </row>
    <row r="283" spans="1:34" ht="25.5" customHeight="1" x14ac:dyDescent="0.2">
      <c r="A283" s="86"/>
      <c r="B283" s="1756" t="s">
        <v>39</v>
      </c>
      <c r="C283" s="1753">
        <f>HLOOKUP(B283,cfc,DATA!A1+1,FALSE)</f>
        <v>0.4660727025222357</v>
      </c>
      <c r="D283" s="1753">
        <f>HLOOKUP(B283,cfc,DATA!B1+1,FALSE)</f>
        <v>0.48889394915995515</v>
      </c>
      <c r="E283" s="1754"/>
      <c r="F283" s="15"/>
      <c r="G283" s="15"/>
      <c r="H283" s="15"/>
      <c r="I283" s="15"/>
      <c r="J283" s="15"/>
      <c r="K283" s="15"/>
      <c r="L283" s="15"/>
      <c r="M283" s="15"/>
      <c r="N283" s="15"/>
      <c r="O283" s="29"/>
      <c r="S283" s="61"/>
      <c r="T283" s="61"/>
    </row>
    <row r="284" spans="1:34" ht="14.25" customHeight="1" x14ac:dyDescent="0.2">
      <c r="A284" s="87"/>
      <c r="B284" s="1759" t="s">
        <v>40</v>
      </c>
      <c r="C284" s="1760">
        <f>HLOOKUP(B284,cfc,DATA!A1+1,FALSE)</f>
        <v>0.61177357998414772</v>
      </c>
      <c r="D284" s="1760">
        <f>HLOOKUP(B284,cfc,DATA!B1+1,FALSE)</f>
        <v>0.66089917864669501</v>
      </c>
      <c r="E284" s="1761"/>
      <c r="F284" s="88"/>
      <c r="G284" s="88"/>
      <c r="H284" s="88"/>
      <c r="I284" s="88"/>
      <c r="J284" s="88"/>
      <c r="K284" s="88"/>
      <c r="L284" s="88"/>
      <c r="M284" s="88"/>
      <c r="N284" s="88"/>
      <c r="O284" s="89"/>
      <c r="S284" s="61"/>
      <c r="T284" s="61"/>
    </row>
    <row r="285" spans="1:34" s="20" customFormat="1" ht="26.25" customHeight="1" x14ac:dyDescent="0.25">
      <c r="A285" s="475" t="s">
        <v>824</v>
      </c>
      <c r="B285" s="476"/>
      <c r="C285" s="476"/>
      <c r="D285" s="476"/>
      <c r="E285" s="476"/>
      <c r="F285" s="476"/>
      <c r="G285" s="476"/>
      <c r="H285" s="476"/>
      <c r="I285" s="476"/>
      <c r="J285" s="476"/>
      <c r="K285" s="476"/>
      <c r="L285" s="476"/>
      <c r="M285" s="476"/>
      <c r="N285" s="476"/>
      <c r="O285" s="247" t="s">
        <v>600</v>
      </c>
      <c r="P285" s="9"/>
      <c r="Q285" s="19"/>
      <c r="R285" s="19"/>
      <c r="S285" s="41"/>
      <c r="T285" s="41"/>
      <c r="U285" s="10"/>
      <c r="V285" s="10"/>
      <c r="W285" s="10"/>
      <c r="X285" s="10"/>
      <c r="Y285" s="10"/>
      <c r="Z285" s="10"/>
      <c r="AA285" s="10"/>
      <c r="AB285" s="16"/>
      <c r="AC285" s="16"/>
      <c r="AD285" s="16"/>
      <c r="AE285" s="16"/>
      <c r="AF285" s="16"/>
      <c r="AG285" s="16"/>
      <c r="AH285" s="16"/>
    </row>
    <row r="286" spans="1:34" ht="69" customHeight="1" x14ac:dyDescent="0.25">
      <c r="A286" s="1386" t="s">
        <v>823</v>
      </c>
      <c r="B286" s="1387"/>
      <c r="C286" s="1387"/>
      <c r="D286" s="1387"/>
      <c r="E286" s="1387"/>
      <c r="F286" s="1387"/>
      <c r="G286" s="1387"/>
      <c r="H286" s="1387"/>
      <c r="I286" s="1387"/>
      <c r="J286" s="1387"/>
      <c r="K286" s="1387"/>
      <c r="L286" s="1387"/>
      <c r="M286" s="1387"/>
      <c r="N286" s="1387"/>
      <c r="O286" s="1388"/>
      <c r="S286" s="61"/>
      <c r="T286" s="61"/>
    </row>
    <row r="287" spans="1:34" ht="36.75" customHeight="1" x14ac:dyDescent="0.25">
      <c r="A287" s="527" t="s">
        <v>84</v>
      </c>
      <c r="B287" s="528"/>
      <c r="C287" s="877" t="s">
        <v>91</v>
      </c>
      <c r="D287" s="877"/>
      <c r="E287" s="877"/>
      <c r="F287" s="877"/>
      <c r="G287" s="877"/>
      <c r="H287" s="877"/>
      <c r="I287" s="877"/>
      <c r="J287" s="877"/>
      <c r="K287" s="877"/>
      <c r="L287" s="877"/>
      <c r="M287" s="877"/>
      <c r="N287" s="877"/>
      <c r="O287" s="959"/>
      <c r="S287" s="61"/>
      <c r="T287" s="61"/>
    </row>
    <row r="288" spans="1:34" ht="18" customHeight="1" x14ac:dyDescent="0.25">
      <c r="A288" s="529"/>
      <c r="B288" s="530"/>
      <c r="C288" s="1083" t="s">
        <v>85</v>
      </c>
      <c r="D288" s="1083"/>
      <c r="E288" s="1083"/>
      <c r="F288" s="1083"/>
      <c r="G288" s="1083"/>
      <c r="H288" s="1083"/>
      <c r="I288" s="1083"/>
      <c r="J288" s="1083"/>
      <c r="K288" s="1083"/>
      <c r="L288" s="1083"/>
      <c r="M288" s="1083"/>
      <c r="N288" s="1083"/>
      <c r="O288" s="1084"/>
      <c r="S288" s="61"/>
      <c r="T288" s="61"/>
    </row>
    <row r="289" spans="1:34" ht="18" customHeight="1" x14ac:dyDescent="0.25">
      <c r="A289" s="529"/>
      <c r="B289" s="530"/>
      <c r="C289" s="1083" t="s">
        <v>98</v>
      </c>
      <c r="D289" s="1083"/>
      <c r="E289" s="1083"/>
      <c r="F289" s="1083"/>
      <c r="G289" s="1083"/>
      <c r="H289" s="1083"/>
      <c r="I289" s="1083"/>
      <c r="J289" s="1083"/>
      <c r="K289" s="1083"/>
      <c r="L289" s="1083"/>
      <c r="M289" s="1083"/>
      <c r="N289" s="1083"/>
      <c r="O289" s="1084"/>
      <c r="S289" s="61"/>
      <c r="T289" s="61"/>
    </row>
    <row r="290" spans="1:34" ht="18" customHeight="1" x14ac:dyDescent="0.25">
      <c r="A290" s="529"/>
      <c r="B290" s="530"/>
      <c r="C290" s="541" t="s">
        <v>99</v>
      </c>
      <c r="D290" s="542"/>
      <c r="E290" s="542"/>
      <c r="F290" s="542"/>
      <c r="G290" s="542"/>
      <c r="H290" s="542"/>
      <c r="I290" s="542"/>
      <c r="J290" s="542"/>
      <c r="K290" s="542"/>
      <c r="L290" s="542"/>
      <c r="M290" s="542"/>
      <c r="N290" s="542"/>
      <c r="O290" s="543"/>
      <c r="S290" s="61"/>
      <c r="T290" s="61"/>
    </row>
    <row r="291" spans="1:34" ht="37.799999999999997" customHeight="1" x14ac:dyDescent="0.25">
      <c r="A291" s="1544" t="s">
        <v>834</v>
      </c>
      <c r="B291" s="877"/>
      <c r="C291" s="877"/>
      <c r="D291" s="877"/>
      <c r="E291" s="877"/>
      <c r="F291" s="877"/>
      <c r="G291" s="1545"/>
      <c r="H291" s="1545"/>
      <c r="I291" s="1545"/>
      <c r="J291" s="1546"/>
      <c r="K291" s="1541" t="s">
        <v>177</v>
      </c>
      <c r="L291" s="1542"/>
      <c r="M291" s="1542"/>
      <c r="N291" s="1542"/>
      <c r="O291" s="1543"/>
      <c r="S291" s="61"/>
      <c r="T291" s="61"/>
    </row>
    <row r="292" spans="1:34" ht="30.75" customHeight="1" x14ac:dyDescent="0.25">
      <c r="A292" s="1547"/>
      <c r="B292" s="1548"/>
      <c r="C292" s="1548"/>
      <c r="D292" s="1548"/>
      <c r="E292" s="1548"/>
      <c r="F292" s="1548"/>
      <c r="G292" s="1549"/>
      <c r="H292" s="1549"/>
      <c r="I292" s="1549"/>
      <c r="J292" s="1550"/>
      <c r="K292" s="248" t="s">
        <v>828</v>
      </c>
      <c r="L292" s="248" t="s">
        <v>825</v>
      </c>
      <c r="M292" s="248" t="s">
        <v>826</v>
      </c>
      <c r="N292" s="248" t="s">
        <v>827</v>
      </c>
      <c r="O292" s="248" t="s">
        <v>829</v>
      </c>
      <c r="S292" s="61"/>
      <c r="T292" s="61"/>
    </row>
    <row r="293" spans="1:34" ht="33.6" customHeight="1" x14ac:dyDescent="0.25">
      <c r="A293" s="1539" t="s">
        <v>830</v>
      </c>
      <c r="B293" s="718"/>
      <c r="C293" s="718"/>
      <c r="D293" s="718"/>
      <c r="E293" s="718"/>
      <c r="F293" s="718"/>
      <c r="G293" s="718"/>
      <c r="H293" s="718"/>
      <c r="I293" s="718"/>
      <c r="J293" s="1540"/>
      <c r="K293" s="249">
        <v>0.49780509218612817</v>
      </c>
      <c r="L293" s="250">
        <v>0.42880523731587561</v>
      </c>
      <c r="M293" s="250">
        <v>0.3390894819466248</v>
      </c>
      <c r="N293" s="250">
        <v>0.3637236084452975</v>
      </c>
      <c r="O293" s="251" t="s">
        <v>164</v>
      </c>
      <c r="S293" s="61"/>
      <c r="T293" s="61"/>
    </row>
    <row r="294" spans="1:34" s="160" customFormat="1" ht="33.6" customHeight="1" x14ac:dyDescent="0.25">
      <c r="A294" s="1539" t="s">
        <v>831</v>
      </c>
      <c r="B294" s="718"/>
      <c r="C294" s="718"/>
      <c r="D294" s="718"/>
      <c r="E294" s="718"/>
      <c r="F294" s="718"/>
      <c r="G294" s="718"/>
      <c r="H294" s="718"/>
      <c r="I294" s="718"/>
      <c r="J294" s="1540"/>
      <c r="K294" s="250">
        <v>0.55844155844155841</v>
      </c>
      <c r="L294" s="250">
        <v>0.40454545454545454</v>
      </c>
      <c r="M294" s="250">
        <v>0.40825688073394495</v>
      </c>
      <c r="N294" s="250">
        <v>0.3832199546485261</v>
      </c>
      <c r="O294" s="251" t="s">
        <v>164</v>
      </c>
      <c r="P294" s="9"/>
      <c r="Q294" s="17"/>
      <c r="R294" s="17"/>
      <c r="S294" s="162"/>
      <c r="T294" s="162"/>
      <c r="U294" s="10"/>
      <c r="V294" s="10"/>
      <c r="W294" s="10"/>
      <c r="X294" s="10"/>
      <c r="Y294" s="10"/>
      <c r="Z294" s="10"/>
      <c r="AA294" s="10"/>
      <c r="AB294" s="16"/>
      <c r="AC294" s="16"/>
      <c r="AD294" s="16"/>
      <c r="AE294" s="16"/>
      <c r="AF294" s="16"/>
      <c r="AG294" s="16"/>
      <c r="AH294" s="16"/>
    </row>
    <row r="295" spans="1:34" s="160" customFormat="1" ht="33.6" customHeight="1" x14ac:dyDescent="0.25">
      <c r="A295" s="1539" t="s">
        <v>832</v>
      </c>
      <c r="B295" s="718"/>
      <c r="C295" s="718"/>
      <c r="D295" s="718"/>
      <c r="E295" s="718"/>
      <c r="F295" s="718"/>
      <c r="G295" s="718"/>
      <c r="H295" s="718"/>
      <c r="I295" s="718"/>
      <c r="J295" s="1540"/>
      <c r="K295" s="249">
        <v>0.59130434782608698</v>
      </c>
      <c r="L295" s="250">
        <v>0.50701754385964914</v>
      </c>
      <c r="M295" s="250">
        <v>0.40063091482649843</v>
      </c>
      <c r="N295" s="250">
        <v>0.43016759776536312</v>
      </c>
      <c r="O295" s="251" t="s">
        <v>164</v>
      </c>
      <c r="P295" s="9"/>
      <c r="Q295" s="17"/>
      <c r="R295" s="17"/>
      <c r="S295" s="162"/>
      <c r="T295" s="162"/>
      <c r="U295" s="10"/>
      <c r="V295" s="10"/>
      <c r="W295" s="10"/>
      <c r="X295" s="10"/>
      <c r="Y295" s="10"/>
      <c r="Z295" s="10"/>
      <c r="AA295" s="10"/>
      <c r="AB295" s="16"/>
      <c r="AC295" s="16"/>
      <c r="AD295" s="16"/>
      <c r="AE295" s="16"/>
      <c r="AF295" s="16"/>
      <c r="AG295" s="16"/>
      <c r="AH295" s="16"/>
    </row>
    <row r="296" spans="1:34" ht="33.6" customHeight="1" x14ac:dyDescent="0.25">
      <c r="A296" s="1539" t="s">
        <v>833</v>
      </c>
      <c r="B296" s="718"/>
      <c r="C296" s="718"/>
      <c r="D296" s="718"/>
      <c r="E296" s="718"/>
      <c r="F296" s="718"/>
      <c r="G296" s="718"/>
      <c r="H296" s="718"/>
      <c r="I296" s="718"/>
      <c r="J296" s="1540"/>
      <c r="K296" s="250">
        <v>0.59513776337115076</v>
      </c>
      <c r="L296" s="250">
        <v>0.56274340112505405</v>
      </c>
      <c r="M296" s="250">
        <v>0.56806529245579152</v>
      </c>
      <c r="N296" s="250">
        <v>0.57185663247666241</v>
      </c>
      <c r="O296" s="250">
        <v>0.54468835750686007</v>
      </c>
      <c r="S296" s="61"/>
      <c r="T296" s="61"/>
    </row>
    <row r="297" spans="1:34" ht="33.6" customHeight="1" x14ac:dyDescent="0.25">
      <c r="A297" s="1551" t="s">
        <v>105</v>
      </c>
      <c r="B297" s="1552"/>
      <c r="C297" s="1552"/>
      <c r="D297" s="1552"/>
      <c r="E297" s="1552"/>
      <c r="F297" s="1552"/>
      <c r="G297" s="1552"/>
      <c r="H297" s="1552"/>
      <c r="I297" s="1552"/>
      <c r="J297" s="1553"/>
      <c r="K297" s="252">
        <v>0.45743165632896854</v>
      </c>
      <c r="L297" s="252">
        <v>0.45729092546298339</v>
      </c>
      <c r="M297" s="252">
        <v>0.45666947521202467</v>
      </c>
      <c r="N297" s="252">
        <v>0.46152359727151515</v>
      </c>
      <c r="O297" s="252">
        <v>0.44383044541806066</v>
      </c>
      <c r="S297" s="61"/>
      <c r="T297" s="61"/>
    </row>
    <row r="298" spans="1:34" s="20" customFormat="1" ht="24" customHeight="1" x14ac:dyDescent="0.25">
      <c r="A298" s="523" t="s">
        <v>596</v>
      </c>
      <c r="B298" s="524"/>
      <c r="C298" s="524"/>
      <c r="D298" s="524"/>
      <c r="E298" s="524"/>
      <c r="F298" s="524"/>
      <c r="G298" s="524"/>
      <c r="H298" s="524"/>
      <c r="I298" s="524"/>
      <c r="J298" s="524"/>
      <c r="K298" s="524"/>
      <c r="L298" s="524"/>
      <c r="M298" s="524"/>
      <c r="N298" s="525" t="s">
        <v>600</v>
      </c>
      <c r="O298" s="526"/>
      <c r="P298" s="9"/>
      <c r="Q298" s="19"/>
      <c r="R298" s="19"/>
      <c r="S298" s="41"/>
      <c r="T298" s="41"/>
      <c r="U298" s="10"/>
      <c r="V298" s="10"/>
      <c r="W298" s="10"/>
      <c r="X298" s="10"/>
      <c r="Y298" s="10"/>
      <c r="Z298" s="10"/>
      <c r="AA298" s="10"/>
      <c r="AB298" s="16"/>
      <c r="AC298" s="16"/>
      <c r="AD298" s="16"/>
      <c r="AE298" s="16"/>
      <c r="AF298" s="16"/>
      <c r="AG298" s="16"/>
      <c r="AH298" s="16"/>
    </row>
    <row r="299" spans="1:34" s="20" customFormat="1" ht="17.399999999999999" customHeight="1" x14ac:dyDescent="0.25">
      <c r="A299" s="523" t="s">
        <v>595</v>
      </c>
      <c r="B299" s="524"/>
      <c r="C299" s="524"/>
      <c r="D299" s="524"/>
      <c r="E299" s="524"/>
      <c r="F299" s="524"/>
      <c r="G299" s="524"/>
      <c r="H299" s="524"/>
      <c r="I299" s="524"/>
      <c r="J299" s="524"/>
      <c r="K299" s="524"/>
      <c r="L299" s="524"/>
      <c r="M299" s="524"/>
      <c r="N299" s="524"/>
      <c r="O299" s="557"/>
      <c r="P299" s="9"/>
      <c r="Q299" s="19"/>
      <c r="R299" s="19"/>
      <c r="S299" s="41"/>
      <c r="T299" s="41"/>
      <c r="U299" s="10"/>
      <c r="V299" s="10"/>
      <c r="W299" s="10"/>
      <c r="X299" s="10"/>
      <c r="Y299" s="10"/>
      <c r="Z299" s="10"/>
      <c r="AA299" s="10"/>
      <c r="AB299" s="16"/>
      <c r="AC299" s="16"/>
      <c r="AD299" s="16"/>
      <c r="AE299" s="16"/>
      <c r="AF299" s="16"/>
      <c r="AG299" s="16"/>
      <c r="AH299" s="16"/>
    </row>
    <row r="300" spans="1:34" s="39" customFormat="1" ht="62.25" customHeight="1" x14ac:dyDescent="0.25">
      <c r="A300" s="547" t="s">
        <v>274</v>
      </c>
      <c r="B300" s="548"/>
      <c r="C300" s="507" t="s">
        <v>309</v>
      </c>
      <c r="D300" s="507"/>
      <c r="E300" s="507"/>
      <c r="F300" s="507"/>
      <c r="G300" s="507"/>
      <c r="H300" s="507"/>
      <c r="I300" s="507"/>
      <c r="J300" s="507"/>
      <c r="K300" s="507"/>
      <c r="L300" s="507"/>
      <c r="M300" s="507"/>
      <c r="N300" s="507"/>
      <c r="O300" s="508"/>
      <c r="P300" s="37"/>
      <c r="Q300" s="35"/>
      <c r="R300" s="35"/>
      <c r="S300" s="38"/>
      <c r="T300" s="38"/>
      <c r="U300" s="59"/>
      <c r="V300" s="59"/>
      <c r="W300" s="59"/>
      <c r="X300" s="59"/>
      <c r="Y300" s="59"/>
      <c r="Z300" s="59"/>
      <c r="AA300" s="59"/>
      <c r="AB300" s="60"/>
      <c r="AC300" s="60"/>
      <c r="AD300" s="60"/>
      <c r="AE300" s="60"/>
      <c r="AF300" s="60"/>
      <c r="AG300" s="60"/>
      <c r="AH300" s="60"/>
    </row>
    <row r="301" spans="1:34" s="36" customFormat="1" ht="36.75" customHeight="1" x14ac:dyDescent="0.25">
      <c r="A301" s="547" t="s">
        <v>272</v>
      </c>
      <c r="B301" s="548"/>
      <c r="C301" s="990" t="s">
        <v>300</v>
      </c>
      <c r="D301" s="990"/>
      <c r="E301" s="990"/>
      <c r="F301" s="990"/>
      <c r="G301" s="990"/>
      <c r="H301" s="990"/>
      <c r="I301" s="990"/>
      <c r="J301" s="990"/>
      <c r="K301" s="990"/>
      <c r="L301" s="990"/>
      <c r="M301" s="991" t="s">
        <v>12</v>
      </c>
      <c r="N301" s="992"/>
      <c r="O301" s="992"/>
      <c r="P301" s="37"/>
      <c r="Q301" s="35"/>
      <c r="R301" s="35"/>
      <c r="S301" s="63"/>
      <c r="T301" s="63"/>
      <c r="U301" s="64"/>
      <c r="V301" s="64"/>
      <c r="W301" s="64"/>
      <c r="X301" s="64"/>
      <c r="Y301" s="64"/>
      <c r="Z301" s="64"/>
      <c r="AA301" s="64"/>
      <c r="AB301" s="58"/>
      <c r="AC301" s="58"/>
      <c r="AD301" s="58"/>
      <c r="AE301" s="58"/>
      <c r="AF301" s="58"/>
      <c r="AG301" s="58"/>
      <c r="AH301" s="58"/>
    </row>
    <row r="302" spans="1:34" s="36" customFormat="1" ht="35.25" customHeight="1" x14ac:dyDescent="0.25">
      <c r="A302" s="1450" t="s">
        <v>229</v>
      </c>
      <c r="B302" s="890"/>
      <c r="C302" s="505" t="s">
        <v>310</v>
      </c>
      <c r="D302" s="505"/>
      <c r="E302" s="505"/>
      <c r="F302" s="505"/>
      <c r="G302" s="505"/>
      <c r="H302" s="505"/>
      <c r="I302" s="505"/>
      <c r="J302" s="505"/>
      <c r="K302" s="505"/>
      <c r="L302" s="505"/>
      <c r="M302" s="505"/>
      <c r="N302" s="505"/>
      <c r="O302" s="506"/>
      <c r="P302" s="37"/>
      <c r="Q302" s="35"/>
      <c r="R302" s="35"/>
      <c r="S302" s="63"/>
      <c r="T302" s="63"/>
      <c r="U302" s="64"/>
      <c r="V302" s="64"/>
      <c r="W302" s="64"/>
      <c r="X302" s="64"/>
      <c r="Y302" s="64"/>
      <c r="Z302" s="64"/>
      <c r="AA302" s="64"/>
      <c r="AB302" s="58"/>
      <c r="AC302" s="58"/>
      <c r="AD302" s="58"/>
      <c r="AE302" s="58"/>
      <c r="AF302" s="58"/>
      <c r="AG302" s="58"/>
      <c r="AH302" s="58"/>
    </row>
    <row r="303" spans="1:34" s="36" customFormat="1" ht="21.75" customHeight="1" x14ac:dyDescent="0.25">
      <c r="A303" s="1097" t="s">
        <v>273</v>
      </c>
      <c r="B303" s="1098"/>
      <c r="C303" s="1092" t="s">
        <v>5</v>
      </c>
      <c r="D303" s="1092"/>
      <c r="E303" s="1092"/>
      <c r="F303" s="1092"/>
      <c r="G303" s="1092"/>
      <c r="H303" s="1092"/>
      <c r="I303" s="1092"/>
      <c r="J303" s="1092"/>
      <c r="K303" s="1092"/>
      <c r="L303" s="1092"/>
      <c r="M303" s="1092"/>
      <c r="N303" s="1092"/>
      <c r="O303" s="1093"/>
      <c r="P303" s="37"/>
      <c r="Q303" s="35"/>
      <c r="R303" s="35"/>
      <c r="S303" s="63"/>
      <c r="T303" s="63"/>
      <c r="U303" s="64"/>
      <c r="V303" s="64"/>
      <c r="W303" s="64"/>
      <c r="X303" s="64"/>
      <c r="Y303" s="64"/>
      <c r="Z303" s="64"/>
      <c r="AA303" s="64"/>
      <c r="AB303" s="58"/>
      <c r="AC303" s="58"/>
      <c r="AD303" s="58"/>
      <c r="AE303" s="58"/>
      <c r="AF303" s="58"/>
      <c r="AG303" s="58"/>
      <c r="AH303" s="58"/>
    </row>
    <row r="304" spans="1:34" s="36" customFormat="1" ht="48.75" customHeight="1" x14ac:dyDescent="0.25">
      <c r="A304" s="1099"/>
      <c r="B304" s="1100"/>
      <c r="C304" s="608" t="s">
        <v>6</v>
      </c>
      <c r="D304" s="608"/>
      <c r="E304" s="608"/>
      <c r="F304" s="608"/>
      <c r="G304" s="608"/>
      <c r="H304" s="608"/>
      <c r="I304" s="608"/>
      <c r="J304" s="608"/>
      <c r="K304" s="608"/>
      <c r="L304" s="608"/>
      <c r="M304" s="608"/>
      <c r="N304" s="608"/>
      <c r="O304" s="609"/>
      <c r="P304" s="37"/>
      <c r="Q304" s="35"/>
      <c r="R304" s="35"/>
      <c r="S304" s="63"/>
      <c r="T304" s="63"/>
      <c r="U304" s="64"/>
      <c r="V304" s="64"/>
      <c r="W304" s="64"/>
      <c r="X304" s="64"/>
      <c r="Y304" s="64"/>
      <c r="Z304" s="64"/>
      <c r="AA304" s="64"/>
      <c r="AB304" s="58"/>
      <c r="AC304" s="58"/>
      <c r="AD304" s="58"/>
      <c r="AE304" s="58"/>
      <c r="AF304" s="58"/>
      <c r="AG304" s="58"/>
      <c r="AH304" s="58"/>
    </row>
    <row r="305" spans="1:34" s="36" customFormat="1" ht="36.75" customHeight="1" x14ac:dyDescent="0.25">
      <c r="A305" s="1099"/>
      <c r="B305" s="1100"/>
      <c r="C305" s="978" t="s">
        <v>368</v>
      </c>
      <c r="D305" s="978"/>
      <c r="E305" s="978"/>
      <c r="F305" s="978"/>
      <c r="G305" s="978"/>
      <c r="H305" s="978"/>
      <c r="I305" s="978"/>
      <c r="J305" s="978"/>
      <c r="K305" s="978"/>
      <c r="L305" s="978"/>
      <c r="M305" s="978"/>
      <c r="N305" s="978"/>
      <c r="O305" s="979"/>
      <c r="P305" s="37"/>
      <c r="Q305" s="35"/>
      <c r="R305" s="35"/>
      <c r="S305" s="63"/>
      <c r="T305" s="63"/>
      <c r="U305" s="64"/>
      <c r="V305" s="64"/>
      <c r="W305" s="64"/>
      <c r="X305" s="64"/>
      <c r="Y305" s="64"/>
      <c r="Z305" s="64"/>
      <c r="AA305" s="64"/>
      <c r="AB305" s="58"/>
      <c r="AC305" s="58"/>
      <c r="AD305" s="58"/>
      <c r="AE305" s="58"/>
      <c r="AF305" s="58"/>
      <c r="AG305" s="58"/>
      <c r="AH305" s="58"/>
    </row>
    <row r="306" spans="1:34" s="36" customFormat="1" ht="21.75" customHeight="1" x14ac:dyDescent="0.25">
      <c r="A306" s="1101"/>
      <c r="B306" s="1102"/>
      <c r="C306" s="1103" t="s">
        <v>768</v>
      </c>
      <c r="D306" s="1103"/>
      <c r="E306" s="1103"/>
      <c r="F306" s="1103"/>
      <c r="G306" s="1103"/>
      <c r="H306" s="1103"/>
      <c r="I306" s="1103"/>
      <c r="J306" s="1103"/>
      <c r="K306" s="1103"/>
      <c r="L306" s="1103"/>
      <c r="M306" s="1103"/>
      <c r="N306" s="1103"/>
      <c r="O306" s="1104"/>
      <c r="P306" s="37"/>
      <c r="Q306" s="35"/>
      <c r="R306" s="35"/>
      <c r="S306" s="63"/>
      <c r="T306" s="63"/>
      <c r="U306" s="64"/>
      <c r="V306" s="64"/>
      <c r="W306" s="64"/>
      <c r="X306" s="64"/>
      <c r="Y306" s="64"/>
      <c r="Z306" s="64"/>
      <c r="AA306" s="64"/>
      <c r="AB306" s="58"/>
      <c r="AC306" s="58"/>
      <c r="AD306" s="58"/>
      <c r="AE306" s="58"/>
      <c r="AF306" s="58"/>
      <c r="AG306" s="58"/>
      <c r="AH306" s="58"/>
    </row>
    <row r="307" spans="1:34" s="36" customFormat="1" ht="23.25" customHeight="1" x14ac:dyDescent="0.25">
      <c r="A307" s="994" t="s">
        <v>7</v>
      </c>
      <c r="B307" s="995"/>
      <c r="C307" s="996"/>
      <c r="D307" s="996"/>
      <c r="E307" s="996"/>
      <c r="F307" s="996"/>
      <c r="G307" s="996"/>
      <c r="H307" s="996"/>
      <c r="I307" s="996"/>
      <c r="J307" s="996"/>
      <c r="K307" s="996"/>
      <c r="L307" s="996"/>
      <c r="M307" s="996"/>
      <c r="N307" s="996"/>
      <c r="O307" s="997"/>
      <c r="P307" s="37"/>
      <c r="Q307" s="35"/>
      <c r="R307" s="35"/>
      <c r="S307" s="63"/>
      <c r="T307" s="63"/>
      <c r="U307" s="64"/>
      <c r="V307" s="64"/>
      <c r="W307" s="64"/>
      <c r="X307" s="64"/>
      <c r="Y307" s="64"/>
      <c r="Z307" s="64"/>
      <c r="AA307" s="64"/>
      <c r="AB307" s="58"/>
      <c r="AC307" s="58"/>
      <c r="AD307" s="58"/>
      <c r="AE307" s="58"/>
      <c r="AF307" s="58"/>
      <c r="AG307" s="58"/>
      <c r="AH307" s="58"/>
    </row>
    <row r="308" spans="1:34" s="64" customFormat="1" ht="14.25" customHeight="1" x14ac:dyDescent="0.25">
      <c r="A308" s="90"/>
      <c r="B308" s="91"/>
      <c r="C308" s="92"/>
      <c r="D308" s="92"/>
      <c r="E308" s="92"/>
      <c r="F308" s="92"/>
      <c r="G308" s="92"/>
      <c r="H308" s="93"/>
      <c r="I308" s="93"/>
      <c r="J308" s="93"/>
      <c r="K308" s="93"/>
      <c r="L308" s="93"/>
      <c r="M308" s="93"/>
      <c r="N308" s="93"/>
      <c r="O308" s="94"/>
      <c r="P308" s="37"/>
      <c r="Q308" s="37"/>
      <c r="R308" s="37"/>
    </row>
    <row r="309" spans="1:34" s="10" customFormat="1" ht="13.2" customHeight="1" x14ac:dyDescent="0.25">
      <c r="A309" s="144"/>
      <c r="B309" s="145" t="s">
        <v>189</v>
      </c>
      <c r="C309" s="146" t="str">
        <f>$D$71</f>
        <v>Kingston Buci</v>
      </c>
      <c r="D309" s="146" t="str">
        <f>$J$71</f>
        <v>Stepping Stones</v>
      </c>
      <c r="E309" s="146" t="s">
        <v>103</v>
      </c>
      <c r="F309" s="146" t="s">
        <v>105</v>
      </c>
      <c r="G309" s="96"/>
      <c r="H309" s="97"/>
      <c r="I309" s="95"/>
      <c r="J309" s="95"/>
      <c r="K309" s="95"/>
      <c r="L309" s="95"/>
      <c r="M309" s="98"/>
      <c r="N309" s="98"/>
      <c r="O309" s="99"/>
      <c r="P309" s="9"/>
      <c r="Q309" s="9"/>
      <c r="R309" s="9"/>
    </row>
    <row r="310" spans="1:34" s="10" customFormat="1" ht="21" customHeight="1" x14ac:dyDescent="0.25">
      <c r="A310" s="144"/>
      <c r="B310" s="147" t="s">
        <v>124</v>
      </c>
      <c r="C310" s="148">
        <f>H332</f>
        <v>4.6875E-2</v>
      </c>
      <c r="D310" s="148">
        <f>J332</f>
        <v>4.7058823529411764E-2</v>
      </c>
      <c r="E310" s="148">
        <f>L332</f>
        <v>7.8E-2</v>
      </c>
      <c r="F310" s="148">
        <f>N332</f>
        <v>9.8000000000000004E-2</v>
      </c>
      <c r="G310" s="96"/>
      <c r="H310" s="30"/>
      <c r="I310" s="30"/>
      <c r="J310" s="30"/>
      <c r="K310" s="100"/>
      <c r="L310" s="100"/>
      <c r="M310" s="98"/>
      <c r="N310" s="98"/>
      <c r="O310" s="99"/>
      <c r="P310" s="9"/>
      <c r="Q310" s="9"/>
      <c r="R310" s="9"/>
    </row>
    <row r="311" spans="1:34" s="10" customFormat="1" ht="13.5" customHeight="1" x14ac:dyDescent="0.25">
      <c r="A311" s="144"/>
      <c r="B311" s="149" t="s">
        <v>195</v>
      </c>
      <c r="C311" s="150">
        <f>I333-H332</f>
        <v>5.1622522450943217E-2</v>
      </c>
      <c r="D311" s="150">
        <f>K333-J332</f>
        <v>6.7778448033775918E-2</v>
      </c>
      <c r="E311" s="150">
        <f>M333-L332</f>
        <v>7.0000000000000062E-3</v>
      </c>
      <c r="F311" s="150">
        <f>O333-N332</f>
        <v>1.0000000000000009E-3</v>
      </c>
      <c r="G311" s="96"/>
      <c r="H311" s="30"/>
      <c r="I311" s="30"/>
      <c r="J311" s="30"/>
      <c r="K311" s="100"/>
      <c r="L311" s="100"/>
      <c r="M311" s="98"/>
      <c r="N311" s="98"/>
      <c r="O311" s="99"/>
      <c r="P311" s="9"/>
      <c r="Q311" s="9"/>
      <c r="R311" s="9"/>
    </row>
    <row r="312" spans="1:34" s="10" customFormat="1" ht="13.5" customHeight="1" x14ac:dyDescent="0.25">
      <c r="A312" s="144"/>
      <c r="B312" s="149" t="s">
        <v>196</v>
      </c>
      <c r="C312" s="150">
        <f>H332-H333</f>
        <v>2.5217155828076224E-2</v>
      </c>
      <c r="D312" s="150">
        <f>J332-J333</f>
        <v>2.8608562696341055E-2</v>
      </c>
      <c r="E312" s="150">
        <f>L332-L333</f>
        <v>6.0000000000000053E-3</v>
      </c>
      <c r="F312" s="150">
        <f>N332-N333</f>
        <v>1.0000000000000009E-3</v>
      </c>
      <c r="G312" s="96"/>
      <c r="H312" s="30"/>
      <c r="I312" s="30"/>
      <c r="J312" s="30"/>
      <c r="K312" s="100"/>
      <c r="L312" s="100"/>
      <c r="M312" s="98"/>
      <c r="N312" s="98"/>
      <c r="O312" s="99"/>
      <c r="P312" s="9"/>
      <c r="Q312" s="9"/>
      <c r="R312" s="9"/>
    </row>
    <row r="313" spans="1:34" s="10" customFormat="1" ht="13.5" customHeight="1" x14ac:dyDescent="0.25">
      <c r="A313" s="144"/>
      <c r="B313" s="147" t="s">
        <v>542</v>
      </c>
      <c r="C313" s="151">
        <f>H338</f>
        <v>5.7692307692307696E-2</v>
      </c>
      <c r="D313" s="151">
        <f>J338</f>
        <v>0.05</v>
      </c>
      <c r="E313" s="151">
        <f>L338</f>
        <v>0.08</v>
      </c>
      <c r="F313" s="151">
        <f>N338</f>
        <v>9.4E-2</v>
      </c>
      <c r="G313" s="96"/>
      <c r="H313" s="96"/>
      <c r="I313" s="96"/>
      <c r="J313" s="96"/>
      <c r="K313" s="98"/>
      <c r="L313" s="98"/>
      <c r="M313" s="98"/>
      <c r="N313" s="98"/>
      <c r="O313" s="99"/>
      <c r="P313" s="9"/>
      <c r="Q313" s="9"/>
      <c r="R313" s="9"/>
    </row>
    <row r="314" spans="1:34" s="10" customFormat="1" ht="13.5" customHeight="1" x14ac:dyDescent="0.25">
      <c r="A314" s="144"/>
      <c r="B314" s="149" t="s">
        <v>195</v>
      </c>
      <c r="C314" s="150">
        <f>I339-H338</f>
        <v>4.8306466415456148E-2</v>
      </c>
      <c r="D314" s="150">
        <f>D313-J339</f>
        <v>2.6885635585534206E-2</v>
      </c>
      <c r="E314" s="150">
        <f>M339-L338</f>
        <v>5.9999999999999915E-3</v>
      </c>
      <c r="F314" s="150">
        <f>O339-N338</f>
        <v>1.0000000000000009E-3</v>
      </c>
      <c r="G314" s="96"/>
      <c r="H314" s="96"/>
      <c r="I314" s="96"/>
      <c r="J314" s="96"/>
      <c r="K314" s="98"/>
      <c r="L314" s="98"/>
      <c r="M314" s="98"/>
      <c r="N314" s="98"/>
      <c r="O314" s="99"/>
      <c r="P314" s="9"/>
      <c r="Q314" s="9"/>
      <c r="R314" s="9"/>
    </row>
    <row r="315" spans="1:34" s="10" customFormat="1" ht="13.5" customHeight="1" x14ac:dyDescent="0.25">
      <c r="A315" s="144"/>
      <c r="B315" s="149" t="s">
        <v>196</v>
      </c>
      <c r="C315" s="150">
        <f>H338-H339</f>
        <v>2.704656552851218E-2</v>
      </c>
      <c r="D315" s="150">
        <f>J338-J339</f>
        <v>2.6885635585534206E-2</v>
      </c>
      <c r="E315" s="150">
        <f>L338-L339</f>
        <v>6.0000000000000053E-3</v>
      </c>
      <c r="F315" s="150">
        <f>N338-N339</f>
        <v>1.0000000000000009E-3</v>
      </c>
      <c r="G315" s="96"/>
      <c r="H315" s="96"/>
      <c r="I315" s="96"/>
      <c r="J315" s="96"/>
      <c r="K315" s="98"/>
      <c r="L315" s="98"/>
      <c r="M315" s="98"/>
      <c r="N315" s="98"/>
      <c r="O315" s="99"/>
      <c r="P315" s="9"/>
      <c r="Q315" s="9"/>
      <c r="R315" s="9"/>
    </row>
    <row r="316" spans="1:34" s="10" customFormat="1" ht="13.5" customHeight="1" x14ac:dyDescent="0.25">
      <c r="A316" s="144"/>
      <c r="B316" s="147" t="s">
        <v>266</v>
      </c>
      <c r="C316" s="151">
        <f>H344</f>
        <v>6.8181818181818177E-2</v>
      </c>
      <c r="D316" s="151">
        <f>J344</f>
        <v>0.14130434782608695</v>
      </c>
      <c r="E316" s="151">
        <f>L344</f>
        <v>7.7897495631916128E-2</v>
      </c>
      <c r="F316" s="151">
        <f>N344</f>
        <v>9.5000000000000001E-2</v>
      </c>
      <c r="G316" s="96"/>
      <c r="H316" s="96"/>
      <c r="I316" s="96"/>
      <c r="J316" s="96"/>
      <c r="K316" s="98"/>
      <c r="L316" s="98"/>
      <c r="M316" s="98"/>
      <c r="N316" s="98"/>
      <c r="O316" s="99"/>
      <c r="P316" s="9"/>
      <c r="Q316" s="9"/>
      <c r="R316" s="9"/>
    </row>
    <row r="317" spans="1:34" s="10" customFormat="1" ht="13.5" customHeight="1" x14ac:dyDescent="0.25">
      <c r="A317" s="144"/>
      <c r="B317" s="149" t="s">
        <v>195</v>
      </c>
      <c r="C317" s="150">
        <f>I345-H344</f>
        <v>5.632224465307753E-2</v>
      </c>
      <c r="D317" s="150">
        <f>D316-J345</f>
        <v>5.6827414042257954E-2</v>
      </c>
      <c r="E317" s="150">
        <f>M345-L344</f>
        <v>6.0000000000000053E-3</v>
      </c>
      <c r="F317" s="150">
        <f>O345-N344</f>
        <v>1.0000000000000009E-3</v>
      </c>
      <c r="G317" s="96"/>
      <c r="H317" s="96"/>
      <c r="I317" s="96"/>
      <c r="J317" s="96"/>
      <c r="K317" s="98"/>
      <c r="L317" s="98"/>
      <c r="M317" s="98"/>
      <c r="N317" s="98"/>
      <c r="O317" s="99"/>
      <c r="P317" s="9"/>
      <c r="Q317" s="9"/>
      <c r="R317" s="9"/>
    </row>
    <row r="318" spans="1:34" s="10" customFormat="1" ht="13.5" customHeight="1" x14ac:dyDescent="0.25">
      <c r="A318" s="144"/>
      <c r="B318" s="149" t="s">
        <v>196</v>
      </c>
      <c r="C318" s="150">
        <f>H344-H345</f>
        <v>3.1899483327006609E-2</v>
      </c>
      <c r="D318" s="150">
        <f>J344-J345</f>
        <v>5.6827414042257954E-2</v>
      </c>
      <c r="E318" s="150">
        <f>L344-L345</f>
        <v>6.0000000000000053E-3</v>
      </c>
      <c r="F318" s="150">
        <f>N344-N345</f>
        <v>1.0000000000000009E-3</v>
      </c>
      <c r="G318" s="96"/>
      <c r="H318" s="96"/>
      <c r="I318" s="96"/>
      <c r="J318" s="96"/>
      <c r="K318" s="98"/>
      <c r="L318" s="98"/>
      <c r="M318" s="98"/>
      <c r="N318" s="98"/>
      <c r="O318" s="99"/>
      <c r="P318" s="9"/>
      <c r="Q318" s="9"/>
      <c r="R318" s="9"/>
    </row>
    <row r="319" spans="1:34" s="10" customFormat="1" ht="13.5" customHeight="1" x14ac:dyDescent="0.25">
      <c r="A319" s="144"/>
      <c r="B319" s="147" t="s">
        <v>793</v>
      </c>
      <c r="C319" s="151">
        <f>H350</f>
        <v>0.10303030303030303</v>
      </c>
      <c r="D319" s="151">
        <f>J350</f>
        <v>9.6491228070175433E-2</v>
      </c>
      <c r="E319" s="151">
        <f>L350</f>
        <v>7.7897495631916128E-2</v>
      </c>
      <c r="F319" s="151">
        <f>N350</f>
        <v>9.5000000000000001E-2</v>
      </c>
      <c r="G319" s="96"/>
      <c r="H319" s="96"/>
      <c r="I319" s="96"/>
      <c r="J319" s="96"/>
      <c r="K319" s="98"/>
      <c r="L319" s="98"/>
      <c r="M319" s="98"/>
      <c r="N319" s="98"/>
      <c r="O319" s="99"/>
      <c r="P319" s="9"/>
      <c r="Q319" s="9"/>
      <c r="R319" s="9"/>
    </row>
    <row r="320" spans="1:34" s="10" customFormat="1" ht="13.5" customHeight="1" x14ac:dyDescent="0.25">
      <c r="A320" s="144"/>
      <c r="B320" s="149" t="s">
        <v>195</v>
      </c>
      <c r="C320" s="150">
        <f>I351-H350</f>
        <v>5.5767108722317854E-2</v>
      </c>
      <c r="D320" s="150">
        <f>K351-J350</f>
        <v>6.8062667995254844E-2</v>
      </c>
      <c r="E320" s="150">
        <f>M351-L350</f>
        <v>6.0000000000000053E-3</v>
      </c>
      <c r="F320" s="150">
        <f>O351-N350</f>
        <v>1.0000000000000009E-3</v>
      </c>
      <c r="G320" s="96"/>
      <c r="H320" s="96"/>
      <c r="I320" s="96"/>
      <c r="J320" s="96"/>
      <c r="K320" s="98"/>
      <c r="L320" s="98"/>
      <c r="M320" s="98"/>
      <c r="N320" s="98"/>
      <c r="O320" s="99"/>
      <c r="P320" s="9"/>
      <c r="Q320" s="9"/>
      <c r="R320" s="9"/>
    </row>
    <row r="321" spans="1:34" s="10" customFormat="1" ht="13.5" customHeight="1" x14ac:dyDescent="0.25">
      <c r="A321" s="152"/>
      <c r="B321" s="149" t="s">
        <v>196</v>
      </c>
      <c r="C321" s="150">
        <f>H350-H351</f>
        <v>3.7703503318481935E-2</v>
      </c>
      <c r="D321" s="150">
        <f>J350-J351</f>
        <v>4.175507902496163E-2</v>
      </c>
      <c r="E321" s="150">
        <f>L350-L351</f>
        <v>6.0000000000000053E-3</v>
      </c>
      <c r="F321" s="150">
        <f>N350-N351</f>
        <v>1.0000000000000009E-3</v>
      </c>
      <c r="G321" s="96"/>
      <c r="H321" s="96"/>
      <c r="I321" s="96"/>
      <c r="J321" s="96"/>
      <c r="K321" s="98"/>
      <c r="L321" s="98"/>
      <c r="M321" s="98"/>
      <c r="N321" s="104"/>
      <c r="O321" s="105"/>
      <c r="P321" s="9"/>
      <c r="Q321" s="9"/>
      <c r="R321" s="9"/>
    </row>
    <row r="322" spans="1:34" s="10" customFormat="1" ht="13.5" customHeight="1" x14ac:dyDescent="0.25">
      <c r="A322" s="103"/>
      <c r="G322" s="96"/>
      <c r="H322" s="96"/>
      <c r="I322" s="96"/>
      <c r="J322" s="96"/>
      <c r="K322" s="98"/>
      <c r="L322" s="98"/>
      <c r="M322" s="98"/>
      <c r="N322" s="104"/>
      <c r="O322" s="105"/>
      <c r="P322" s="9"/>
      <c r="Q322" s="9"/>
      <c r="R322" s="9"/>
    </row>
    <row r="323" spans="1:34" s="10" customFormat="1" ht="13.5" customHeight="1" x14ac:dyDescent="0.25">
      <c r="A323" s="103"/>
      <c r="G323" s="96"/>
      <c r="H323" s="96"/>
      <c r="I323" s="96"/>
      <c r="J323" s="96"/>
      <c r="K323" s="98"/>
      <c r="L323" s="98"/>
      <c r="M323" s="98"/>
      <c r="N323" s="104"/>
      <c r="O323" s="105"/>
      <c r="P323" s="9"/>
      <c r="Q323" s="9"/>
      <c r="R323" s="9"/>
    </row>
    <row r="324" spans="1:34" s="10" customFormat="1" ht="13.5" customHeight="1" x14ac:dyDescent="0.25">
      <c r="A324" s="103"/>
      <c r="G324" s="96"/>
      <c r="H324" s="96"/>
      <c r="I324" s="96"/>
      <c r="J324" s="96"/>
      <c r="K324" s="98"/>
      <c r="L324" s="98"/>
      <c r="M324" s="98"/>
      <c r="N324" s="104"/>
      <c r="O324" s="105"/>
      <c r="P324" s="9"/>
      <c r="Q324" s="9"/>
      <c r="R324" s="9"/>
    </row>
    <row r="325" spans="1:34" s="10" customFormat="1" ht="13.2" customHeight="1" x14ac:dyDescent="0.25">
      <c r="A325" s="103"/>
      <c r="B325" s="101"/>
      <c r="C325" s="102"/>
      <c r="D325" s="102"/>
      <c r="E325" s="102"/>
      <c r="F325" s="102"/>
      <c r="G325" s="96"/>
      <c r="H325" s="96"/>
      <c r="I325" s="96"/>
      <c r="J325" s="96"/>
      <c r="K325" s="98"/>
      <c r="L325" s="98"/>
      <c r="M325" s="98"/>
      <c r="N325" s="104"/>
      <c r="O325" s="105"/>
      <c r="P325" s="9"/>
      <c r="Q325" s="9"/>
      <c r="R325" s="9"/>
    </row>
    <row r="326" spans="1:34" s="10" customFormat="1" ht="13.2" customHeight="1" x14ac:dyDescent="0.25">
      <c r="A326" s="998"/>
      <c r="B326" s="999"/>
      <c r="C326" s="999"/>
      <c r="D326" s="999"/>
      <c r="E326" s="999"/>
      <c r="F326" s="999"/>
      <c r="G326" s="999"/>
      <c r="H326" s="999"/>
      <c r="I326" s="999"/>
      <c r="J326" s="999"/>
      <c r="K326" s="999"/>
      <c r="L326" s="999"/>
      <c r="M326" s="999"/>
      <c r="N326" s="999"/>
      <c r="O326" s="1000"/>
      <c r="P326" s="9"/>
      <c r="Q326" s="9"/>
      <c r="R326" s="9"/>
    </row>
    <row r="327" spans="1:34" s="10" customFormat="1" ht="21" customHeight="1" x14ac:dyDescent="0.25">
      <c r="A327" s="1001"/>
      <c r="B327" s="1002"/>
      <c r="C327" s="1002"/>
      <c r="D327" s="1002"/>
      <c r="E327" s="1002"/>
      <c r="F327" s="1002"/>
      <c r="G327" s="1002"/>
      <c r="H327" s="1002"/>
      <c r="I327" s="1002"/>
      <c r="J327" s="1002"/>
      <c r="K327" s="1002"/>
      <c r="L327" s="1002"/>
      <c r="M327" s="1002"/>
      <c r="N327" s="1002"/>
      <c r="O327" s="1003"/>
      <c r="P327" s="9"/>
      <c r="Q327" s="9"/>
      <c r="R327" s="9"/>
    </row>
    <row r="328" spans="1:34" s="36" customFormat="1" ht="47.4" customHeight="1" x14ac:dyDescent="0.25">
      <c r="A328" s="1094" t="s">
        <v>791</v>
      </c>
      <c r="B328" s="1095"/>
      <c r="C328" s="1095"/>
      <c r="D328" s="1095"/>
      <c r="E328" s="1095"/>
      <c r="F328" s="1095"/>
      <c r="G328" s="1095"/>
      <c r="H328" s="1095"/>
      <c r="I328" s="1095"/>
      <c r="J328" s="1095"/>
      <c r="K328" s="1095"/>
      <c r="L328" s="1095"/>
      <c r="M328" s="1095"/>
      <c r="N328" s="1095"/>
      <c r="O328" s="1096"/>
      <c r="P328" s="37"/>
      <c r="Q328" s="35"/>
      <c r="R328" s="35"/>
      <c r="S328" s="63"/>
      <c r="T328" s="63"/>
      <c r="U328" s="64"/>
      <c r="V328" s="64"/>
      <c r="W328" s="64"/>
      <c r="X328" s="64"/>
      <c r="Y328" s="64"/>
      <c r="Z328" s="64"/>
      <c r="AA328" s="64"/>
      <c r="AB328" s="58"/>
      <c r="AC328" s="58"/>
      <c r="AD328" s="58"/>
      <c r="AE328" s="58"/>
      <c r="AF328" s="58"/>
      <c r="AG328" s="58"/>
      <c r="AH328" s="58"/>
    </row>
    <row r="329" spans="1:34" ht="33.75" customHeight="1" x14ac:dyDescent="0.25">
      <c r="A329" s="984" t="s">
        <v>181</v>
      </c>
      <c r="B329" s="985"/>
      <c r="C329" s="985"/>
      <c r="D329" s="985"/>
      <c r="E329" s="985"/>
      <c r="F329" s="985"/>
      <c r="G329" s="986"/>
      <c r="H329" s="495" t="str">
        <f>$D$71</f>
        <v>Kingston Buci</v>
      </c>
      <c r="I329" s="495"/>
      <c r="J329" s="546" t="str">
        <f>$J$71</f>
        <v>Stepping Stones</v>
      </c>
      <c r="K329" s="546"/>
      <c r="L329" s="556" t="s">
        <v>103</v>
      </c>
      <c r="M329" s="556"/>
      <c r="N329" s="494" t="s">
        <v>105</v>
      </c>
      <c r="O329" s="494"/>
      <c r="P329" s="16"/>
      <c r="Q329" s="14"/>
      <c r="R329" s="14"/>
      <c r="S329" s="14"/>
      <c r="T329" s="14"/>
      <c r="U329" s="16"/>
      <c r="V329" s="16"/>
      <c r="W329" s="16"/>
      <c r="X329" s="16"/>
      <c r="Y329" s="16"/>
      <c r="Z329" s="16"/>
      <c r="AA329" s="16"/>
    </row>
    <row r="330" spans="1:34" ht="15.9" customHeight="1" x14ac:dyDescent="0.25">
      <c r="A330" s="952" t="s">
        <v>178</v>
      </c>
      <c r="B330" s="953"/>
      <c r="C330" s="953"/>
      <c r="D330" s="953"/>
      <c r="E330" s="953"/>
      <c r="F330" s="953"/>
      <c r="G330" s="954"/>
      <c r="H330" s="491">
        <f>HLOOKUP(A330,cfc,DATA!A1+1,FALSE)</f>
        <v>128</v>
      </c>
      <c r="I330" s="491"/>
      <c r="J330" s="569">
        <f>HLOOKUP(A330,cfc,DATA!$B$1+1,FALSE)</f>
        <v>85</v>
      </c>
      <c r="K330" s="569"/>
      <c r="L330" s="491">
        <v>6842</v>
      </c>
      <c r="M330" s="491"/>
      <c r="N330" s="491">
        <v>526499</v>
      </c>
      <c r="O330" s="491"/>
      <c r="P330" s="40"/>
      <c r="Q330" s="14"/>
      <c r="R330" s="14"/>
      <c r="S330" s="14"/>
      <c r="T330" s="14"/>
      <c r="U330" s="16"/>
      <c r="V330" s="16"/>
      <c r="W330" s="16"/>
      <c r="X330" s="16"/>
      <c r="Y330" s="16"/>
      <c r="Z330" s="16"/>
      <c r="AA330" s="16"/>
    </row>
    <row r="331" spans="1:34" ht="15.9" customHeight="1" x14ac:dyDescent="0.25">
      <c r="A331" s="952" t="s">
        <v>179</v>
      </c>
      <c r="B331" s="953"/>
      <c r="C331" s="953"/>
      <c r="D331" s="953"/>
      <c r="E331" s="953" t="s">
        <v>121</v>
      </c>
      <c r="F331" s="953"/>
      <c r="G331" s="954"/>
      <c r="H331" s="491">
        <f>HLOOKUP(A331,cfc,DATA!A1+1,FALSE)</f>
        <v>6</v>
      </c>
      <c r="I331" s="491"/>
      <c r="J331" s="569">
        <f>HLOOKUP(A331,cfc,DATA!$B$1+1,FALSE)</f>
        <v>4</v>
      </c>
      <c r="K331" s="569"/>
      <c r="L331" s="491">
        <v>534</v>
      </c>
      <c r="M331" s="491"/>
      <c r="N331" s="491">
        <v>51733</v>
      </c>
      <c r="O331" s="491"/>
      <c r="P331" s="40"/>
      <c r="Q331" s="14"/>
      <c r="R331" s="14"/>
      <c r="S331" s="14"/>
      <c r="T331" s="14"/>
      <c r="U331" s="16"/>
      <c r="V331" s="16"/>
      <c r="W331" s="16"/>
      <c r="X331" s="16"/>
      <c r="Y331" s="16"/>
      <c r="Z331" s="16"/>
      <c r="AA331" s="16"/>
    </row>
    <row r="332" spans="1:34" ht="15.9" customHeight="1" x14ac:dyDescent="0.25">
      <c r="A332" s="952" t="s">
        <v>183</v>
      </c>
      <c r="B332" s="953"/>
      <c r="C332" s="953"/>
      <c r="D332" s="953"/>
      <c r="E332" s="953" t="s">
        <v>122</v>
      </c>
      <c r="F332" s="953"/>
      <c r="G332" s="954"/>
      <c r="H332" s="490">
        <f>HLOOKUP(A332,cfc,DATA!A1+1,FALSE)</f>
        <v>4.6875E-2</v>
      </c>
      <c r="I332" s="490"/>
      <c r="J332" s="490">
        <f>HLOOKUP(A332,cfc,DATA!$B$1+1,FALSE)</f>
        <v>4.7058823529411764E-2</v>
      </c>
      <c r="K332" s="490"/>
      <c r="L332" s="490">
        <v>7.8E-2</v>
      </c>
      <c r="M332" s="490"/>
      <c r="N332" s="490">
        <v>9.8000000000000004E-2</v>
      </c>
      <c r="O332" s="490"/>
      <c r="P332" s="16"/>
      <c r="Q332" s="14"/>
      <c r="R332" s="14"/>
      <c r="S332" s="14"/>
      <c r="T332" s="14"/>
      <c r="U332" s="16"/>
      <c r="V332" s="16"/>
      <c r="W332" s="16"/>
      <c r="X332" s="16"/>
      <c r="Y332" s="16"/>
      <c r="Z332" s="16"/>
      <c r="AA332" s="16"/>
    </row>
    <row r="333" spans="1:34" ht="15.9" customHeight="1" x14ac:dyDescent="0.25">
      <c r="A333" s="942" t="s">
        <v>284</v>
      </c>
      <c r="B333" s="943"/>
      <c r="C333" s="943"/>
      <c r="D333" s="943"/>
      <c r="E333" s="944"/>
      <c r="F333" s="106" t="s">
        <v>190</v>
      </c>
      <c r="G333" s="107" t="s">
        <v>180</v>
      </c>
      <c r="H333" s="108">
        <f>HLOOKUP(F333,cfc,DATA!A1+1,FALSE)</f>
        <v>2.1657844171923776E-2</v>
      </c>
      <c r="I333" s="108">
        <f>HLOOKUP(G333,cfc,DATA!A1+1,FALSE)</f>
        <v>9.8497522450943217E-2</v>
      </c>
      <c r="J333" s="108">
        <f>HLOOKUP(F333,cfc,DATA!$B$1+1,FALSE)</f>
        <v>1.8450260833070709E-2</v>
      </c>
      <c r="K333" s="108">
        <f>HLOOKUP(G333,cfc,DATA!$B$1+1,FALSE)</f>
        <v>0.11483727156318768</v>
      </c>
      <c r="L333" s="108">
        <v>7.1999999999999995E-2</v>
      </c>
      <c r="M333" s="108">
        <v>8.5000000000000006E-2</v>
      </c>
      <c r="N333" s="108">
        <v>9.7000000000000003E-2</v>
      </c>
      <c r="O333" s="108">
        <v>9.9000000000000005E-2</v>
      </c>
      <c r="P333" s="16"/>
      <c r="Q333" s="14"/>
      <c r="R333" s="14"/>
      <c r="S333" s="14"/>
      <c r="T333" s="14"/>
      <c r="U333" s="16"/>
      <c r="V333" s="16"/>
      <c r="W333" s="16"/>
      <c r="X333" s="16"/>
      <c r="Y333" s="16"/>
      <c r="Z333" s="16"/>
      <c r="AA333" s="16"/>
    </row>
    <row r="334" spans="1:34" ht="15.9" customHeight="1" x14ac:dyDescent="0.25">
      <c r="A334" s="942" t="s">
        <v>185</v>
      </c>
      <c r="B334" s="943"/>
      <c r="C334" s="943"/>
      <c r="D334" s="943"/>
      <c r="E334" s="943"/>
      <c r="F334" s="943"/>
      <c r="G334" s="1030"/>
      <c r="H334" s="536" t="str">
        <f>HLOOKUP(A334,cfc,DATA!A1+1,FALSE)</f>
        <v>No Sig diff</v>
      </c>
      <c r="I334" s="536"/>
      <c r="J334" s="536" t="str">
        <f>HLOOKUP(A334,cfc,DATA!B1+1,FALSE)</f>
        <v>No Sig diff</v>
      </c>
      <c r="K334" s="536"/>
      <c r="L334" s="492" t="s">
        <v>160</v>
      </c>
      <c r="M334" s="493"/>
      <c r="N334" s="492"/>
      <c r="O334" s="493"/>
      <c r="P334" s="16"/>
      <c r="Q334" s="14"/>
      <c r="R334" s="14"/>
      <c r="S334" s="14"/>
      <c r="T334" s="14"/>
      <c r="U334" s="16"/>
      <c r="V334" s="16"/>
      <c r="W334" s="16"/>
      <c r="X334" s="16"/>
      <c r="Y334" s="16"/>
      <c r="Z334" s="16"/>
      <c r="AA334" s="16"/>
    </row>
    <row r="335" spans="1:34" ht="33.75" customHeight="1" x14ac:dyDescent="0.25">
      <c r="A335" s="975" t="s">
        <v>238</v>
      </c>
      <c r="B335" s="976"/>
      <c r="C335" s="976"/>
      <c r="D335" s="976"/>
      <c r="E335" s="976"/>
      <c r="F335" s="976"/>
      <c r="G335" s="977"/>
      <c r="H335" s="495" t="str">
        <f>$D$71</f>
        <v>Kingston Buci</v>
      </c>
      <c r="I335" s="495"/>
      <c r="J335" s="546" t="str">
        <f>$J$71</f>
        <v>Stepping Stones</v>
      </c>
      <c r="K335" s="546"/>
      <c r="L335" s="556" t="s">
        <v>103</v>
      </c>
      <c r="M335" s="556"/>
      <c r="N335" s="494" t="s">
        <v>105</v>
      </c>
      <c r="O335" s="494"/>
      <c r="P335" s="16"/>
      <c r="Q335" s="14"/>
      <c r="R335" s="14"/>
      <c r="S335" s="14"/>
      <c r="T335" s="14"/>
      <c r="U335" s="16"/>
      <c r="V335" s="16"/>
      <c r="W335" s="16"/>
      <c r="X335" s="16"/>
      <c r="Y335" s="16"/>
      <c r="Z335" s="16"/>
      <c r="AA335" s="16"/>
    </row>
    <row r="336" spans="1:34" ht="15.9" customHeight="1" x14ac:dyDescent="0.25">
      <c r="A336" s="952" t="s">
        <v>290</v>
      </c>
      <c r="B336" s="953"/>
      <c r="C336" s="953"/>
      <c r="D336" s="953"/>
      <c r="E336" s="953"/>
      <c r="F336" s="953"/>
      <c r="G336" s="954"/>
      <c r="H336" s="513">
        <f>HLOOKUP(A336,cfc,DATA!$A$1+1,FALSE)</f>
        <v>156</v>
      </c>
      <c r="I336" s="513"/>
      <c r="J336" s="569">
        <f>HLOOKUP(A336,cfc,DATA!$B$1+1,FALSE)</f>
        <v>120</v>
      </c>
      <c r="K336" s="569"/>
      <c r="L336" s="491">
        <v>7605</v>
      </c>
      <c r="M336" s="491"/>
      <c r="N336" s="491">
        <v>541255</v>
      </c>
      <c r="O336" s="491"/>
      <c r="P336" s="40"/>
      <c r="Q336" s="14"/>
      <c r="R336" s="14"/>
      <c r="S336" s="14"/>
      <c r="T336" s="14"/>
      <c r="U336" s="16"/>
      <c r="V336" s="16"/>
      <c r="W336" s="16"/>
      <c r="X336" s="16"/>
      <c r="Y336" s="16"/>
      <c r="Z336" s="16"/>
      <c r="AA336" s="16"/>
    </row>
    <row r="337" spans="1:27" ht="15.9" customHeight="1" x14ac:dyDescent="0.25">
      <c r="A337" s="952" t="s">
        <v>291</v>
      </c>
      <c r="B337" s="953"/>
      <c r="C337" s="953"/>
      <c r="D337" s="953"/>
      <c r="E337" s="953" t="s">
        <v>121</v>
      </c>
      <c r="F337" s="953"/>
      <c r="G337" s="954"/>
      <c r="H337" s="513">
        <f>HLOOKUP(A337,cfc,DATA!$A$1+1,FALSE)</f>
        <v>9</v>
      </c>
      <c r="I337" s="513"/>
      <c r="J337" s="569">
        <f>HLOOKUP(A337,cfc,DATA!$B$1+1,FALSE)</f>
        <v>6</v>
      </c>
      <c r="K337" s="569"/>
      <c r="L337" s="491">
        <v>605</v>
      </c>
      <c r="M337" s="491"/>
      <c r="N337" s="491">
        <v>51071</v>
      </c>
      <c r="O337" s="491"/>
      <c r="P337" s="40"/>
      <c r="Q337" s="14"/>
      <c r="R337" s="14"/>
      <c r="S337" s="14"/>
      <c r="T337" s="14"/>
      <c r="U337" s="16"/>
      <c r="V337" s="16"/>
      <c r="W337" s="16"/>
      <c r="X337" s="16"/>
      <c r="Y337" s="16"/>
      <c r="Z337" s="16"/>
      <c r="AA337" s="16"/>
    </row>
    <row r="338" spans="1:27" ht="15.9" customHeight="1" x14ac:dyDescent="0.25">
      <c r="A338" s="952" t="s">
        <v>292</v>
      </c>
      <c r="B338" s="953"/>
      <c r="C338" s="953"/>
      <c r="D338" s="953"/>
      <c r="E338" s="953" t="s">
        <v>122</v>
      </c>
      <c r="F338" s="953"/>
      <c r="G338" s="954"/>
      <c r="H338" s="514">
        <f>HLOOKUP(A338,cfc,DATA!$A$1+1,FALSE)</f>
        <v>5.7692307692307696E-2</v>
      </c>
      <c r="I338" s="514"/>
      <c r="J338" s="490">
        <f>HLOOKUP(A338,cfc,DATA!$B$1+1,FALSE)</f>
        <v>0.05</v>
      </c>
      <c r="K338" s="490"/>
      <c r="L338" s="490">
        <v>0.08</v>
      </c>
      <c r="M338" s="490"/>
      <c r="N338" s="490">
        <v>9.4E-2</v>
      </c>
      <c r="O338" s="490"/>
      <c r="P338" s="16"/>
      <c r="Q338" s="14"/>
      <c r="R338" s="14"/>
      <c r="S338" s="14"/>
      <c r="T338" s="14"/>
      <c r="U338" s="16"/>
      <c r="V338" s="16"/>
      <c r="W338" s="16"/>
      <c r="X338" s="16"/>
      <c r="Y338" s="16"/>
      <c r="Z338" s="16"/>
      <c r="AA338" s="16"/>
    </row>
    <row r="339" spans="1:27" ht="15.9" customHeight="1" x14ac:dyDescent="0.25">
      <c r="A339" s="942" t="s">
        <v>293</v>
      </c>
      <c r="B339" s="943"/>
      <c r="C339" s="943"/>
      <c r="D339" s="943"/>
      <c r="E339" s="944"/>
      <c r="F339" s="106" t="s">
        <v>295</v>
      </c>
      <c r="G339" s="107" t="s">
        <v>296</v>
      </c>
      <c r="H339" s="109">
        <f>HLOOKUP(F339,cfc,DATA!$A$1+1,FALSE)</f>
        <v>3.0645742163795515E-2</v>
      </c>
      <c r="I339" s="109">
        <f>HLOOKUP(G339,cfc,DATA!$A$1+1,FALSE)</f>
        <v>0.10599877410776384</v>
      </c>
      <c r="J339" s="108">
        <f>HLOOKUP(F339,cfc,DATA!$B$1+1,FALSE)</f>
        <v>2.3114364414465797E-2</v>
      </c>
      <c r="K339" s="108">
        <f>HLOOKUP(G339,cfc,DATA!$B$1+1,FALSE)</f>
        <v>0.10480288536236734</v>
      </c>
      <c r="L339" s="108">
        <v>7.3999999999999996E-2</v>
      </c>
      <c r="M339" s="108">
        <v>8.5999999999999993E-2</v>
      </c>
      <c r="N339" s="108">
        <v>9.2999999999999999E-2</v>
      </c>
      <c r="O339" s="108">
        <v>9.5000000000000001E-2</v>
      </c>
      <c r="P339" s="16"/>
      <c r="Q339" s="14"/>
      <c r="R339" s="14"/>
      <c r="S339" s="14"/>
      <c r="T339" s="14"/>
      <c r="U339" s="16"/>
      <c r="V339" s="16"/>
      <c r="W339" s="16"/>
      <c r="X339" s="16"/>
      <c r="Y339" s="16"/>
      <c r="Z339" s="16"/>
      <c r="AA339" s="16"/>
    </row>
    <row r="340" spans="1:27" ht="15.9" customHeight="1" x14ac:dyDescent="0.25">
      <c r="A340" s="987" t="s">
        <v>294</v>
      </c>
      <c r="B340" s="988"/>
      <c r="C340" s="988"/>
      <c r="D340" s="988"/>
      <c r="E340" s="988"/>
      <c r="F340" s="988"/>
      <c r="G340" s="989"/>
      <c r="H340" s="1477" t="str">
        <f>HLOOKUP(A340,cfc,DATA!$A$1+1,FALSE)</f>
        <v>No Sig diff</v>
      </c>
      <c r="I340" s="1478"/>
      <c r="J340" s="1477" t="str">
        <f>HLOOKUP(A340,cfc,DATA!$B$1+1,FALSE)</f>
        <v>No Sig diff</v>
      </c>
      <c r="K340" s="1478"/>
      <c r="L340" s="1477" t="s">
        <v>160</v>
      </c>
      <c r="M340" s="1478"/>
      <c r="N340" s="1477"/>
      <c r="O340" s="1478"/>
      <c r="P340" s="16"/>
      <c r="Q340" s="14"/>
      <c r="R340" s="14"/>
      <c r="S340" s="14"/>
      <c r="T340" s="14"/>
      <c r="U340" s="16"/>
      <c r="V340" s="16"/>
      <c r="W340" s="16"/>
      <c r="X340" s="16"/>
      <c r="Y340" s="16"/>
      <c r="Z340" s="16"/>
      <c r="AA340" s="16"/>
    </row>
    <row r="341" spans="1:27" ht="33.75" customHeight="1" x14ac:dyDescent="0.25">
      <c r="A341" s="1031" t="s">
        <v>367</v>
      </c>
      <c r="B341" s="1032"/>
      <c r="C341" s="1032"/>
      <c r="D341" s="1032"/>
      <c r="E341" s="1032"/>
      <c r="F341" s="1032"/>
      <c r="G341" s="1033"/>
      <c r="H341" s="495" t="str">
        <f>$D$71</f>
        <v>Kingston Buci</v>
      </c>
      <c r="I341" s="495"/>
      <c r="J341" s="546" t="str">
        <f>$J$71</f>
        <v>Stepping Stones</v>
      </c>
      <c r="K341" s="546"/>
      <c r="L341" s="556" t="s">
        <v>103</v>
      </c>
      <c r="M341" s="556"/>
      <c r="N341" s="494" t="s">
        <v>105</v>
      </c>
      <c r="O341" s="494"/>
      <c r="P341" s="16"/>
      <c r="Q341" s="14"/>
      <c r="R341" s="14"/>
      <c r="S341" s="14"/>
      <c r="T341" s="14"/>
      <c r="U341" s="16"/>
      <c r="V341" s="16"/>
      <c r="W341" s="16"/>
      <c r="X341" s="16"/>
      <c r="Y341" s="16"/>
      <c r="Z341" s="16"/>
      <c r="AA341" s="16"/>
    </row>
    <row r="342" spans="1:27" ht="15.9" customHeight="1" x14ac:dyDescent="0.25">
      <c r="A342" s="952" t="s">
        <v>239</v>
      </c>
      <c r="B342" s="953"/>
      <c r="C342" s="953"/>
      <c r="D342" s="953"/>
      <c r="E342" s="953"/>
      <c r="F342" s="953"/>
      <c r="G342" s="954"/>
      <c r="H342" s="513">
        <f>HLOOKUP(A342,cfc,DATA!A1+1,FALSE)</f>
        <v>132</v>
      </c>
      <c r="I342" s="513"/>
      <c r="J342" s="569">
        <f>HLOOKUP(A342,cfc,DATA!$B$1+1,FALSE)</f>
        <v>92</v>
      </c>
      <c r="K342" s="569"/>
      <c r="L342" s="491">
        <v>6868</v>
      </c>
      <c r="M342" s="491"/>
      <c r="N342" s="491">
        <v>565662</v>
      </c>
      <c r="O342" s="491"/>
      <c r="P342" s="40"/>
      <c r="Q342" s="14"/>
      <c r="R342" s="14"/>
      <c r="S342" s="14"/>
      <c r="T342" s="14"/>
      <c r="U342" s="16"/>
      <c r="V342" s="16"/>
      <c r="W342" s="16"/>
      <c r="X342" s="16"/>
      <c r="Y342" s="16"/>
      <c r="Z342" s="16"/>
      <c r="AA342" s="16"/>
    </row>
    <row r="343" spans="1:27" ht="15.9" customHeight="1" x14ac:dyDescent="0.25">
      <c r="A343" s="952" t="s">
        <v>240</v>
      </c>
      <c r="B343" s="953"/>
      <c r="C343" s="953"/>
      <c r="D343" s="953"/>
      <c r="E343" s="953" t="s">
        <v>121</v>
      </c>
      <c r="F343" s="953"/>
      <c r="G343" s="954"/>
      <c r="H343" s="513">
        <f>HLOOKUP(A343,cfc,DATA!A1+1,FALSE)</f>
        <v>9</v>
      </c>
      <c r="I343" s="513"/>
      <c r="J343" s="569">
        <f>HLOOKUP(A343,cfc,DATA!$B$1+1,FALSE)</f>
        <v>13</v>
      </c>
      <c r="K343" s="569"/>
      <c r="L343" s="491">
        <f>L342*L344</f>
        <v>535</v>
      </c>
      <c r="M343" s="491"/>
      <c r="N343" s="491">
        <v>53669</v>
      </c>
      <c r="O343" s="491"/>
      <c r="P343" s="40"/>
      <c r="Q343" s="14"/>
      <c r="R343" s="14"/>
      <c r="S343" s="14"/>
      <c r="T343" s="14"/>
      <c r="U343" s="16"/>
      <c r="V343" s="16"/>
      <c r="W343" s="16"/>
      <c r="X343" s="16"/>
      <c r="Y343" s="16"/>
      <c r="Z343" s="16"/>
      <c r="AA343" s="16"/>
    </row>
    <row r="344" spans="1:27" ht="15.9" customHeight="1" x14ac:dyDescent="0.25">
      <c r="A344" s="952" t="s">
        <v>241</v>
      </c>
      <c r="B344" s="953"/>
      <c r="C344" s="953"/>
      <c r="D344" s="953"/>
      <c r="E344" s="953" t="s">
        <v>122</v>
      </c>
      <c r="F344" s="953"/>
      <c r="G344" s="954"/>
      <c r="H344" s="514">
        <f>HLOOKUP(A344,cfc,DATA!A1+1,FALSE)</f>
        <v>6.8181818181818177E-2</v>
      </c>
      <c r="I344" s="514"/>
      <c r="J344" s="490">
        <f>HLOOKUP(A344,cfc,DATA!$B$1+1,FALSE)</f>
        <v>0.14130434782608695</v>
      </c>
      <c r="K344" s="490"/>
      <c r="L344" s="490">
        <v>7.7897495631916128E-2</v>
      </c>
      <c r="M344" s="490"/>
      <c r="N344" s="490">
        <v>9.5000000000000001E-2</v>
      </c>
      <c r="O344" s="490"/>
      <c r="P344" s="16"/>
      <c r="Q344" s="14"/>
      <c r="R344" s="14"/>
      <c r="S344" s="14"/>
      <c r="T344" s="14"/>
      <c r="U344" s="16"/>
      <c r="V344" s="16"/>
      <c r="W344" s="16"/>
      <c r="X344" s="16"/>
      <c r="Y344" s="16"/>
      <c r="Z344" s="16"/>
      <c r="AA344" s="16"/>
    </row>
    <row r="345" spans="1:27" ht="15.9" customHeight="1" x14ac:dyDescent="0.25">
      <c r="A345" s="942" t="s">
        <v>242</v>
      </c>
      <c r="B345" s="943"/>
      <c r="C345" s="943"/>
      <c r="D345" s="943"/>
      <c r="E345" s="944"/>
      <c r="F345" s="106" t="s">
        <v>61</v>
      </c>
      <c r="G345" s="107" t="s">
        <v>62</v>
      </c>
      <c r="H345" s="109">
        <f>HLOOKUP(F345,cfc,DATA!A1+1,FALSE)</f>
        <v>3.6282334854811568E-2</v>
      </c>
      <c r="I345" s="109">
        <f>HLOOKUP(G345,cfc,DATA!A1+1,FALSE)</f>
        <v>0.12450406283489571</v>
      </c>
      <c r="J345" s="108">
        <f>HLOOKUP(F345,cfc,DATA!$B$1+1,FALSE)</f>
        <v>8.4476933783828992E-2</v>
      </c>
      <c r="K345" s="108">
        <f>HLOOKUP(G345,cfc,DATA!$B$1+1,FALSE)</f>
        <v>0.22688580200803002</v>
      </c>
      <c r="L345" s="108">
        <f>L344-0.006</f>
        <v>7.1897495631916122E-2</v>
      </c>
      <c r="M345" s="108">
        <f>L344+0.006</f>
        <v>8.3897495631916133E-2</v>
      </c>
      <c r="N345" s="108">
        <v>9.4E-2</v>
      </c>
      <c r="O345" s="108">
        <v>9.6000000000000002E-2</v>
      </c>
      <c r="S345" s="61"/>
      <c r="T345" s="61"/>
    </row>
    <row r="346" spans="1:27" ht="15.9" customHeight="1" x14ac:dyDescent="0.25">
      <c r="A346" s="987" t="s">
        <v>243</v>
      </c>
      <c r="B346" s="988"/>
      <c r="C346" s="988"/>
      <c r="D346" s="988"/>
      <c r="E346" s="988"/>
      <c r="F346" s="988"/>
      <c r="G346" s="989"/>
      <c r="H346" s="1477" t="str">
        <f>HLOOKUP(A346,cfc,DATA!A1+1,FALSE)</f>
        <v>No Sig diff</v>
      </c>
      <c r="I346" s="1478"/>
      <c r="J346" s="1477" t="str">
        <f>HLOOKUP(A346,cfc,DATA!B1+1,FALSE)</f>
        <v>No Sig diff</v>
      </c>
      <c r="K346" s="1478"/>
      <c r="L346" s="1477" t="s">
        <v>160</v>
      </c>
      <c r="M346" s="1478"/>
      <c r="N346" s="1477"/>
      <c r="O346" s="1478"/>
      <c r="S346" s="61"/>
      <c r="T346" s="61"/>
    </row>
    <row r="347" spans="1:27" ht="31.8" customHeight="1" x14ac:dyDescent="0.25">
      <c r="A347" s="1031" t="s">
        <v>720</v>
      </c>
      <c r="B347" s="1032"/>
      <c r="C347" s="1032"/>
      <c r="D347" s="1032"/>
      <c r="E347" s="1032"/>
      <c r="F347" s="1032"/>
      <c r="G347" s="1033"/>
      <c r="H347" s="495" t="str">
        <f>$D$71</f>
        <v>Kingston Buci</v>
      </c>
      <c r="I347" s="495"/>
      <c r="J347" s="546" t="str">
        <f>$J$71</f>
        <v>Stepping Stones</v>
      </c>
      <c r="K347" s="546"/>
      <c r="L347" s="556" t="s">
        <v>103</v>
      </c>
      <c r="M347" s="556"/>
      <c r="N347" s="494" t="s">
        <v>105</v>
      </c>
      <c r="O347" s="494"/>
      <c r="S347" s="61"/>
      <c r="T347" s="61"/>
    </row>
    <row r="348" spans="1:27" ht="15.9" customHeight="1" x14ac:dyDescent="0.25">
      <c r="A348" s="952" t="s">
        <v>670</v>
      </c>
      <c r="B348" s="953"/>
      <c r="C348" s="953"/>
      <c r="D348" s="953"/>
      <c r="E348" s="953"/>
      <c r="F348" s="953"/>
      <c r="G348" s="954"/>
      <c r="H348" s="513">
        <f>HLOOKUP(A348,cfc,DATA!A1+1,FALSE)</f>
        <v>165</v>
      </c>
      <c r="I348" s="513"/>
      <c r="J348" s="569">
        <f>HLOOKUP(A348,cfc,DATA!$B$1+1,FALSE)</f>
        <v>114</v>
      </c>
      <c r="K348" s="569"/>
      <c r="L348" s="491">
        <v>6868</v>
      </c>
      <c r="M348" s="491"/>
      <c r="N348" s="491">
        <v>565662</v>
      </c>
      <c r="O348" s="491"/>
      <c r="P348" s="40"/>
      <c r="S348" s="61"/>
      <c r="T348" s="61"/>
      <c r="U348" s="16"/>
    </row>
    <row r="349" spans="1:27" ht="15.9" customHeight="1" x14ac:dyDescent="0.25">
      <c r="A349" s="952" t="s">
        <v>663</v>
      </c>
      <c r="B349" s="953"/>
      <c r="C349" s="953"/>
      <c r="D349" s="953"/>
      <c r="E349" s="953" t="s">
        <v>121</v>
      </c>
      <c r="F349" s="953"/>
      <c r="G349" s="954"/>
      <c r="H349" s="513">
        <f>HLOOKUP(A349,cfc,DATA!A1+1,FALSE)</f>
        <v>17</v>
      </c>
      <c r="I349" s="513"/>
      <c r="J349" s="569">
        <f>HLOOKUP(A349,cfc,DATA!$B$1+1,FALSE)</f>
        <v>11</v>
      </c>
      <c r="K349" s="569"/>
      <c r="L349" s="491">
        <f>L348*L350</f>
        <v>535</v>
      </c>
      <c r="M349" s="491"/>
      <c r="N349" s="491">
        <v>53669</v>
      </c>
      <c r="O349" s="491"/>
      <c r="P349" s="40"/>
      <c r="S349" s="61"/>
      <c r="T349" s="61"/>
      <c r="U349" s="16"/>
    </row>
    <row r="350" spans="1:27" ht="15.9" customHeight="1" x14ac:dyDescent="0.25">
      <c r="A350" s="952" t="s">
        <v>659</v>
      </c>
      <c r="B350" s="953"/>
      <c r="C350" s="953"/>
      <c r="D350" s="953"/>
      <c r="E350" s="953" t="s">
        <v>122</v>
      </c>
      <c r="F350" s="953"/>
      <c r="G350" s="954"/>
      <c r="H350" s="514">
        <f>HLOOKUP(A350,cfc,DATA!A1+1,FALSE)</f>
        <v>0.10303030303030303</v>
      </c>
      <c r="I350" s="514"/>
      <c r="J350" s="490">
        <f>HLOOKUP(A350,cfc,DATA!$B$1+1,FALSE)</f>
        <v>9.6491228070175433E-2</v>
      </c>
      <c r="K350" s="490"/>
      <c r="L350" s="490">
        <v>7.7897495631916128E-2</v>
      </c>
      <c r="M350" s="490"/>
      <c r="N350" s="490">
        <v>9.5000000000000001E-2</v>
      </c>
      <c r="O350" s="490"/>
      <c r="S350" s="61"/>
      <c r="T350" s="61"/>
    </row>
    <row r="351" spans="1:27" ht="15.9" customHeight="1" x14ac:dyDescent="0.25">
      <c r="A351" s="942" t="s">
        <v>721</v>
      </c>
      <c r="B351" s="943"/>
      <c r="C351" s="943"/>
      <c r="D351" s="943"/>
      <c r="E351" s="944"/>
      <c r="F351" s="106" t="s">
        <v>660</v>
      </c>
      <c r="G351" s="107" t="s">
        <v>661</v>
      </c>
      <c r="H351" s="109">
        <f>HLOOKUP(F351,cfc,DATA!A1+1,FALSE)</f>
        <v>6.5326799711821093E-2</v>
      </c>
      <c r="I351" s="109">
        <f>HLOOKUP(G351,cfc,DATA!A1+1,FALSE)</f>
        <v>0.15879741175262088</v>
      </c>
      <c r="J351" s="108">
        <f>HLOOKUP(F351,cfc,DATA!$B$1+1,FALSE)</f>
        <v>5.4736149045213803E-2</v>
      </c>
      <c r="K351" s="108">
        <f>HLOOKUP(G351,cfc,DATA!$B$1+1,FALSE)</f>
        <v>0.16455389606543028</v>
      </c>
      <c r="L351" s="108">
        <f>L350-0.006</f>
        <v>7.1897495631916122E-2</v>
      </c>
      <c r="M351" s="108">
        <f>L350+0.006</f>
        <v>8.3897495631916133E-2</v>
      </c>
      <c r="N351" s="108">
        <v>9.4E-2</v>
      </c>
      <c r="O351" s="108">
        <v>9.6000000000000002E-2</v>
      </c>
      <c r="S351" s="61"/>
      <c r="T351" s="61"/>
    </row>
    <row r="352" spans="1:27" ht="15.9" customHeight="1" x14ac:dyDescent="0.25">
      <c r="A352" s="987" t="s">
        <v>662</v>
      </c>
      <c r="B352" s="988"/>
      <c r="C352" s="988"/>
      <c r="D352" s="988"/>
      <c r="E352" s="988"/>
      <c r="F352" s="988"/>
      <c r="G352" s="989"/>
      <c r="H352" s="1477" t="str">
        <f>HLOOKUP(A352,cfc,DATA!A1+1,FALSE)</f>
        <v>No Sig diff</v>
      </c>
      <c r="I352" s="1478"/>
      <c r="J352" s="1477" t="str">
        <f>HLOOKUP(A352,cfc,DATA!B1+1,FALSE)</f>
        <v>No Sig diff</v>
      </c>
      <c r="K352" s="1478"/>
      <c r="L352" s="1477" t="s">
        <v>160</v>
      </c>
      <c r="M352" s="1478"/>
      <c r="N352" s="492"/>
      <c r="O352" s="493"/>
      <c r="S352" s="61"/>
      <c r="T352" s="61"/>
    </row>
    <row r="353" spans="1:34" s="36" customFormat="1" ht="39.6" customHeight="1" x14ac:dyDescent="0.25">
      <c r="A353" s="1762" t="s">
        <v>792</v>
      </c>
      <c r="B353" s="1763"/>
      <c r="C353" s="1763"/>
      <c r="D353" s="1763"/>
      <c r="E353" s="1763"/>
      <c r="F353" s="1763"/>
      <c r="G353" s="1763"/>
      <c r="H353" s="1763"/>
      <c r="I353" s="1763"/>
      <c r="J353" s="1763"/>
      <c r="K353" s="1763"/>
      <c r="L353" s="1763"/>
      <c r="M353" s="1763"/>
      <c r="N353" s="1763"/>
      <c r="O353" s="1764"/>
      <c r="P353" s="37"/>
      <c r="Q353" s="35"/>
      <c r="R353" s="35"/>
      <c r="S353" s="63"/>
      <c r="T353" s="63"/>
      <c r="U353" s="64"/>
      <c r="V353" s="64"/>
      <c r="W353" s="64"/>
      <c r="X353" s="64"/>
      <c r="Y353" s="64"/>
      <c r="Z353" s="64"/>
      <c r="AA353" s="64"/>
      <c r="AB353" s="58"/>
      <c r="AC353" s="58"/>
      <c r="AD353" s="58"/>
      <c r="AE353" s="58"/>
      <c r="AF353" s="58"/>
      <c r="AG353" s="58"/>
      <c r="AH353" s="58"/>
    </row>
    <row r="354" spans="1:34" ht="33.75" customHeight="1" x14ac:dyDescent="0.25">
      <c r="A354" s="510" t="s">
        <v>182</v>
      </c>
      <c r="B354" s="511"/>
      <c r="C354" s="511"/>
      <c r="D354" s="511"/>
      <c r="E354" s="511"/>
      <c r="F354" s="511"/>
      <c r="G354" s="512"/>
      <c r="H354" s="1293" t="str">
        <f>$D$71</f>
        <v>Kingston Buci</v>
      </c>
      <c r="I354" s="1293"/>
      <c r="J354" s="1479" t="str">
        <f>$J$71</f>
        <v>Stepping Stones</v>
      </c>
      <c r="K354" s="1479"/>
      <c r="L354" s="993" t="s">
        <v>103</v>
      </c>
      <c r="M354" s="993"/>
      <c r="N354" s="1007" t="s">
        <v>105</v>
      </c>
      <c r="O354" s="1007"/>
      <c r="P354" s="40"/>
      <c r="S354" s="61"/>
      <c r="T354" s="61"/>
    </row>
    <row r="355" spans="1:34" ht="15.9" customHeight="1" x14ac:dyDescent="0.25">
      <c r="A355" s="487" t="s">
        <v>184</v>
      </c>
      <c r="B355" s="488"/>
      <c r="C355" s="488"/>
      <c r="D355" s="488"/>
      <c r="E355" s="488"/>
      <c r="F355" s="488"/>
      <c r="G355" s="489"/>
      <c r="H355" s="513">
        <f>HLOOKUP(A355,cfc,DATA!$A$1+1,FALSE)</f>
        <v>135</v>
      </c>
      <c r="I355" s="513"/>
      <c r="J355" s="569">
        <f>HLOOKUP(A355,cfc,DATA!$B$1+1,FALSE)</f>
        <v>103</v>
      </c>
      <c r="K355" s="569"/>
      <c r="L355" s="491">
        <v>6911</v>
      </c>
      <c r="M355" s="491"/>
      <c r="N355" s="491">
        <v>499867</v>
      </c>
      <c r="O355" s="491"/>
      <c r="P355" s="40"/>
      <c r="Q355" s="14"/>
      <c r="R355" s="14"/>
      <c r="S355" s="14"/>
      <c r="T355" s="14"/>
      <c r="U355" s="16"/>
      <c r="V355" s="16"/>
      <c r="W355" s="16"/>
      <c r="X355" s="16"/>
      <c r="Y355" s="16"/>
      <c r="Z355" s="16"/>
      <c r="AA355" s="16"/>
    </row>
    <row r="356" spans="1:34" ht="15.9" customHeight="1" x14ac:dyDescent="0.25">
      <c r="A356" s="487" t="s">
        <v>186</v>
      </c>
      <c r="B356" s="488"/>
      <c r="C356" s="488"/>
      <c r="D356" s="488"/>
      <c r="E356" s="488"/>
      <c r="F356" s="488"/>
      <c r="G356" s="489"/>
      <c r="H356" s="513">
        <f>HLOOKUP(A356,cfc,DATA!$A$1+1,FALSE)</f>
        <v>25</v>
      </c>
      <c r="I356" s="513"/>
      <c r="J356" s="569">
        <f>HLOOKUP(A356,cfc,DATA!$B$1+1,FALSE)</f>
        <v>19</v>
      </c>
      <c r="K356" s="569"/>
      <c r="L356" s="491">
        <v>1099</v>
      </c>
      <c r="M356" s="491"/>
      <c r="N356" s="491">
        <v>93649</v>
      </c>
      <c r="O356" s="491"/>
      <c r="P356" s="40"/>
      <c r="Q356" s="14"/>
      <c r="R356" s="14"/>
      <c r="S356" s="14"/>
      <c r="T356" s="14"/>
      <c r="U356" s="16"/>
      <c r="V356" s="16"/>
      <c r="W356" s="16"/>
      <c r="X356" s="16"/>
      <c r="Y356" s="16"/>
      <c r="Z356" s="16"/>
      <c r="AA356" s="16"/>
    </row>
    <row r="357" spans="1:34" ht="15.9" customHeight="1" x14ac:dyDescent="0.25">
      <c r="A357" s="484" t="s">
        <v>187</v>
      </c>
      <c r="B357" s="485"/>
      <c r="C357" s="485"/>
      <c r="D357" s="485"/>
      <c r="E357" s="485"/>
      <c r="F357" s="485"/>
      <c r="G357" s="486"/>
      <c r="H357" s="514">
        <f>HLOOKUP(A357,cfc,DATA!$A$1+1,FALSE)</f>
        <v>0.18518518518518517</v>
      </c>
      <c r="I357" s="514"/>
      <c r="J357" s="490">
        <f>HLOOKUP(A357,cfc,DATA!$B$1+1,FALSE)</f>
        <v>0.18446601941747573</v>
      </c>
      <c r="K357" s="490"/>
      <c r="L357" s="490">
        <v>0.159</v>
      </c>
      <c r="M357" s="490"/>
      <c r="N357" s="490">
        <v>0.187</v>
      </c>
      <c r="O357" s="490"/>
      <c r="P357" s="40"/>
      <c r="Q357" s="14"/>
      <c r="R357" s="14"/>
      <c r="S357" s="14"/>
      <c r="T357" s="14"/>
      <c r="U357" s="16"/>
      <c r="V357" s="16"/>
      <c r="W357" s="16"/>
      <c r="X357" s="16"/>
      <c r="Y357" s="16"/>
      <c r="Z357" s="16"/>
      <c r="AA357" s="16"/>
    </row>
    <row r="358" spans="1:34" ht="15.9" customHeight="1" x14ac:dyDescent="0.25">
      <c r="A358" s="549" t="s">
        <v>145</v>
      </c>
      <c r="B358" s="550"/>
      <c r="C358" s="550"/>
      <c r="D358" s="550"/>
      <c r="E358" s="551"/>
      <c r="F358" s="110" t="s">
        <v>191</v>
      </c>
      <c r="G358" s="111" t="s">
        <v>192</v>
      </c>
      <c r="H358" s="109">
        <f>HLOOKUP(F358,cfc,DATA!$A$1+1,FALSE)</f>
        <v>0.12869783265528051</v>
      </c>
      <c r="I358" s="109">
        <f>HLOOKUP(G358,cfc,DATA!$A$1+1,FALSE)</f>
        <v>0.25909310009649444</v>
      </c>
      <c r="J358" s="108">
        <f>HLOOKUP(F358,cfc,DATA!$B$1+1,FALSE)</f>
        <v>0.12139537223023854</v>
      </c>
      <c r="K358" s="108">
        <f>HLOOKUP(G358,cfc,DATA!$B$1+1,FALSE)</f>
        <v>0.27022656257424815</v>
      </c>
      <c r="L358" s="108">
        <v>0.151</v>
      </c>
      <c r="M358" s="108">
        <v>0.16800000000000001</v>
      </c>
      <c r="N358" s="108">
        <v>0.186</v>
      </c>
      <c r="O358" s="108">
        <v>0.188</v>
      </c>
      <c r="P358" s="40"/>
      <c r="Q358" s="14"/>
      <c r="R358" s="14"/>
      <c r="S358" s="14"/>
      <c r="T358" s="14"/>
      <c r="U358" s="16"/>
      <c r="V358" s="16"/>
      <c r="W358" s="16"/>
      <c r="X358" s="16"/>
      <c r="Y358" s="16"/>
      <c r="Z358" s="16"/>
      <c r="AA358" s="16"/>
    </row>
    <row r="359" spans="1:34" ht="15.9" customHeight="1" x14ac:dyDescent="0.25">
      <c r="A359" s="549" t="s">
        <v>188</v>
      </c>
      <c r="B359" s="550"/>
      <c r="C359" s="550"/>
      <c r="D359" s="550"/>
      <c r="E359" s="550"/>
      <c r="F359" s="550"/>
      <c r="G359" s="974"/>
      <c r="H359" s="492" t="str">
        <f>HLOOKUP(A359,cfc,DATA!$A$1+1,FALSE)</f>
        <v>No Sig diff</v>
      </c>
      <c r="I359" s="493"/>
      <c r="J359" s="492" t="str">
        <f>HLOOKUP(A359,cfc,DATA!$B$1+1,FALSE)</f>
        <v>No Sig diff</v>
      </c>
      <c r="K359" s="493"/>
      <c r="L359" s="492" t="s">
        <v>160</v>
      </c>
      <c r="M359" s="493"/>
      <c r="N359" s="492"/>
      <c r="O359" s="493"/>
      <c r="P359" s="40"/>
      <c r="Q359" s="14"/>
      <c r="R359" s="14"/>
      <c r="S359" s="14"/>
      <c r="T359" s="14"/>
      <c r="U359" s="16"/>
      <c r="V359" s="16"/>
      <c r="W359" s="16"/>
      <c r="X359" s="16"/>
      <c r="Y359" s="16"/>
      <c r="Z359" s="16"/>
      <c r="AA359" s="16"/>
    </row>
    <row r="360" spans="1:34" ht="33.75" customHeight="1" x14ac:dyDescent="0.25">
      <c r="A360" s="510" t="s">
        <v>246</v>
      </c>
      <c r="B360" s="511"/>
      <c r="C360" s="511"/>
      <c r="D360" s="511"/>
      <c r="E360" s="511"/>
      <c r="F360" s="511"/>
      <c r="G360" s="512"/>
      <c r="H360" s="495" t="str">
        <f>$D$71</f>
        <v>Kingston Buci</v>
      </c>
      <c r="I360" s="495"/>
      <c r="J360" s="546" t="str">
        <f>$J$71</f>
        <v>Stepping Stones</v>
      </c>
      <c r="K360" s="546"/>
      <c r="L360" s="556" t="s">
        <v>103</v>
      </c>
      <c r="M360" s="556"/>
      <c r="N360" s="494" t="s">
        <v>105</v>
      </c>
      <c r="O360" s="494"/>
      <c r="P360" s="40"/>
      <c r="Q360" s="14"/>
      <c r="R360" s="14"/>
      <c r="S360" s="14"/>
      <c r="T360" s="14"/>
      <c r="U360" s="16"/>
      <c r="V360" s="16"/>
      <c r="W360" s="16"/>
      <c r="X360" s="16"/>
      <c r="Y360" s="16"/>
      <c r="Z360" s="16"/>
      <c r="AA360" s="16"/>
    </row>
    <row r="361" spans="1:34" ht="15.9" customHeight="1" x14ac:dyDescent="0.25">
      <c r="A361" s="481" t="s">
        <v>285</v>
      </c>
      <c r="B361" s="482"/>
      <c r="C361" s="482"/>
      <c r="D361" s="482"/>
      <c r="E361" s="482"/>
      <c r="F361" s="482"/>
      <c r="G361" s="483"/>
      <c r="H361" s="513">
        <f>HLOOKUP(A361,cfc,DATA!$A$1+1,FALSE)</f>
        <v>120</v>
      </c>
      <c r="I361" s="513"/>
      <c r="J361" s="569">
        <f>HLOOKUP(A361,cfc,DATA!$B$1+1,FALSE)</f>
        <v>94</v>
      </c>
      <c r="K361" s="569"/>
      <c r="L361" s="491">
        <v>6998</v>
      </c>
      <c r="M361" s="491"/>
      <c r="N361" s="491">
        <v>495353</v>
      </c>
      <c r="O361" s="509"/>
      <c r="P361" s="40"/>
      <c r="Q361" s="14"/>
      <c r="R361" s="14"/>
      <c r="S361" s="14"/>
      <c r="T361" s="14"/>
      <c r="U361" s="16"/>
      <c r="V361" s="16"/>
      <c r="W361" s="16"/>
      <c r="X361" s="16"/>
      <c r="Y361" s="16"/>
      <c r="Z361" s="16"/>
      <c r="AA361" s="16"/>
    </row>
    <row r="362" spans="1:34" ht="15.9" customHeight="1" x14ac:dyDescent="0.25">
      <c r="A362" s="481" t="s">
        <v>286</v>
      </c>
      <c r="B362" s="482"/>
      <c r="C362" s="482"/>
      <c r="D362" s="482"/>
      <c r="E362" s="482"/>
      <c r="F362" s="482"/>
      <c r="G362" s="483"/>
      <c r="H362" s="513">
        <f>HLOOKUP(A362,cfc,DATA!$A$1+1,FALSE)</f>
        <v>27</v>
      </c>
      <c r="I362" s="513"/>
      <c r="J362" s="569">
        <f>HLOOKUP(A362,cfc,DATA!$B$1+1,FALSE)</f>
        <v>19</v>
      </c>
      <c r="K362" s="569"/>
      <c r="L362" s="491">
        <v>1110</v>
      </c>
      <c r="M362" s="491"/>
      <c r="N362" s="491">
        <v>94315</v>
      </c>
      <c r="O362" s="509"/>
      <c r="P362" s="40"/>
      <c r="Q362" s="14"/>
      <c r="R362" s="14"/>
      <c r="S362" s="14"/>
      <c r="T362" s="14"/>
      <c r="U362" s="16"/>
      <c r="V362" s="16"/>
      <c r="W362" s="16"/>
      <c r="X362" s="16"/>
      <c r="Y362" s="16"/>
      <c r="Z362" s="16"/>
      <c r="AA362" s="16"/>
    </row>
    <row r="363" spans="1:34" ht="15.9" customHeight="1" x14ac:dyDescent="0.25">
      <c r="A363" s="481" t="s">
        <v>289</v>
      </c>
      <c r="B363" s="482"/>
      <c r="C363" s="482"/>
      <c r="D363" s="482"/>
      <c r="E363" s="482"/>
      <c r="F363" s="482"/>
      <c r="G363" s="483"/>
      <c r="H363" s="514">
        <f>HLOOKUP(A363,cfc,DATA!$A$1+1,FALSE)</f>
        <v>0.22500000000000001</v>
      </c>
      <c r="I363" s="514"/>
      <c r="J363" s="490">
        <f>HLOOKUP(A363,cfc,DATA!$B$1+1,FALSE)</f>
        <v>0.20212765957446807</v>
      </c>
      <c r="K363" s="490"/>
      <c r="L363" s="490">
        <v>0.159</v>
      </c>
      <c r="M363" s="490"/>
      <c r="N363" s="490">
        <v>0.19</v>
      </c>
      <c r="O363" s="490"/>
      <c r="P363" s="40"/>
      <c r="Q363" s="14"/>
      <c r="R363" s="14"/>
      <c r="S363" s="14"/>
      <c r="T363" s="14"/>
      <c r="U363" s="16"/>
      <c r="V363" s="16"/>
      <c r="W363" s="16"/>
      <c r="X363" s="16"/>
      <c r="Y363" s="16"/>
      <c r="Z363" s="16"/>
      <c r="AA363" s="16"/>
    </row>
    <row r="364" spans="1:34" ht="15.9" customHeight="1" x14ac:dyDescent="0.25">
      <c r="A364" s="549" t="s">
        <v>287</v>
      </c>
      <c r="B364" s="550"/>
      <c r="C364" s="550"/>
      <c r="D364" s="550"/>
      <c r="E364" s="551"/>
      <c r="F364" s="110" t="s">
        <v>297</v>
      </c>
      <c r="G364" s="111" t="s">
        <v>298</v>
      </c>
      <c r="H364" s="109">
        <f>HLOOKUP(F364,cfc,DATA!$A$1+1,FALSE)</f>
        <v>0.15949154668383531</v>
      </c>
      <c r="I364" s="109">
        <f>HLOOKUP(G364,cfc,DATA!$A$1+1,FALSE)</f>
        <v>0.30756899484645162</v>
      </c>
      <c r="J364" s="108">
        <f>HLOOKUP(F364,cfc,DATA!$B$1+1,FALSE)</f>
        <v>0.1333948198921881</v>
      </c>
      <c r="K364" s="108">
        <f>HLOOKUP(G364,cfc,DATA!$B$1+1,FALSE)</f>
        <v>0.29425067236660452</v>
      </c>
      <c r="L364" s="108">
        <v>0.15</v>
      </c>
      <c r="M364" s="108">
        <v>0.16800000000000001</v>
      </c>
      <c r="N364" s="108">
        <v>0.189</v>
      </c>
      <c r="O364" s="108">
        <v>0.191</v>
      </c>
      <c r="P364" s="40"/>
      <c r="Q364" s="14"/>
      <c r="R364" s="14"/>
      <c r="S364" s="14"/>
      <c r="T364" s="14"/>
      <c r="U364" s="16"/>
      <c r="V364" s="16"/>
      <c r="W364" s="16"/>
      <c r="X364" s="16"/>
      <c r="Y364" s="16"/>
      <c r="Z364" s="16"/>
      <c r="AA364" s="16"/>
    </row>
    <row r="365" spans="1:34" ht="15.9" customHeight="1" x14ac:dyDescent="0.25">
      <c r="A365" s="577" t="s">
        <v>288</v>
      </c>
      <c r="B365" s="578"/>
      <c r="C365" s="578"/>
      <c r="D365" s="578"/>
      <c r="E365" s="578"/>
      <c r="F365" s="578"/>
      <c r="G365" s="579"/>
      <c r="H365" s="492" t="str">
        <f>HLOOKUP(A365,cfc,DATA!$A$1+1,FALSE)</f>
        <v>No Sig diff</v>
      </c>
      <c r="I365" s="493"/>
      <c r="J365" s="492" t="str">
        <f>HLOOKUP(A365,cfc,DATA!$B$1+1,FALSE)</f>
        <v>No Sig diff</v>
      </c>
      <c r="K365" s="493"/>
      <c r="L365" s="492" t="s">
        <v>160</v>
      </c>
      <c r="M365" s="493"/>
      <c r="N365" s="492"/>
      <c r="O365" s="493"/>
      <c r="P365" s="40"/>
      <c r="Q365" s="14"/>
      <c r="R365" s="14"/>
      <c r="S365" s="14"/>
      <c r="T365" s="14"/>
      <c r="U365" s="16"/>
      <c r="V365" s="16"/>
      <c r="W365" s="16"/>
      <c r="X365" s="16"/>
      <c r="Y365" s="16"/>
      <c r="Z365" s="16"/>
      <c r="AA365" s="16"/>
    </row>
    <row r="366" spans="1:34" ht="33.75" customHeight="1" x14ac:dyDescent="0.25">
      <c r="A366" s="574" t="s">
        <v>55</v>
      </c>
      <c r="B366" s="575"/>
      <c r="C366" s="575"/>
      <c r="D366" s="575"/>
      <c r="E366" s="575"/>
      <c r="F366" s="575"/>
      <c r="G366" s="576"/>
      <c r="H366" s="495" t="str">
        <f>$D$71</f>
        <v>Kingston Buci</v>
      </c>
      <c r="I366" s="495"/>
      <c r="J366" s="546" t="str">
        <f>$J$71</f>
        <v>Stepping Stones</v>
      </c>
      <c r="K366" s="546"/>
      <c r="L366" s="556" t="s">
        <v>103</v>
      </c>
      <c r="M366" s="556"/>
      <c r="N366" s="494" t="s">
        <v>105</v>
      </c>
      <c r="O366" s="494"/>
      <c r="P366" s="40"/>
      <c r="Q366" s="14"/>
      <c r="R366" s="14"/>
      <c r="S366" s="14"/>
      <c r="T366" s="14"/>
      <c r="U366" s="16"/>
      <c r="V366" s="16"/>
      <c r="W366" s="16"/>
      <c r="X366" s="16"/>
      <c r="Y366" s="16"/>
      <c r="Z366" s="16"/>
      <c r="AA366" s="16"/>
    </row>
    <row r="367" spans="1:34" ht="15.9" customHeight="1" x14ac:dyDescent="0.25">
      <c r="A367" s="481" t="s">
        <v>56</v>
      </c>
      <c r="B367" s="482"/>
      <c r="C367" s="482"/>
      <c r="D367" s="482"/>
      <c r="E367" s="482"/>
      <c r="F367" s="482"/>
      <c r="G367" s="483"/>
      <c r="H367" s="513">
        <f>HLOOKUP(A367,cfc,DATA!$A$1+1,FALSE)</f>
        <v>121</v>
      </c>
      <c r="I367" s="513"/>
      <c r="J367" s="569">
        <f>HLOOKUP(A367,cfc,DATA!$B$1+1,FALSE)</f>
        <v>97</v>
      </c>
      <c r="K367" s="569"/>
      <c r="L367" s="491">
        <v>6940</v>
      </c>
      <c r="M367" s="491"/>
      <c r="N367" s="491">
        <v>491118</v>
      </c>
      <c r="O367" s="509"/>
      <c r="P367" s="40"/>
      <c r="Q367" s="14"/>
      <c r="R367" s="14"/>
      <c r="S367" s="14"/>
      <c r="T367" s="14"/>
      <c r="U367" s="16"/>
      <c r="V367" s="16"/>
      <c r="W367" s="16"/>
      <c r="X367" s="16"/>
      <c r="Y367" s="16"/>
      <c r="Z367" s="16"/>
      <c r="AA367" s="16"/>
    </row>
    <row r="368" spans="1:34" ht="15.9" customHeight="1" x14ac:dyDescent="0.25">
      <c r="A368" s="481" t="s">
        <v>244</v>
      </c>
      <c r="B368" s="482"/>
      <c r="C368" s="482"/>
      <c r="D368" s="482"/>
      <c r="E368" s="482"/>
      <c r="F368" s="482"/>
      <c r="G368" s="483"/>
      <c r="H368" s="513">
        <f>HLOOKUP(A368,cfc,DATA!$A$1+1,FALSE)</f>
        <v>18</v>
      </c>
      <c r="I368" s="513"/>
      <c r="J368" s="569">
        <f>HLOOKUP(A368,cfc,DATA!$B$1+1,FALSE)</f>
        <v>18</v>
      </c>
      <c r="K368" s="569"/>
      <c r="L368" s="491">
        <f>L367*L369</f>
        <v>1080</v>
      </c>
      <c r="M368" s="491"/>
      <c r="N368" s="491">
        <v>94307</v>
      </c>
      <c r="O368" s="509"/>
      <c r="P368" s="40"/>
      <c r="Q368" s="14"/>
      <c r="R368" s="14"/>
      <c r="S368" s="14"/>
      <c r="T368" s="14"/>
      <c r="U368" s="16"/>
      <c r="V368" s="16"/>
      <c r="W368" s="16"/>
      <c r="X368" s="16"/>
      <c r="Y368" s="16"/>
      <c r="Z368" s="16"/>
      <c r="AA368" s="16"/>
    </row>
    <row r="369" spans="1:34" ht="15.9" customHeight="1" x14ac:dyDescent="0.25">
      <c r="A369" s="481" t="s">
        <v>57</v>
      </c>
      <c r="B369" s="482"/>
      <c r="C369" s="482"/>
      <c r="D369" s="482"/>
      <c r="E369" s="482" t="s">
        <v>122</v>
      </c>
      <c r="F369" s="482"/>
      <c r="G369" s="483"/>
      <c r="H369" s="514">
        <f>HLOOKUP(A369,cfc,DATA!$A$1+1,FALSE)</f>
        <v>0.1487603305785124</v>
      </c>
      <c r="I369" s="514"/>
      <c r="J369" s="490">
        <f>HLOOKUP(A369,cfc,DATA!$B$1+1,FALSE)</f>
        <v>0.18556701030927836</v>
      </c>
      <c r="K369" s="490"/>
      <c r="L369" s="490">
        <v>0.15561959654178675</v>
      </c>
      <c r="M369" s="490"/>
      <c r="N369" s="490">
        <v>0.192</v>
      </c>
      <c r="O369" s="490"/>
      <c r="P369" s="40"/>
      <c r="Q369" s="14"/>
      <c r="R369" s="14"/>
      <c r="S369" s="14"/>
      <c r="T369" s="14"/>
      <c r="U369" s="16"/>
      <c r="V369" s="16"/>
      <c r="W369" s="16"/>
      <c r="X369" s="16"/>
      <c r="Y369" s="16"/>
      <c r="Z369" s="16"/>
      <c r="AA369" s="16"/>
    </row>
    <row r="370" spans="1:34" ht="15.9" customHeight="1" x14ac:dyDescent="0.25">
      <c r="A370" s="549" t="s">
        <v>245</v>
      </c>
      <c r="B370" s="550"/>
      <c r="C370" s="550"/>
      <c r="D370" s="550"/>
      <c r="E370" s="551"/>
      <c r="F370" s="110" t="s">
        <v>58</v>
      </c>
      <c r="G370" s="111" t="s">
        <v>59</v>
      </c>
      <c r="H370" s="109">
        <f>HLOOKUP(F370,cfc,DATA!$A$1+1,FALSE)</f>
        <v>9.6217408704644847E-2</v>
      </c>
      <c r="I370" s="109">
        <f>HLOOKUP(G370,cfc,DATA!$A$1+1,FALSE)</f>
        <v>0.22291903200226135</v>
      </c>
      <c r="J370" s="108">
        <f>HLOOKUP(F370,cfc,DATA!$B$1+1,FALSE)</f>
        <v>0.12072903379332831</v>
      </c>
      <c r="K370" s="108">
        <f>HLOOKUP(G370,cfc,DATA!$B$1+1,FALSE)</f>
        <v>0.27436103418690677</v>
      </c>
      <c r="L370" s="108">
        <f>L369-0.009</f>
        <v>0.14661959654178675</v>
      </c>
      <c r="M370" s="108">
        <f>L369+0.009</f>
        <v>0.16461959654178676</v>
      </c>
      <c r="N370" s="108">
        <v>0.191</v>
      </c>
      <c r="O370" s="108">
        <v>0.193</v>
      </c>
      <c r="P370" s="40"/>
      <c r="Q370" s="14"/>
      <c r="R370" s="14"/>
      <c r="S370" s="14"/>
      <c r="T370" s="14"/>
      <c r="U370" s="16"/>
      <c r="V370" s="16"/>
      <c r="W370" s="16"/>
      <c r="X370" s="16"/>
      <c r="Y370" s="16"/>
      <c r="Z370" s="16"/>
      <c r="AA370" s="16"/>
    </row>
    <row r="371" spans="1:34" ht="15.9" customHeight="1" x14ac:dyDescent="0.25">
      <c r="A371" s="577" t="s">
        <v>60</v>
      </c>
      <c r="B371" s="578"/>
      <c r="C371" s="578"/>
      <c r="D371" s="578"/>
      <c r="E371" s="578"/>
      <c r="F371" s="578"/>
      <c r="G371" s="579"/>
      <c r="H371" s="492" t="str">
        <f>HLOOKUP(A371,cfc,DATA!$A$1+1,FALSE)</f>
        <v>No Sig diff</v>
      </c>
      <c r="I371" s="493"/>
      <c r="J371" s="492" t="str">
        <f>HLOOKUP(A371,cfc,DATA!$B$1+1,FALSE)</f>
        <v>No Sig diff</v>
      </c>
      <c r="K371" s="493"/>
      <c r="L371" s="492" t="s">
        <v>160</v>
      </c>
      <c r="M371" s="493"/>
      <c r="N371" s="492"/>
      <c r="O371" s="493"/>
      <c r="P371" s="40"/>
      <c r="S371" s="61"/>
      <c r="T371" s="61"/>
    </row>
    <row r="372" spans="1:34" ht="41.4" customHeight="1" x14ac:dyDescent="0.25">
      <c r="A372" s="574" t="s">
        <v>722</v>
      </c>
      <c r="B372" s="575"/>
      <c r="C372" s="575"/>
      <c r="D372" s="575"/>
      <c r="E372" s="575"/>
      <c r="F372" s="575"/>
      <c r="G372" s="576"/>
      <c r="H372" s="495" t="str">
        <f>$D$71</f>
        <v>Kingston Buci</v>
      </c>
      <c r="I372" s="495"/>
      <c r="J372" s="546" t="str">
        <f>$J$71</f>
        <v>Stepping Stones</v>
      </c>
      <c r="K372" s="546"/>
      <c r="L372" s="556" t="s">
        <v>103</v>
      </c>
      <c r="M372" s="556"/>
      <c r="N372" s="494" t="s">
        <v>105</v>
      </c>
      <c r="O372" s="494"/>
      <c r="P372" s="40"/>
      <c r="S372" s="61"/>
      <c r="T372" s="61"/>
    </row>
    <row r="373" spans="1:34" ht="15.9" customHeight="1" x14ac:dyDescent="0.25">
      <c r="A373" s="481" t="s">
        <v>664</v>
      </c>
      <c r="B373" s="482"/>
      <c r="C373" s="482"/>
      <c r="D373" s="482"/>
      <c r="E373" s="482"/>
      <c r="F373" s="482"/>
      <c r="G373" s="483"/>
      <c r="H373" s="513">
        <f>HLOOKUP(A373,cfc,DATA!$A$1+1,FALSE)</f>
        <v>125</v>
      </c>
      <c r="I373" s="513"/>
      <c r="J373" s="569">
        <f>HLOOKUP(A373,cfc,DATA!$B$1+1,FALSE)</f>
        <v>90</v>
      </c>
      <c r="K373" s="569"/>
      <c r="L373" s="491">
        <v>6940</v>
      </c>
      <c r="M373" s="491"/>
      <c r="N373" s="491">
        <v>491118</v>
      </c>
      <c r="O373" s="509"/>
      <c r="P373" s="40"/>
      <c r="S373" s="61"/>
      <c r="T373" s="61"/>
      <c r="U373" s="16"/>
    </row>
    <row r="374" spans="1:34" ht="15.9" customHeight="1" x14ac:dyDescent="0.25">
      <c r="A374" s="481" t="s">
        <v>665</v>
      </c>
      <c r="B374" s="482"/>
      <c r="C374" s="482"/>
      <c r="D374" s="482"/>
      <c r="E374" s="482"/>
      <c r="F374" s="482"/>
      <c r="G374" s="483"/>
      <c r="H374" s="513">
        <f>HLOOKUP(A374,cfc,DATA!$A$1+1,FALSE)</f>
        <v>27</v>
      </c>
      <c r="I374" s="513"/>
      <c r="J374" s="569">
        <f>HLOOKUP(A374,cfc,DATA!$B$1+1,FALSE)</f>
        <v>19</v>
      </c>
      <c r="K374" s="569"/>
      <c r="L374" s="491">
        <f>L373*L375</f>
        <v>1080</v>
      </c>
      <c r="M374" s="491"/>
      <c r="N374" s="491">
        <v>94307</v>
      </c>
      <c r="O374" s="509"/>
      <c r="P374" s="40"/>
      <c r="S374" s="61"/>
      <c r="T374" s="61"/>
      <c r="U374" s="16"/>
    </row>
    <row r="375" spans="1:34" ht="15.9" customHeight="1" x14ac:dyDescent="0.25">
      <c r="A375" s="481" t="s">
        <v>666</v>
      </c>
      <c r="B375" s="482"/>
      <c r="C375" s="482"/>
      <c r="D375" s="482"/>
      <c r="E375" s="482" t="s">
        <v>122</v>
      </c>
      <c r="F375" s="482"/>
      <c r="G375" s="483"/>
      <c r="H375" s="514">
        <f>HLOOKUP(A375,cfc,DATA!$A$1+1,FALSE)</f>
        <v>0.216</v>
      </c>
      <c r="I375" s="514"/>
      <c r="J375" s="490">
        <f>HLOOKUP(A375,cfc,DATA!$B$1+1,FALSE)</f>
        <v>0.21111111111111111</v>
      </c>
      <c r="K375" s="490"/>
      <c r="L375" s="490">
        <v>0.15561959654178675</v>
      </c>
      <c r="M375" s="490"/>
      <c r="N375" s="490">
        <v>0.192</v>
      </c>
      <c r="O375" s="490"/>
      <c r="P375" s="40"/>
      <c r="S375" s="61"/>
      <c r="T375" s="61"/>
    </row>
    <row r="376" spans="1:34" ht="15.9" customHeight="1" x14ac:dyDescent="0.25">
      <c r="A376" s="549" t="s">
        <v>723</v>
      </c>
      <c r="B376" s="550"/>
      <c r="C376" s="550"/>
      <c r="D376" s="550"/>
      <c r="E376" s="551"/>
      <c r="F376" s="110" t="s">
        <v>667</v>
      </c>
      <c r="G376" s="111" t="s">
        <v>668</v>
      </c>
      <c r="H376" s="109">
        <f>HLOOKUP(F376,cfc,DATA!$A$1+1,FALSE)</f>
        <v>0.15290810140879452</v>
      </c>
      <c r="I376" s="109">
        <f>HLOOKUP(G376,cfc,DATA!$A$1+1,FALSE)</f>
        <v>0.2960270422175349</v>
      </c>
      <c r="J376" s="108">
        <f>HLOOKUP(F376,cfc,DATA!$B$1+1,FALSE)</f>
        <v>0.13952592118014923</v>
      </c>
      <c r="K376" s="108">
        <f>HLOOKUP(G376,cfc,DATA!$B$1+1,FALSE)</f>
        <v>0.30634799581257288</v>
      </c>
      <c r="L376" s="108">
        <f>L375-0.009</f>
        <v>0.14661959654178675</v>
      </c>
      <c r="M376" s="108">
        <f>L375+0.009</f>
        <v>0.16461959654178676</v>
      </c>
      <c r="N376" s="108">
        <v>0.191</v>
      </c>
      <c r="O376" s="108">
        <v>0.193</v>
      </c>
      <c r="P376" s="40"/>
      <c r="S376" s="61"/>
      <c r="T376" s="61"/>
    </row>
    <row r="377" spans="1:34" ht="15.9" customHeight="1" x14ac:dyDescent="0.25">
      <c r="A377" s="577" t="s">
        <v>669</v>
      </c>
      <c r="B377" s="578"/>
      <c r="C377" s="578"/>
      <c r="D377" s="578"/>
      <c r="E377" s="578"/>
      <c r="F377" s="578"/>
      <c r="G377" s="579"/>
      <c r="H377" s="492" t="str">
        <f>HLOOKUP(A377,cfc,DATA!$A$1+1,FALSE)</f>
        <v>No Sig diff</v>
      </c>
      <c r="I377" s="493"/>
      <c r="J377" s="492" t="str">
        <f>HLOOKUP(A377,cfc,DATA!$B$1+1,FALSE)</f>
        <v>No Sig diff</v>
      </c>
      <c r="K377" s="493"/>
      <c r="L377" s="492" t="s">
        <v>160</v>
      </c>
      <c r="M377" s="493"/>
      <c r="N377" s="492"/>
      <c r="O377" s="493"/>
      <c r="P377" s="40"/>
      <c r="S377" s="61"/>
      <c r="T377" s="61"/>
    </row>
    <row r="378" spans="1:34" s="20" customFormat="1" ht="20.399999999999999" customHeight="1" x14ac:dyDescent="0.25">
      <c r="A378" s="1594" t="s">
        <v>215</v>
      </c>
      <c r="B378" s="1595"/>
      <c r="C378" s="1595"/>
      <c r="D378" s="1595"/>
      <c r="E378" s="1595"/>
      <c r="F378" s="1595"/>
      <c r="G378" s="1595"/>
      <c r="H378" s="1595"/>
      <c r="I378" s="1595"/>
      <c r="J378" s="1595"/>
      <c r="K378" s="1595"/>
      <c r="L378" s="1595"/>
      <c r="M378" s="1595"/>
      <c r="N378" s="1595"/>
      <c r="O378" s="247" t="s">
        <v>600</v>
      </c>
      <c r="P378" s="9"/>
      <c r="Q378" s="19"/>
      <c r="R378" s="19"/>
      <c r="S378" s="41"/>
      <c r="T378" s="41"/>
      <c r="U378" s="10"/>
      <c r="V378" s="10"/>
      <c r="W378" s="10"/>
      <c r="X378" s="10"/>
      <c r="Y378" s="10"/>
      <c r="Z378" s="10"/>
      <c r="AA378" s="10"/>
      <c r="AB378" s="16"/>
      <c r="AC378" s="16"/>
      <c r="AD378" s="16"/>
      <c r="AE378" s="16"/>
      <c r="AF378" s="16"/>
      <c r="AG378" s="16"/>
      <c r="AH378" s="16"/>
    </row>
    <row r="379" spans="1:34" ht="33" customHeight="1" x14ac:dyDescent="0.25">
      <c r="A379" s="683" t="s">
        <v>74</v>
      </c>
      <c r="B379" s="683"/>
      <c r="C379" s="684" t="s">
        <v>278</v>
      </c>
      <c r="D379" s="685"/>
      <c r="E379" s="685"/>
      <c r="F379" s="685"/>
      <c r="G379" s="685"/>
      <c r="H379" s="685"/>
      <c r="I379" s="685"/>
      <c r="J379" s="685"/>
      <c r="K379" s="685"/>
      <c r="L379" s="685"/>
      <c r="M379" s="685"/>
      <c r="N379" s="685"/>
      <c r="O379" s="1596"/>
      <c r="S379" s="61"/>
      <c r="T379" s="61"/>
    </row>
    <row r="380" spans="1:34" ht="15" customHeight="1" x14ac:dyDescent="0.25">
      <c r="A380" s="1597" t="s">
        <v>70</v>
      </c>
      <c r="B380" s="1598"/>
      <c r="C380" s="553" t="s">
        <v>92</v>
      </c>
      <c r="D380" s="554"/>
      <c r="E380" s="554"/>
      <c r="F380" s="554"/>
      <c r="G380" s="554"/>
      <c r="H380" s="554"/>
      <c r="I380" s="554"/>
      <c r="J380" s="554"/>
      <c r="K380" s="554"/>
      <c r="L380" s="555"/>
      <c r="M380" s="1476"/>
      <c r="N380" s="1476"/>
      <c r="O380" s="1476"/>
      <c r="S380" s="61"/>
      <c r="T380" s="61"/>
    </row>
    <row r="381" spans="1:34" ht="15" customHeight="1" x14ac:dyDescent="0.25">
      <c r="A381" s="1598"/>
      <c r="B381" s="1598"/>
      <c r="C381" s="607" t="s">
        <v>71</v>
      </c>
      <c r="D381" s="608"/>
      <c r="E381" s="608"/>
      <c r="F381" s="608"/>
      <c r="G381" s="608"/>
      <c r="H381" s="608"/>
      <c r="I381" s="608"/>
      <c r="J381" s="608"/>
      <c r="K381" s="608"/>
      <c r="L381" s="609"/>
      <c r="M381" s="581" t="s">
        <v>248</v>
      </c>
      <c r="N381" s="581"/>
      <c r="O381" s="581"/>
      <c r="S381" s="61"/>
      <c r="T381" s="61"/>
    </row>
    <row r="382" spans="1:34" ht="15" customHeight="1" x14ac:dyDescent="0.25">
      <c r="A382" s="1598"/>
      <c r="B382" s="1598"/>
      <c r="C382" s="607" t="s">
        <v>305</v>
      </c>
      <c r="D382" s="608"/>
      <c r="E382" s="608"/>
      <c r="F382" s="608"/>
      <c r="G382" s="608"/>
      <c r="H382" s="608"/>
      <c r="I382" s="608"/>
      <c r="J382" s="608"/>
      <c r="K382" s="608"/>
      <c r="L382" s="609"/>
      <c r="M382" s="581" t="s">
        <v>248</v>
      </c>
      <c r="N382" s="581"/>
      <c r="O382" s="581"/>
      <c r="S382" s="61"/>
      <c r="T382" s="61"/>
    </row>
    <row r="383" spans="1:34" ht="15" customHeight="1" x14ac:dyDescent="0.25">
      <c r="A383" s="1598"/>
      <c r="B383" s="1598"/>
      <c r="C383" s="1475" t="s">
        <v>306</v>
      </c>
      <c r="D383" s="1103"/>
      <c r="E383" s="1103"/>
      <c r="F383" s="1103"/>
      <c r="G383" s="1103"/>
      <c r="H383" s="1103"/>
      <c r="I383" s="1103"/>
      <c r="J383" s="1103"/>
      <c r="K383" s="1103"/>
      <c r="L383" s="1104"/>
      <c r="M383" s="581" t="s">
        <v>248</v>
      </c>
      <c r="N383" s="581"/>
      <c r="O383" s="581"/>
      <c r="S383" s="61"/>
      <c r="T383" s="61"/>
    </row>
    <row r="384" spans="1:34" s="20" customFormat="1" ht="21.75" customHeight="1" x14ac:dyDescent="0.25">
      <c r="A384" s="1594" t="s">
        <v>73</v>
      </c>
      <c r="B384" s="1595"/>
      <c r="C384" s="1595"/>
      <c r="D384" s="1595"/>
      <c r="E384" s="1595"/>
      <c r="F384" s="1595"/>
      <c r="G384" s="1595"/>
      <c r="H384" s="1595"/>
      <c r="I384" s="1595"/>
      <c r="J384" s="1595"/>
      <c r="K384" s="1595"/>
      <c r="L384" s="1595"/>
      <c r="M384" s="1595"/>
      <c r="N384" s="1595"/>
      <c r="O384" s="1599"/>
      <c r="P384" s="9"/>
      <c r="Q384" s="19"/>
      <c r="R384" s="19"/>
      <c r="S384" s="41"/>
      <c r="T384" s="41"/>
      <c r="U384" s="10"/>
      <c r="V384" s="10"/>
      <c r="W384" s="10"/>
      <c r="X384" s="10"/>
      <c r="Y384" s="10"/>
      <c r="Z384" s="10"/>
      <c r="AA384" s="10"/>
      <c r="AB384" s="16"/>
      <c r="AC384" s="16"/>
      <c r="AD384" s="16"/>
      <c r="AE384" s="16"/>
      <c r="AF384" s="16"/>
      <c r="AG384" s="16"/>
      <c r="AH384" s="16"/>
    </row>
    <row r="385" spans="1:27" ht="37.799999999999997" customHeight="1" x14ac:dyDescent="0.25">
      <c r="A385" s="683" t="s">
        <v>272</v>
      </c>
      <c r="B385" s="683"/>
      <c r="C385" s="684" t="s">
        <v>365</v>
      </c>
      <c r="D385" s="685"/>
      <c r="E385" s="685"/>
      <c r="F385" s="685"/>
      <c r="G385" s="685"/>
      <c r="H385" s="685"/>
      <c r="I385" s="685"/>
      <c r="J385" s="685"/>
      <c r="K385" s="685"/>
      <c r="L385" s="685"/>
      <c r="M385" s="685"/>
      <c r="N385" s="685"/>
      <c r="O385" s="1596"/>
      <c r="S385" s="61"/>
      <c r="T385" s="61"/>
    </row>
    <row r="386" spans="1:27" ht="55.8" customHeight="1" x14ac:dyDescent="0.25">
      <c r="A386" s="1600" t="s">
        <v>229</v>
      </c>
      <c r="B386" s="688"/>
      <c r="C386" s="689" t="s">
        <v>93</v>
      </c>
      <c r="D386" s="690"/>
      <c r="E386" s="690"/>
      <c r="F386" s="690"/>
      <c r="G386" s="690"/>
      <c r="H386" s="690"/>
      <c r="I386" s="690"/>
      <c r="J386" s="690"/>
      <c r="K386" s="690"/>
      <c r="L386" s="690"/>
      <c r="M386" s="690"/>
      <c r="N386" s="690"/>
      <c r="O386" s="1601"/>
      <c r="S386" s="61"/>
      <c r="T386" s="61"/>
    </row>
    <row r="387" spans="1:27" ht="25.2" customHeight="1" x14ac:dyDescent="0.25">
      <c r="A387" s="1597" t="s">
        <v>273</v>
      </c>
      <c r="B387" s="1597"/>
      <c r="C387" s="684" t="s">
        <v>146</v>
      </c>
      <c r="D387" s="685"/>
      <c r="E387" s="685"/>
      <c r="F387" s="685"/>
      <c r="G387" s="685"/>
      <c r="H387" s="685"/>
      <c r="I387" s="685"/>
      <c r="J387" s="685"/>
      <c r="K387" s="685"/>
      <c r="L387" s="685"/>
      <c r="M387" s="685"/>
      <c r="N387" s="685"/>
      <c r="O387" s="1596"/>
      <c r="S387" s="61"/>
      <c r="T387" s="61"/>
    </row>
    <row r="388" spans="1:27" ht="18.600000000000001" customHeight="1" x14ac:dyDescent="0.25">
      <c r="A388" s="1609" t="s">
        <v>17</v>
      </c>
      <c r="B388" s="1610"/>
      <c r="C388" s="1611"/>
      <c r="D388" s="1612" t="s">
        <v>18</v>
      </c>
      <c r="E388" s="1613"/>
      <c r="F388" s="1613"/>
      <c r="G388" s="1613"/>
      <c r="H388" s="1613"/>
      <c r="I388" s="1613"/>
      <c r="J388" s="1613"/>
      <c r="K388" s="1613"/>
      <c r="L388" s="1613"/>
      <c r="M388" s="1613"/>
      <c r="N388" s="1613"/>
      <c r="O388" s="1614"/>
      <c r="S388" s="61"/>
      <c r="T388" s="61"/>
    </row>
    <row r="389" spans="1:27" ht="16.5" customHeight="1" x14ac:dyDescent="0.25">
      <c r="A389" s="1615" t="s">
        <v>19</v>
      </c>
      <c r="B389" s="1616"/>
      <c r="C389" s="1616"/>
      <c r="D389" s="1617" t="s">
        <v>20</v>
      </c>
      <c r="E389" s="1618"/>
      <c r="F389" s="1618"/>
      <c r="G389" s="1618"/>
      <c r="H389" s="1618"/>
      <c r="I389" s="1619" t="s">
        <v>21</v>
      </c>
      <c r="J389" s="1620"/>
      <c r="K389" s="1620"/>
      <c r="L389" s="1620"/>
      <c r="M389" s="1620"/>
      <c r="N389" s="1620"/>
      <c r="O389" s="1621"/>
      <c r="S389" s="61"/>
      <c r="T389" s="61"/>
    </row>
    <row r="390" spans="1:27" ht="37.200000000000003" customHeight="1" x14ac:dyDescent="0.25">
      <c r="A390" s="1627"/>
      <c r="B390" s="1628"/>
      <c r="C390" s="1628"/>
      <c r="D390" s="1629" t="s">
        <v>22</v>
      </c>
      <c r="E390" s="1629"/>
      <c r="F390" s="1629"/>
      <c r="G390" s="1629"/>
      <c r="H390" s="1629"/>
      <c r="I390" s="1629"/>
      <c r="J390" s="1629"/>
      <c r="K390" s="1629"/>
      <c r="L390" s="1629"/>
      <c r="M390" s="1629"/>
      <c r="N390" s="1629"/>
      <c r="O390" s="1630"/>
      <c r="S390" s="61"/>
      <c r="T390" s="61"/>
    </row>
    <row r="391" spans="1:27" ht="15.6" customHeight="1" x14ac:dyDescent="0.25">
      <c r="A391" s="225"/>
      <c r="B391" s="112"/>
      <c r="C391" s="113"/>
      <c r="D391" s="11"/>
      <c r="E391" s="1622" t="s">
        <v>23</v>
      </c>
      <c r="F391" s="1623"/>
      <c r="G391" s="1623"/>
      <c r="H391" s="1623"/>
      <c r="I391" s="1624"/>
      <c r="J391" s="1625" t="s">
        <v>24</v>
      </c>
      <c r="K391" s="1625"/>
      <c r="L391" s="1625"/>
      <c r="M391" s="1625"/>
      <c r="N391" s="1625"/>
      <c r="O391" s="1626"/>
      <c r="P391" s="10"/>
      <c r="Q391" s="61"/>
      <c r="R391" s="61"/>
      <c r="S391" s="61"/>
      <c r="T391" s="61"/>
      <c r="W391" s="16"/>
      <c r="X391" s="16"/>
      <c r="Y391" s="16"/>
      <c r="Z391" s="16"/>
      <c r="AA391" s="16"/>
    </row>
    <row r="392" spans="1:27" ht="22.5" customHeight="1" x14ac:dyDescent="0.25">
      <c r="A392" s="226"/>
      <c r="B392" s="112"/>
      <c r="C392" s="113"/>
      <c r="D392" s="11"/>
      <c r="E392" s="1603" t="s">
        <v>769</v>
      </c>
      <c r="F392" s="1604"/>
      <c r="G392" s="1605"/>
      <c r="H392" s="135" t="s">
        <v>196</v>
      </c>
      <c r="I392" s="135" t="s">
        <v>195</v>
      </c>
      <c r="J392" s="633" t="s">
        <v>770</v>
      </c>
      <c r="K392" s="634"/>
      <c r="L392" s="634"/>
      <c r="M392" s="635"/>
      <c r="N392" s="135" t="s">
        <v>196</v>
      </c>
      <c r="O392" s="135" t="s">
        <v>195</v>
      </c>
      <c r="P392" s="10"/>
      <c r="Q392" s="61"/>
      <c r="R392" s="61"/>
      <c r="S392" s="61"/>
      <c r="T392" s="61"/>
      <c r="W392" s="16"/>
      <c r="X392" s="16"/>
      <c r="Y392" s="16"/>
      <c r="Z392" s="16"/>
      <c r="AA392" s="16"/>
    </row>
    <row r="393" spans="1:27" x14ac:dyDescent="0.25">
      <c r="A393" s="226"/>
      <c r="B393" s="112"/>
      <c r="C393" s="610" t="s">
        <v>34</v>
      </c>
      <c r="D393" s="611"/>
      <c r="E393" s="612">
        <v>0.1939579562856745</v>
      </c>
      <c r="F393" s="613"/>
      <c r="G393" s="614"/>
      <c r="H393" s="1606">
        <v>5.8033183958424217E-2</v>
      </c>
      <c r="I393" s="1606">
        <v>0.32988272861292478</v>
      </c>
      <c r="J393" s="594">
        <v>4.03</v>
      </c>
      <c r="K393" s="595"/>
      <c r="L393" s="595"/>
      <c r="M393" s="596"/>
      <c r="N393" s="1606">
        <v>1.7899999999999999E-2</v>
      </c>
      <c r="O393" s="1606">
        <v>6.2700000000000006E-2</v>
      </c>
      <c r="P393" s="10"/>
      <c r="Q393" s="61"/>
      <c r="R393" s="61"/>
      <c r="S393" s="61"/>
      <c r="T393" s="61"/>
      <c r="W393" s="16"/>
      <c r="X393" s="16"/>
      <c r="Y393" s="16"/>
      <c r="Z393" s="16"/>
      <c r="AA393" s="16"/>
    </row>
    <row r="394" spans="1:27" x14ac:dyDescent="0.25">
      <c r="A394" s="226"/>
      <c r="B394" s="112"/>
      <c r="C394" s="610" t="s">
        <v>100</v>
      </c>
      <c r="D394" s="611"/>
      <c r="E394" s="612">
        <v>0.22800000000000001</v>
      </c>
      <c r="F394" s="613"/>
      <c r="G394" s="614"/>
      <c r="H394" s="1606">
        <v>0.09</v>
      </c>
      <c r="I394" s="1606">
        <v>0.36599999999999999</v>
      </c>
      <c r="J394" s="594">
        <v>2.86</v>
      </c>
      <c r="K394" s="595"/>
      <c r="L394" s="595"/>
      <c r="M394" s="596"/>
      <c r="N394" s="1606">
        <v>1.15E-2</v>
      </c>
      <c r="O394" s="1606">
        <v>4.5699999999999998E-2</v>
      </c>
      <c r="P394" s="10"/>
      <c r="Q394" s="61"/>
      <c r="R394" s="61"/>
      <c r="S394" s="61"/>
      <c r="T394" s="61"/>
      <c r="W394" s="16"/>
      <c r="X394" s="16"/>
      <c r="Y394" s="16"/>
      <c r="Z394" s="16"/>
      <c r="AA394" s="16"/>
    </row>
    <row r="395" spans="1:27" x14ac:dyDescent="0.25">
      <c r="A395" s="1077" t="s">
        <v>366</v>
      </c>
      <c r="B395" s="1463"/>
      <c r="C395" s="610" t="s">
        <v>35</v>
      </c>
      <c r="D395" s="611"/>
      <c r="E395" s="612">
        <v>8.4000000000000005E-2</v>
      </c>
      <c r="F395" s="613"/>
      <c r="G395" s="614"/>
      <c r="H395" s="1606">
        <v>1.2E-2</v>
      </c>
      <c r="I395" s="1606">
        <v>0.156</v>
      </c>
      <c r="J395" s="594">
        <v>3.23</v>
      </c>
      <c r="K395" s="595"/>
      <c r="L395" s="595"/>
      <c r="M395" s="596"/>
      <c r="N395" s="1606">
        <v>1.7100000000000001E-2</v>
      </c>
      <c r="O395" s="1606">
        <v>4.7399999999999998E-2</v>
      </c>
      <c r="P395" s="10"/>
      <c r="Q395" s="61"/>
      <c r="R395" s="61"/>
      <c r="S395" s="61"/>
      <c r="T395" s="61"/>
      <c r="W395" s="16"/>
      <c r="X395" s="16"/>
      <c r="Y395" s="16"/>
      <c r="Z395" s="16"/>
      <c r="AA395" s="16"/>
    </row>
    <row r="396" spans="1:27" ht="15" customHeight="1" x14ac:dyDescent="0.25">
      <c r="A396" s="1077"/>
      <c r="B396" s="1463"/>
      <c r="C396" s="603" t="s">
        <v>33</v>
      </c>
      <c r="D396" s="604"/>
      <c r="E396" s="612">
        <v>0.17699999999999999</v>
      </c>
      <c r="F396" s="613"/>
      <c r="G396" s="614"/>
      <c r="H396" s="1606">
        <v>7.5999999999999998E-2</v>
      </c>
      <c r="I396" s="1606">
        <v>0.27900000000000003</v>
      </c>
      <c r="J396" s="594">
        <v>2.36</v>
      </c>
      <c r="K396" s="595"/>
      <c r="L396" s="595"/>
      <c r="M396" s="596"/>
      <c r="N396" s="1606">
        <v>1.21E-2</v>
      </c>
      <c r="O396" s="1606">
        <v>3.5000000000000003E-2</v>
      </c>
      <c r="P396" s="10"/>
      <c r="Q396" s="61"/>
      <c r="R396" s="61"/>
      <c r="S396" s="61"/>
      <c r="T396" s="61"/>
      <c r="W396" s="16"/>
      <c r="X396" s="16"/>
      <c r="Y396" s="16"/>
      <c r="Z396" s="16"/>
      <c r="AA396" s="16"/>
    </row>
    <row r="397" spans="1:27" x14ac:dyDescent="0.25">
      <c r="A397" s="1077"/>
      <c r="B397" s="1463"/>
      <c r="C397" s="603" t="s">
        <v>101</v>
      </c>
      <c r="D397" s="604"/>
      <c r="E397" s="612">
        <v>8.1000000000000003E-2</v>
      </c>
      <c r="F397" s="613"/>
      <c r="G397" s="614"/>
      <c r="H397" s="1606">
        <v>1.2999999999999999E-2</v>
      </c>
      <c r="I397" s="1606">
        <v>0.14799999999999999</v>
      </c>
      <c r="J397" s="594">
        <v>1.9</v>
      </c>
      <c r="K397" s="595"/>
      <c r="L397" s="595"/>
      <c r="M397" s="596"/>
      <c r="N397" s="1606">
        <v>9.7000000000000003E-3</v>
      </c>
      <c r="O397" s="1606">
        <v>2.8400000000000002E-2</v>
      </c>
      <c r="P397" s="10"/>
      <c r="Q397" s="61"/>
      <c r="R397" s="61"/>
      <c r="S397" s="61"/>
      <c r="T397" s="61"/>
      <c r="W397" s="16"/>
      <c r="X397" s="16"/>
      <c r="Y397" s="16"/>
      <c r="Z397" s="16"/>
      <c r="AA397" s="16"/>
    </row>
    <row r="398" spans="1:27" x14ac:dyDescent="0.25">
      <c r="A398" s="1077"/>
      <c r="B398" s="1463"/>
      <c r="C398" s="605" t="s">
        <v>102</v>
      </c>
      <c r="D398" s="606"/>
      <c r="E398" s="612">
        <v>6.9000000000000006E-2</v>
      </c>
      <c r="F398" s="613"/>
      <c r="G398" s="614"/>
      <c r="H398" s="1607">
        <v>0</v>
      </c>
      <c r="I398" s="1607">
        <v>0.14399999999999999</v>
      </c>
      <c r="J398" s="594">
        <v>2</v>
      </c>
      <c r="K398" s="595"/>
      <c r="L398" s="595"/>
      <c r="M398" s="596"/>
      <c r="N398" s="1607">
        <v>4.0000000000000002E-4</v>
      </c>
      <c r="O398" s="1607">
        <v>3.9600000000000003E-2</v>
      </c>
      <c r="P398" s="10"/>
      <c r="Q398" s="61"/>
      <c r="R398" s="61"/>
      <c r="S398" s="61"/>
      <c r="T398" s="61"/>
      <c r="W398" s="16"/>
      <c r="X398" s="16"/>
      <c r="Y398" s="16"/>
      <c r="Z398" s="16"/>
      <c r="AA398" s="16"/>
    </row>
    <row r="399" spans="1:27" x14ac:dyDescent="0.25">
      <c r="A399" s="1077"/>
      <c r="B399" s="1463"/>
      <c r="C399" s="605" t="s">
        <v>37</v>
      </c>
      <c r="D399" s="606"/>
      <c r="E399" s="114"/>
      <c r="F399" s="115"/>
      <c r="G399" s="115"/>
      <c r="H399" s="115"/>
      <c r="I399" s="115"/>
      <c r="J399" s="115"/>
      <c r="K399" s="115"/>
      <c r="L399" s="115"/>
      <c r="M399" s="115"/>
      <c r="N399" s="115"/>
      <c r="O399" s="227"/>
      <c r="P399" s="10"/>
      <c r="Q399" s="61"/>
      <c r="R399" s="61"/>
      <c r="S399" s="61"/>
      <c r="T399" s="61"/>
      <c r="W399" s="16"/>
      <c r="X399" s="16"/>
      <c r="Y399" s="16"/>
      <c r="Z399" s="16"/>
      <c r="AA399" s="16"/>
    </row>
    <row r="400" spans="1:27" x14ac:dyDescent="0.25">
      <c r="A400" s="1079"/>
      <c r="B400" s="1464"/>
      <c r="C400" s="631" t="s">
        <v>105</v>
      </c>
      <c r="D400" s="632"/>
      <c r="E400" s="710">
        <v>0.27900000000000003</v>
      </c>
      <c r="F400" s="711"/>
      <c r="G400" s="712"/>
      <c r="H400" s="116">
        <v>0.27700000000000002</v>
      </c>
      <c r="I400" s="116">
        <v>0.28100000000000003</v>
      </c>
      <c r="J400" s="597">
        <v>3.38</v>
      </c>
      <c r="K400" s="598"/>
      <c r="L400" s="598"/>
      <c r="M400" s="599"/>
      <c r="N400" s="116">
        <v>3.3599999999999998E-2</v>
      </c>
      <c r="O400" s="116">
        <v>3.4099999999999998E-2</v>
      </c>
      <c r="P400" s="10"/>
      <c r="Q400" s="61"/>
      <c r="R400" s="61"/>
      <c r="S400" s="61"/>
      <c r="T400" s="61"/>
      <c r="W400" s="16"/>
      <c r="X400" s="16"/>
      <c r="Y400" s="16"/>
      <c r="Z400" s="16"/>
      <c r="AA400" s="16"/>
    </row>
    <row r="401" spans="1:34" s="168" customFormat="1" ht="42" customHeight="1" x14ac:dyDescent="0.25">
      <c r="A401" s="1586" t="s">
        <v>869</v>
      </c>
      <c r="B401" s="1587"/>
      <c r="C401" s="1587"/>
      <c r="D401" s="1587"/>
      <c r="E401" s="1587"/>
      <c r="F401" s="1587"/>
      <c r="G401" s="1587"/>
      <c r="H401" s="1587"/>
      <c r="I401" s="1587"/>
      <c r="J401" s="1587"/>
      <c r="K401" s="1587"/>
      <c r="L401" s="1587"/>
      <c r="M401" s="1587"/>
      <c r="N401" s="1587"/>
      <c r="O401" s="1588"/>
      <c r="P401" s="10"/>
      <c r="Q401" s="228"/>
      <c r="R401" s="228"/>
      <c r="S401" s="228"/>
      <c r="T401" s="228"/>
      <c r="U401" s="10"/>
      <c r="V401" s="10"/>
      <c r="W401" s="16"/>
      <c r="X401" s="16"/>
      <c r="Y401" s="16"/>
      <c r="Z401" s="16"/>
      <c r="AA401" s="16"/>
      <c r="AB401" s="16"/>
      <c r="AC401" s="16"/>
      <c r="AD401" s="16"/>
      <c r="AE401" s="16"/>
      <c r="AF401" s="16"/>
      <c r="AG401" s="16"/>
      <c r="AH401" s="16"/>
    </row>
    <row r="402" spans="1:34" s="168" customFormat="1" ht="35.4" customHeight="1" x14ac:dyDescent="0.25">
      <c r="A402" s="1589"/>
      <c r="B402" s="1608"/>
      <c r="C402" s="1608"/>
      <c r="D402" s="1608"/>
      <c r="E402" s="1608"/>
      <c r="F402" s="1608"/>
      <c r="G402" s="1608"/>
      <c r="H402" s="1608"/>
      <c r="I402" s="1608"/>
      <c r="J402" s="1608"/>
      <c r="K402" s="1608"/>
      <c r="L402" s="1608"/>
      <c r="M402" s="1608"/>
      <c r="N402" s="1608"/>
      <c r="O402" s="1590"/>
      <c r="P402" s="10"/>
      <c r="Q402" s="228"/>
      <c r="R402" s="228"/>
      <c r="S402" s="228"/>
      <c r="T402" s="228"/>
      <c r="U402" s="10"/>
      <c r="V402" s="10"/>
      <c r="W402" s="16"/>
      <c r="X402" s="16"/>
      <c r="Y402" s="16"/>
      <c r="Z402" s="16"/>
      <c r="AA402" s="16"/>
      <c r="AB402" s="16"/>
      <c r="AC402" s="16"/>
      <c r="AD402" s="16"/>
      <c r="AE402" s="16"/>
      <c r="AF402" s="16"/>
      <c r="AG402" s="16"/>
      <c r="AH402" s="16"/>
    </row>
    <row r="403" spans="1:34" s="168" customFormat="1" ht="29.4" customHeight="1" x14ac:dyDescent="0.25">
      <c r="A403" s="1591"/>
      <c r="B403" s="1592"/>
      <c r="C403" s="1592"/>
      <c r="D403" s="1592"/>
      <c r="E403" s="1592"/>
      <c r="F403" s="1592"/>
      <c r="G403" s="1592"/>
      <c r="H403" s="1592"/>
      <c r="I403" s="1592"/>
      <c r="J403" s="1592"/>
      <c r="K403" s="1592"/>
      <c r="L403" s="1592"/>
      <c r="M403" s="1592"/>
      <c r="N403" s="1592"/>
      <c r="O403" s="1593"/>
      <c r="P403" s="10"/>
      <c r="Q403" s="228"/>
      <c r="R403" s="228"/>
      <c r="S403" s="228"/>
      <c r="T403" s="228"/>
      <c r="U403" s="10"/>
      <c r="V403" s="10"/>
      <c r="W403" s="16"/>
      <c r="X403" s="16"/>
      <c r="Y403" s="16"/>
      <c r="Z403" s="16"/>
      <c r="AA403" s="16"/>
      <c r="AB403" s="16"/>
      <c r="AC403" s="16"/>
      <c r="AD403" s="16"/>
      <c r="AE403" s="16"/>
      <c r="AF403" s="16"/>
      <c r="AG403" s="16"/>
      <c r="AH403" s="16"/>
    </row>
    <row r="404" spans="1:34" s="20" customFormat="1" ht="22.2" customHeight="1" x14ac:dyDescent="0.25">
      <c r="A404" s="560" t="s">
        <v>217</v>
      </c>
      <c r="B404" s="561"/>
      <c r="C404" s="561"/>
      <c r="D404" s="561"/>
      <c r="E404" s="561"/>
      <c r="F404" s="561"/>
      <c r="G404" s="561"/>
      <c r="H404" s="561"/>
      <c r="I404" s="561"/>
      <c r="J404" s="561"/>
      <c r="K404" s="561"/>
      <c r="L404" s="561"/>
      <c r="M404" s="561"/>
      <c r="N404" s="561"/>
      <c r="O404" s="1379"/>
      <c r="P404" s="9"/>
      <c r="Q404" s="19"/>
      <c r="R404" s="19"/>
      <c r="S404" s="41"/>
      <c r="T404" s="41"/>
      <c r="U404" s="10"/>
      <c r="V404" s="10"/>
      <c r="W404" s="10"/>
      <c r="X404" s="10"/>
      <c r="Y404" s="10"/>
      <c r="Z404" s="10"/>
      <c r="AA404" s="10"/>
      <c r="AB404" s="16"/>
      <c r="AC404" s="16"/>
      <c r="AD404" s="16"/>
      <c r="AE404" s="16"/>
      <c r="AF404" s="16"/>
      <c r="AG404" s="16"/>
      <c r="AH404" s="16"/>
    </row>
    <row r="405" spans="1:34" ht="46.2" customHeight="1" x14ac:dyDescent="0.25">
      <c r="A405" s="1380" t="s">
        <v>147</v>
      </c>
      <c r="B405" s="1381"/>
      <c r="C405" s="537" t="s">
        <v>279</v>
      </c>
      <c r="D405" s="538"/>
      <c r="E405" s="538"/>
      <c r="F405" s="538"/>
      <c r="G405" s="538"/>
      <c r="H405" s="538"/>
      <c r="I405" s="538"/>
      <c r="J405" s="538"/>
      <c r="K405" s="538"/>
      <c r="L405" s="538"/>
      <c r="M405" s="538"/>
      <c r="N405" s="538"/>
      <c r="O405" s="583"/>
      <c r="P405" s="40"/>
      <c r="S405" s="61"/>
      <c r="T405" s="61"/>
    </row>
    <row r="406" spans="1:34" ht="42.6" customHeight="1" x14ac:dyDescent="0.25">
      <c r="A406" s="1465" t="s">
        <v>229</v>
      </c>
      <c r="B406" s="1466"/>
      <c r="C406" s="531" t="s">
        <v>281</v>
      </c>
      <c r="D406" s="532"/>
      <c r="E406" s="532"/>
      <c r="F406" s="532"/>
      <c r="G406" s="532"/>
      <c r="H406" s="532"/>
      <c r="I406" s="532"/>
      <c r="J406" s="532"/>
      <c r="K406" s="532"/>
      <c r="L406" s="532"/>
      <c r="M406" s="532"/>
      <c r="N406" s="532"/>
      <c r="O406" s="533"/>
      <c r="P406" s="40"/>
      <c r="S406" s="61"/>
      <c r="T406" s="61"/>
    </row>
    <row r="407" spans="1:34" ht="21.75" customHeight="1" x14ac:dyDescent="0.25">
      <c r="A407" s="1400" t="s">
        <v>70</v>
      </c>
      <c r="B407" s="1401"/>
      <c r="C407" s="628" t="s">
        <v>307</v>
      </c>
      <c r="D407" s="629"/>
      <c r="E407" s="629"/>
      <c r="F407" s="629"/>
      <c r="G407" s="629"/>
      <c r="H407" s="629"/>
      <c r="I407" s="629"/>
      <c r="J407" s="629"/>
      <c r="K407" s="629"/>
      <c r="L407" s="630"/>
      <c r="M407" s="600" t="s">
        <v>72</v>
      </c>
      <c r="N407" s="601"/>
      <c r="O407" s="602"/>
      <c r="P407" s="40"/>
      <c r="S407" s="61"/>
      <c r="T407" s="61"/>
    </row>
    <row r="408" spans="1:34" ht="58.2" customHeight="1" x14ac:dyDescent="0.25">
      <c r="A408" s="1402"/>
      <c r="B408" s="1403"/>
      <c r="C408" s="923" t="s">
        <v>308</v>
      </c>
      <c r="D408" s="924"/>
      <c r="E408" s="924"/>
      <c r="F408" s="924"/>
      <c r="G408" s="924"/>
      <c r="H408" s="924"/>
      <c r="I408" s="924"/>
      <c r="J408" s="924"/>
      <c r="K408" s="924"/>
      <c r="L408" s="925"/>
      <c r="M408" s="932" t="s">
        <v>69</v>
      </c>
      <c r="N408" s="933"/>
      <c r="O408" s="934"/>
      <c r="P408" s="40"/>
      <c r="S408" s="61"/>
      <c r="T408" s="61"/>
    </row>
    <row r="409" spans="1:34" ht="27.6" customHeight="1" x14ac:dyDescent="0.25">
      <c r="A409" s="1402"/>
      <c r="B409" s="1403"/>
      <c r="C409" s="923" t="s">
        <v>275</v>
      </c>
      <c r="D409" s="924"/>
      <c r="E409" s="924"/>
      <c r="F409" s="924"/>
      <c r="G409" s="924"/>
      <c r="H409" s="924"/>
      <c r="I409" s="924"/>
      <c r="J409" s="924"/>
      <c r="K409" s="924"/>
      <c r="L409" s="925"/>
      <c r="M409" s="935" t="s">
        <v>72</v>
      </c>
      <c r="N409" s="502"/>
      <c r="O409" s="936"/>
      <c r="P409" s="40"/>
      <c r="S409" s="61"/>
      <c r="T409" s="61"/>
    </row>
    <row r="410" spans="1:34" ht="18" customHeight="1" x14ac:dyDescent="0.25">
      <c r="A410" s="1404"/>
      <c r="B410" s="1405"/>
      <c r="C410" s="920" t="s">
        <v>276</v>
      </c>
      <c r="D410" s="921"/>
      <c r="E410" s="921"/>
      <c r="F410" s="921"/>
      <c r="G410" s="921"/>
      <c r="H410" s="921"/>
      <c r="I410" s="921"/>
      <c r="J410" s="921"/>
      <c r="K410" s="921"/>
      <c r="L410" s="922"/>
      <c r="M410" s="585"/>
      <c r="N410" s="586"/>
      <c r="O410" s="587"/>
      <c r="P410" s="40"/>
      <c r="S410" s="61"/>
      <c r="T410" s="61"/>
    </row>
    <row r="411" spans="1:34" ht="70.2" customHeight="1" x14ac:dyDescent="0.25">
      <c r="A411" s="1398" t="s">
        <v>280</v>
      </c>
      <c r="B411" s="1399"/>
      <c r="C411" s="1393" t="s">
        <v>282</v>
      </c>
      <c r="D411" s="1394"/>
      <c r="E411" s="1394"/>
      <c r="F411" s="1394"/>
      <c r="G411" s="1394"/>
      <c r="H411" s="1394"/>
      <c r="I411" s="1394"/>
      <c r="J411" s="1394"/>
      <c r="K411" s="1394"/>
      <c r="L411" s="1394"/>
      <c r="M411" s="1394"/>
      <c r="N411" s="1394"/>
      <c r="O411" s="1395"/>
      <c r="P411" s="40"/>
      <c r="S411" s="61"/>
      <c r="T411" s="61"/>
    </row>
    <row r="412" spans="1:34" s="20" customFormat="1" ht="21.6" customHeight="1" x14ac:dyDescent="0.25">
      <c r="A412" s="562" t="s">
        <v>318</v>
      </c>
      <c r="B412" s="563"/>
      <c r="C412" s="563"/>
      <c r="D412" s="563"/>
      <c r="E412" s="563"/>
      <c r="F412" s="563"/>
      <c r="G412" s="563"/>
      <c r="H412" s="563"/>
      <c r="I412" s="563"/>
      <c r="J412" s="563"/>
      <c r="K412" s="563"/>
      <c r="L412" s="563"/>
      <c r="M412" s="563"/>
      <c r="N412" s="563"/>
      <c r="O412" s="76" t="s">
        <v>600</v>
      </c>
      <c r="P412" s="9"/>
      <c r="Q412" s="19"/>
      <c r="R412" s="19"/>
      <c r="S412" s="41"/>
      <c r="T412" s="41"/>
      <c r="U412" s="10"/>
      <c r="V412" s="10"/>
      <c r="W412" s="10"/>
      <c r="X412" s="10"/>
      <c r="Y412" s="10"/>
      <c r="Z412" s="10"/>
      <c r="AA412" s="10"/>
      <c r="AB412" s="16"/>
      <c r="AC412" s="16"/>
      <c r="AD412" s="16"/>
      <c r="AE412" s="16"/>
      <c r="AF412" s="16"/>
      <c r="AG412" s="16"/>
      <c r="AH412" s="16"/>
    </row>
    <row r="413" spans="1:34" ht="72" customHeight="1" x14ac:dyDescent="0.25">
      <c r="A413" s="1406" t="s">
        <v>319</v>
      </c>
      <c r="B413" s="1407"/>
      <c r="C413" s="945" t="s">
        <v>320</v>
      </c>
      <c r="D413" s="538"/>
      <c r="E413" s="538"/>
      <c r="F413" s="538"/>
      <c r="G413" s="538"/>
      <c r="H413" s="538"/>
      <c r="I413" s="538"/>
      <c r="J413" s="538"/>
      <c r="K413" s="538"/>
      <c r="L413" s="538"/>
      <c r="M413" s="538"/>
      <c r="N413" s="538"/>
      <c r="O413" s="583"/>
      <c r="S413" s="61"/>
      <c r="T413" s="61"/>
    </row>
    <row r="414" spans="1:34" ht="43.5" customHeight="1" x14ac:dyDescent="0.25">
      <c r="A414" s="946" t="s">
        <v>229</v>
      </c>
      <c r="B414" s="947"/>
      <c r="C414" s="948" t="s">
        <v>321</v>
      </c>
      <c r="D414" s="949"/>
      <c r="E414" s="949"/>
      <c r="F414" s="949"/>
      <c r="G414" s="949"/>
      <c r="H414" s="949"/>
      <c r="I414" s="949"/>
      <c r="J414" s="949"/>
      <c r="K414" s="949"/>
      <c r="L414" s="949"/>
      <c r="M414" s="949"/>
      <c r="N414" s="949"/>
      <c r="O414" s="950"/>
      <c r="S414" s="61"/>
      <c r="T414" s="61"/>
    </row>
    <row r="415" spans="1:34" ht="18" customHeight="1" x14ac:dyDescent="0.25">
      <c r="A415" s="1467" t="s">
        <v>273</v>
      </c>
      <c r="B415" s="1468"/>
      <c r="C415" s="1472" t="s">
        <v>322</v>
      </c>
      <c r="D415" s="1473"/>
      <c r="E415" s="1473"/>
      <c r="F415" s="1473"/>
      <c r="G415" s="1473"/>
      <c r="H415" s="1473"/>
      <c r="I415" s="1473"/>
      <c r="J415" s="1473"/>
      <c r="K415" s="1473"/>
      <c r="L415" s="1473"/>
      <c r="M415" s="1473"/>
      <c r="N415" s="1473"/>
      <c r="O415" s="1474"/>
      <c r="S415" s="61"/>
      <c r="T415" s="61"/>
    </row>
    <row r="416" spans="1:34" ht="18" customHeight="1" x14ac:dyDescent="0.25">
      <c r="A416" s="1469"/>
      <c r="B416" s="1129"/>
      <c r="C416" s="643" t="s">
        <v>323</v>
      </c>
      <c r="D416" s="644"/>
      <c r="E416" s="644"/>
      <c r="F416" s="644"/>
      <c r="G416" s="644"/>
      <c r="H416" s="644"/>
      <c r="I416" s="644"/>
      <c r="J416" s="644"/>
      <c r="K416" s="644"/>
      <c r="L416" s="644"/>
      <c r="M416" s="644"/>
      <c r="N416" s="644"/>
      <c r="O416" s="645"/>
      <c r="S416" s="61"/>
      <c r="T416" s="61"/>
    </row>
    <row r="417" spans="1:34" ht="15.75" customHeight="1" x14ac:dyDescent="0.25">
      <c r="A417" s="1469"/>
      <c r="B417" s="1129"/>
      <c r="C417" s="591" t="s">
        <v>324</v>
      </c>
      <c r="D417" s="592"/>
      <c r="E417" s="592"/>
      <c r="F417" s="592"/>
      <c r="G417" s="592"/>
      <c r="H417" s="592"/>
      <c r="I417" s="592"/>
      <c r="J417" s="592"/>
      <c r="K417" s="592"/>
      <c r="L417" s="592"/>
      <c r="M417" s="592"/>
      <c r="N417" s="592"/>
      <c r="O417" s="593"/>
      <c r="S417" s="61"/>
      <c r="T417" s="61"/>
    </row>
    <row r="418" spans="1:34" ht="21.6" customHeight="1" x14ac:dyDescent="0.25">
      <c r="A418" s="1469"/>
      <c r="B418" s="1129"/>
      <c r="C418" s="643" t="s">
        <v>325</v>
      </c>
      <c r="D418" s="644"/>
      <c r="E418" s="644"/>
      <c r="F418" s="644"/>
      <c r="G418" s="644"/>
      <c r="H418" s="644"/>
      <c r="I418" s="644"/>
      <c r="J418" s="644"/>
      <c r="K418" s="644"/>
      <c r="L418" s="644"/>
      <c r="M418" s="644"/>
      <c r="N418" s="644"/>
      <c r="O418" s="645"/>
      <c r="S418" s="61"/>
      <c r="T418" s="61"/>
    </row>
    <row r="419" spans="1:34" ht="15.9" customHeight="1" x14ac:dyDescent="0.25">
      <c r="A419" s="1470"/>
      <c r="B419" s="1471"/>
      <c r="C419" s="646" t="s">
        <v>740</v>
      </c>
      <c r="D419" s="647"/>
      <c r="E419" s="647"/>
      <c r="F419" s="647"/>
      <c r="G419" s="647"/>
      <c r="H419" s="647"/>
      <c r="I419" s="647"/>
      <c r="J419" s="647"/>
      <c r="K419" s="647"/>
      <c r="L419" s="647"/>
      <c r="M419" s="647"/>
      <c r="N419" s="647"/>
      <c r="O419" s="648"/>
      <c r="S419" s="61"/>
      <c r="T419" s="61"/>
    </row>
    <row r="420" spans="1:34" s="20" customFormat="1" ht="19.8" customHeight="1" x14ac:dyDescent="0.25">
      <c r="A420" s="523" t="s">
        <v>326</v>
      </c>
      <c r="B420" s="524"/>
      <c r="C420" s="524"/>
      <c r="D420" s="524"/>
      <c r="E420" s="524"/>
      <c r="F420" s="524"/>
      <c r="G420" s="524"/>
      <c r="H420" s="524"/>
      <c r="I420" s="524"/>
      <c r="J420" s="524"/>
      <c r="K420" s="524"/>
      <c r="L420" s="524"/>
      <c r="M420" s="524"/>
      <c r="N420" s="524"/>
      <c r="O420" s="557"/>
      <c r="P420" s="9"/>
      <c r="Q420" s="19"/>
      <c r="R420" s="19"/>
      <c r="S420" s="41"/>
      <c r="T420" s="41"/>
      <c r="U420" s="10"/>
      <c r="V420" s="10"/>
      <c r="W420" s="10"/>
      <c r="X420" s="10"/>
      <c r="Y420" s="10"/>
      <c r="Z420" s="10"/>
      <c r="AA420" s="10"/>
      <c r="AB420" s="16"/>
      <c r="AC420" s="16"/>
      <c r="AD420" s="16"/>
      <c r="AE420" s="16"/>
      <c r="AF420" s="16"/>
      <c r="AG420" s="16"/>
      <c r="AH420" s="16"/>
    </row>
    <row r="421" spans="1:34" s="160" customFormat="1" ht="55.2" customHeight="1" x14ac:dyDescent="0.25">
      <c r="A421" s="929" t="s">
        <v>327</v>
      </c>
      <c r="B421" s="930"/>
      <c r="C421" s="930"/>
      <c r="D421" s="930"/>
      <c r="E421" s="930"/>
      <c r="F421" s="930"/>
      <c r="G421" s="930"/>
      <c r="H421" s="930"/>
      <c r="I421" s="930"/>
      <c r="J421" s="930"/>
      <c r="K421" s="930"/>
      <c r="L421" s="930"/>
      <c r="M421" s="930"/>
      <c r="N421" s="930"/>
      <c r="O421" s="931"/>
      <c r="P421" s="9"/>
      <c r="Q421" s="17"/>
      <c r="R421" s="17"/>
      <c r="S421" s="162"/>
      <c r="T421" s="162"/>
      <c r="U421" s="10"/>
      <c r="V421" s="10"/>
      <c r="W421" s="10"/>
      <c r="X421" s="10"/>
      <c r="Y421" s="10"/>
      <c r="Z421" s="10"/>
      <c r="AA421" s="10"/>
      <c r="AB421" s="16"/>
      <c r="AC421" s="16"/>
      <c r="AD421" s="16"/>
      <c r="AE421" s="16"/>
      <c r="AF421" s="16"/>
      <c r="AG421" s="16"/>
      <c r="AH421" s="16"/>
    </row>
    <row r="422" spans="1:34" s="160" customFormat="1" ht="31.2" customHeight="1" x14ac:dyDescent="0.25">
      <c r="A422" s="926" t="s">
        <v>328</v>
      </c>
      <c r="B422" s="927"/>
      <c r="C422" s="927"/>
      <c r="D422" s="927"/>
      <c r="E422" s="927"/>
      <c r="F422" s="927"/>
      <c r="G422" s="927"/>
      <c r="H422" s="927"/>
      <c r="I422" s="927"/>
      <c r="J422" s="927"/>
      <c r="K422" s="927"/>
      <c r="L422" s="927"/>
      <c r="M422" s="927"/>
      <c r="N422" s="927"/>
      <c r="O422" s="928"/>
      <c r="P422" s="9"/>
      <c r="Q422" s="17"/>
      <c r="R422" s="17"/>
      <c r="S422" s="162"/>
      <c r="T422" s="162"/>
      <c r="U422" s="10"/>
      <c r="V422" s="10"/>
      <c r="W422" s="10"/>
      <c r="X422" s="10"/>
      <c r="Y422" s="10"/>
      <c r="Z422" s="10"/>
      <c r="AA422" s="10"/>
      <c r="AB422" s="16"/>
      <c r="AC422" s="16"/>
      <c r="AD422" s="16"/>
      <c r="AE422" s="16"/>
      <c r="AF422" s="16"/>
      <c r="AG422" s="16"/>
      <c r="AH422" s="16"/>
    </row>
    <row r="423" spans="1:34" s="160" customFormat="1" ht="31.2" customHeight="1" x14ac:dyDescent="0.25">
      <c r="A423" s="926" t="s">
        <v>329</v>
      </c>
      <c r="B423" s="927"/>
      <c r="C423" s="927"/>
      <c r="D423" s="927"/>
      <c r="E423" s="927"/>
      <c r="F423" s="927"/>
      <c r="G423" s="927"/>
      <c r="H423" s="927"/>
      <c r="I423" s="927"/>
      <c r="J423" s="927"/>
      <c r="K423" s="927"/>
      <c r="L423" s="927"/>
      <c r="M423" s="927"/>
      <c r="N423" s="927"/>
      <c r="O423" s="928"/>
      <c r="P423" s="9"/>
      <c r="Q423" s="17"/>
      <c r="R423" s="17"/>
      <c r="S423" s="162"/>
      <c r="T423" s="162"/>
      <c r="U423" s="10"/>
      <c r="V423" s="10"/>
      <c r="W423" s="10"/>
      <c r="X423" s="10"/>
      <c r="Y423" s="10"/>
      <c r="Z423" s="10"/>
      <c r="AA423" s="10"/>
      <c r="AB423" s="16"/>
      <c r="AC423" s="16"/>
      <c r="AD423" s="16"/>
      <c r="AE423" s="16"/>
      <c r="AF423" s="16"/>
      <c r="AG423" s="16"/>
      <c r="AH423" s="16"/>
    </row>
    <row r="424" spans="1:34" ht="36" customHeight="1" x14ac:dyDescent="0.25">
      <c r="A424" s="117"/>
      <c r="B424" s="118"/>
      <c r="C424" s="42"/>
      <c r="D424" s="42"/>
      <c r="E424" s="42"/>
      <c r="F424" s="42"/>
      <c r="G424" s="42"/>
      <c r="H424" s="42"/>
      <c r="I424" s="42"/>
      <c r="J424" s="42"/>
      <c r="K424" s="42"/>
      <c r="L424" s="42"/>
      <c r="M424" s="42"/>
      <c r="N424" s="42"/>
      <c r="O424" s="119"/>
      <c r="S424" s="61"/>
      <c r="T424" s="61"/>
    </row>
    <row r="425" spans="1:34" ht="15.9" customHeight="1" x14ac:dyDescent="0.25">
      <c r="A425" s="120"/>
      <c r="B425" s="42"/>
      <c r="C425" s="42"/>
      <c r="D425" s="42"/>
      <c r="E425" s="42"/>
      <c r="F425" s="42"/>
      <c r="G425" s="42"/>
      <c r="H425" s="42"/>
      <c r="I425" s="42"/>
      <c r="J425" s="42"/>
      <c r="K425" s="42"/>
      <c r="L425" s="42"/>
      <c r="M425" s="42"/>
      <c r="N425" s="42"/>
      <c r="O425" s="119"/>
      <c r="S425" s="61"/>
      <c r="T425" s="61"/>
    </row>
    <row r="426" spans="1:34" ht="390" customHeight="1" x14ac:dyDescent="0.25">
      <c r="A426" s="638"/>
      <c r="B426" s="639"/>
      <c r="C426" s="639"/>
      <c r="D426" s="639"/>
      <c r="E426" s="639"/>
      <c r="F426" s="639"/>
      <c r="G426" s="639"/>
      <c r="H426" s="639"/>
      <c r="I426" s="639"/>
      <c r="J426" s="639"/>
      <c r="K426" s="639"/>
      <c r="L426" s="639"/>
      <c r="M426" s="639"/>
      <c r="N426" s="639"/>
      <c r="O426" s="640"/>
      <c r="S426" s="61"/>
      <c r="T426" s="61"/>
    </row>
    <row r="427" spans="1:34" s="20" customFormat="1" ht="44.4" customHeight="1" x14ac:dyDescent="0.25">
      <c r="A427" s="895" t="s">
        <v>841</v>
      </c>
      <c r="B427" s="896"/>
      <c r="C427" s="896"/>
      <c r="D427" s="896"/>
      <c r="E427" s="896"/>
      <c r="F427" s="896"/>
      <c r="G427" s="896"/>
      <c r="H427" s="896"/>
      <c r="I427" s="896"/>
      <c r="J427" s="896"/>
      <c r="K427" s="896"/>
      <c r="L427" s="896"/>
      <c r="M427" s="896"/>
      <c r="N427" s="896"/>
      <c r="O427" s="224" t="s">
        <v>600</v>
      </c>
      <c r="P427" s="9"/>
      <c r="U427" s="16"/>
      <c r="V427" s="16"/>
      <c r="W427" s="16"/>
      <c r="X427" s="16"/>
      <c r="Y427" s="16"/>
      <c r="Z427" s="16"/>
      <c r="AA427" s="16"/>
      <c r="AB427" s="16"/>
      <c r="AC427" s="16"/>
      <c r="AD427" s="16"/>
      <c r="AE427" s="16"/>
      <c r="AF427" s="16"/>
      <c r="AG427" s="16"/>
      <c r="AH427" s="16"/>
    </row>
    <row r="428" spans="1:34" ht="52.2" customHeight="1" x14ac:dyDescent="0.25">
      <c r="A428" s="903" t="s">
        <v>155</v>
      </c>
      <c r="B428" s="903"/>
      <c r="C428" s="713" t="s">
        <v>156</v>
      </c>
      <c r="D428" s="714"/>
      <c r="E428" s="714"/>
      <c r="F428" s="714"/>
      <c r="G428" s="714"/>
      <c r="H428" s="714"/>
      <c r="I428" s="714"/>
      <c r="J428" s="714"/>
      <c r="K428" s="714"/>
      <c r="L428" s="714"/>
      <c r="M428" s="714"/>
      <c r="N428" s="714"/>
      <c r="O428" s="715"/>
      <c r="Q428" s="14"/>
      <c r="R428" s="14"/>
      <c r="S428" s="14"/>
      <c r="T428" s="14"/>
      <c r="U428" s="16"/>
      <c r="V428" s="16"/>
      <c r="W428" s="16"/>
      <c r="X428" s="16"/>
      <c r="Y428" s="16"/>
      <c r="Z428" s="16"/>
      <c r="AA428" s="16"/>
    </row>
    <row r="429" spans="1:34" ht="31.5" customHeight="1" x14ac:dyDescent="0.25">
      <c r="A429" s="903" t="s">
        <v>272</v>
      </c>
      <c r="B429" s="903"/>
      <c r="C429" s="713" t="s">
        <v>9</v>
      </c>
      <c r="D429" s="714"/>
      <c r="E429" s="714"/>
      <c r="F429" s="714"/>
      <c r="G429" s="714"/>
      <c r="H429" s="714"/>
      <c r="I429" s="714"/>
      <c r="J429" s="714"/>
      <c r="K429" s="714"/>
      <c r="L429" s="714"/>
      <c r="M429" s="714"/>
      <c r="N429" s="714"/>
      <c r="O429" s="715"/>
      <c r="Q429" s="14"/>
      <c r="R429" s="14"/>
      <c r="S429" s="14"/>
      <c r="T429" s="14"/>
      <c r="U429" s="16"/>
      <c r="V429" s="16"/>
      <c r="W429" s="16"/>
      <c r="X429" s="16"/>
      <c r="Y429" s="16"/>
      <c r="Z429" s="16"/>
      <c r="AA429" s="16"/>
    </row>
    <row r="430" spans="1:34" ht="43.2" customHeight="1" x14ac:dyDescent="0.25">
      <c r="A430" s="570" t="s">
        <v>229</v>
      </c>
      <c r="B430" s="904"/>
      <c r="C430" s="908" t="s">
        <v>157</v>
      </c>
      <c r="D430" s="909"/>
      <c r="E430" s="909"/>
      <c r="F430" s="909"/>
      <c r="G430" s="909"/>
      <c r="H430" s="909"/>
      <c r="I430" s="909"/>
      <c r="J430" s="909"/>
      <c r="K430" s="909"/>
      <c r="L430" s="909"/>
      <c r="M430" s="909"/>
      <c r="N430" s="909"/>
      <c r="O430" s="910"/>
      <c r="Q430" s="14"/>
      <c r="R430" s="14"/>
      <c r="S430" s="14"/>
      <c r="T430" s="14"/>
      <c r="U430" s="16"/>
      <c r="V430" s="16"/>
      <c r="W430" s="16"/>
      <c r="X430" s="16"/>
      <c r="Y430" s="16"/>
      <c r="Z430" s="16"/>
      <c r="AA430" s="16"/>
    </row>
    <row r="431" spans="1:34" ht="28.2" customHeight="1" x14ac:dyDescent="0.25">
      <c r="A431" s="882" t="s">
        <v>273</v>
      </c>
      <c r="B431" s="883"/>
      <c r="C431" s="886" t="s">
        <v>743</v>
      </c>
      <c r="D431" s="887"/>
      <c r="E431" s="887"/>
      <c r="F431" s="887"/>
      <c r="G431" s="887"/>
      <c r="H431" s="887"/>
      <c r="I431" s="887"/>
      <c r="J431" s="887"/>
      <c r="K431" s="887"/>
      <c r="L431" s="887"/>
      <c r="M431" s="887"/>
      <c r="N431" s="887"/>
      <c r="O431" s="888"/>
      <c r="Q431" s="14"/>
      <c r="R431" s="14"/>
      <c r="S431" s="14"/>
      <c r="T431" s="14"/>
      <c r="U431" s="16"/>
      <c r="V431" s="16"/>
      <c r="W431" s="16"/>
      <c r="X431" s="16"/>
      <c r="Y431" s="16"/>
      <c r="Z431" s="16"/>
      <c r="AA431" s="16"/>
    </row>
    <row r="432" spans="1:34" ht="30.75" customHeight="1" x14ac:dyDescent="0.25">
      <c r="A432" s="884"/>
      <c r="B432" s="885"/>
      <c r="C432" s="905" t="s">
        <v>200</v>
      </c>
      <c r="D432" s="906"/>
      <c r="E432" s="906"/>
      <c r="F432" s="906"/>
      <c r="G432" s="906"/>
      <c r="H432" s="906"/>
      <c r="I432" s="906"/>
      <c r="J432" s="906"/>
      <c r="K432" s="906"/>
      <c r="L432" s="906"/>
      <c r="M432" s="906"/>
      <c r="N432" s="906"/>
      <c r="O432" s="907"/>
      <c r="Q432" s="14"/>
      <c r="R432" s="14"/>
      <c r="S432" s="14"/>
      <c r="T432" s="14"/>
      <c r="U432" s="16"/>
      <c r="V432" s="16"/>
      <c r="W432" s="16"/>
      <c r="X432" s="16"/>
      <c r="Y432" s="16"/>
      <c r="Z432" s="16"/>
      <c r="AA432" s="16"/>
    </row>
    <row r="433" spans="1:34" ht="37.5" customHeight="1" x14ac:dyDescent="0.25">
      <c r="A433" s="884"/>
      <c r="B433" s="885"/>
      <c r="C433" s="897" t="s">
        <v>576</v>
      </c>
      <c r="D433" s="898"/>
      <c r="E433" s="898"/>
      <c r="F433" s="898"/>
      <c r="G433" s="898"/>
      <c r="H433" s="898"/>
      <c r="I433" s="898"/>
      <c r="J433" s="898"/>
      <c r="K433" s="898"/>
      <c r="L433" s="898"/>
      <c r="M433" s="898"/>
      <c r="N433" s="898"/>
      <c r="O433" s="899"/>
      <c r="S433" s="61"/>
      <c r="T433" s="61"/>
    </row>
    <row r="434" spans="1:34" ht="23.4" customHeight="1" x14ac:dyDescent="0.25">
      <c r="A434" s="873" t="s">
        <v>267</v>
      </c>
      <c r="B434" s="874"/>
      <c r="C434" s="874"/>
      <c r="D434" s="874"/>
      <c r="E434" s="874"/>
      <c r="F434" s="874"/>
      <c r="G434" s="875"/>
      <c r="H434" s="873" t="s">
        <v>268</v>
      </c>
      <c r="I434" s="874"/>
      <c r="J434" s="874"/>
      <c r="K434" s="874"/>
      <c r="L434" s="874"/>
      <c r="M434" s="874"/>
      <c r="N434" s="874"/>
      <c r="O434" s="875"/>
      <c r="S434" s="61"/>
      <c r="T434" s="61"/>
    </row>
    <row r="435" spans="1:34" ht="18" customHeight="1" x14ac:dyDescent="0.25">
      <c r="A435" s="876" t="s">
        <v>744</v>
      </c>
      <c r="B435" s="877"/>
      <c r="C435" s="877"/>
      <c r="D435" s="877"/>
      <c r="E435" s="877"/>
      <c r="F435" s="877"/>
      <c r="G435" s="878"/>
      <c r="H435" s="876" t="s">
        <v>745</v>
      </c>
      <c r="I435" s="877"/>
      <c r="J435" s="877"/>
      <c r="K435" s="877"/>
      <c r="L435" s="877"/>
      <c r="M435" s="877"/>
      <c r="N435" s="877"/>
      <c r="O435" s="878"/>
      <c r="S435" s="61"/>
      <c r="T435" s="61"/>
    </row>
    <row r="436" spans="1:34" ht="18" customHeight="1" x14ac:dyDescent="0.25">
      <c r="A436" s="879"/>
      <c r="B436" s="880"/>
      <c r="C436" s="880"/>
      <c r="D436" s="880"/>
      <c r="E436" s="880"/>
      <c r="F436" s="880"/>
      <c r="G436" s="881"/>
      <c r="H436" s="879"/>
      <c r="I436" s="880"/>
      <c r="J436" s="880"/>
      <c r="K436" s="880"/>
      <c r="L436" s="880"/>
      <c r="M436" s="880"/>
      <c r="N436" s="880"/>
      <c r="O436" s="881"/>
      <c r="S436" s="61"/>
      <c r="T436" s="61"/>
    </row>
    <row r="437" spans="1:34" ht="21" customHeight="1" x14ac:dyDescent="0.25">
      <c r="A437" s="873" t="s">
        <v>269</v>
      </c>
      <c r="B437" s="874"/>
      <c r="C437" s="874"/>
      <c r="D437" s="874"/>
      <c r="E437" s="874"/>
      <c r="F437" s="874"/>
      <c r="G437" s="875"/>
      <c r="H437" s="873" t="s">
        <v>270</v>
      </c>
      <c r="I437" s="874"/>
      <c r="J437" s="874"/>
      <c r="K437" s="874"/>
      <c r="L437" s="874"/>
      <c r="M437" s="874"/>
      <c r="N437" s="874"/>
      <c r="O437" s="875"/>
      <c r="S437" s="61"/>
      <c r="T437" s="61"/>
    </row>
    <row r="438" spans="1:34" ht="18.600000000000001" customHeight="1" x14ac:dyDescent="0.25">
      <c r="A438" s="876" t="s">
        <v>567</v>
      </c>
      <c r="B438" s="877"/>
      <c r="C438" s="877"/>
      <c r="D438" s="877"/>
      <c r="E438" s="877"/>
      <c r="F438" s="877"/>
      <c r="G438" s="878"/>
      <c r="H438" s="876" t="s">
        <v>746</v>
      </c>
      <c r="I438" s="877"/>
      <c r="J438" s="877"/>
      <c r="K438" s="877"/>
      <c r="L438" s="877"/>
      <c r="M438" s="877"/>
      <c r="N438" s="877"/>
      <c r="O438" s="878"/>
      <c r="S438" s="61"/>
      <c r="T438" s="61"/>
    </row>
    <row r="439" spans="1:34" s="45" customFormat="1" ht="18.600000000000001" customHeight="1" x14ac:dyDescent="0.25">
      <c r="A439" s="879"/>
      <c r="B439" s="880"/>
      <c r="C439" s="880"/>
      <c r="D439" s="880"/>
      <c r="E439" s="880"/>
      <c r="F439" s="880"/>
      <c r="G439" s="881"/>
      <c r="H439" s="879"/>
      <c r="I439" s="880"/>
      <c r="J439" s="880"/>
      <c r="K439" s="880"/>
      <c r="L439" s="880"/>
      <c r="M439" s="880"/>
      <c r="N439" s="880"/>
      <c r="O439" s="881"/>
      <c r="P439" s="53"/>
      <c r="Q439" s="43"/>
      <c r="R439" s="43"/>
      <c r="S439" s="44"/>
      <c r="T439" s="44"/>
      <c r="U439" s="10"/>
      <c r="V439" s="10"/>
      <c r="W439" s="10"/>
      <c r="X439" s="10"/>
      <c r="Y439" s="10"/>
      <c r="Z439" s="10"/>
      <c r="AA439" s="10"/>
      <c r="AB439" s="16"/>
      <c r="AC439" s="16"/>
      <c r="AD439" s="16"/>
      <c r="AE439" s="16"/>
      <c r="AF439" s="16"/>
      <c r="AG439" s="16"/>
      <c r="AH439" s="16"/>
    </row>
    <row r="440" spans="1:34" ht="24.75" customHeight="1" x14ac:dyDescent="0.25">
      <c r="A440" s="418"/>
      <c r="B440" s="419"/>
      <c r="C440" s="420"/>
      <c r="D440" s="420"/>
      <c r="E440" s="421"/>
      <c r="F440" s="421" t="str">
        <f>D71</f>
        <v>Kingston Buci</v>
      </c>
      <c r="G440" s="420" t="str">
        <f>J71</f>
        <v>Stepping Stones</v>
      </c>
      <c r="H440" s="421" t="s">
        <v>103</v>
      </c>
      <c r="I440" s="421"/>
      <c r="J440" s="420"/>
      <c r="K440" s="421" t="str">
        <f t="shared" ref="K440:M441" si="8">F440</f>
        <v>Kingston Buci</v>
      </c>
      <c r="L440" s="421" t="str">
        <f t="shared" si="8"/>
        <v>Stepping Stones</v>
      </c>
      <c r="M440" s="420" t="str">
        <f t="shared" si="8"/>
        <v>West Sussex</v>
      </c>
      <c r="N440" s="421"/>
      <c r="O440" s="422"/>
      <c r="P440" s="53"/>
      <c r="S440" s="61"/>
      <c r="T440" s="61"/>
    </row>
    <row r="441" spans="1:34" ht="15" customHeight="1" x14ac:dyDescent="0.25">
      <c r="A441" s="423"/>
      <c r="B441" s="296"/>
      <c r="C441" s="421"/>
      <c r="D441" s="424" t="s">
        <v>43</v>
      </c>
      <c r="E441" s="420" t="s">
        <v>560</v>
      </c>
      <c r="F441" s="425">
        <f>HLOOKUP(E441,cfc,DATA!A$1+1,FALSE)</f>
        <v>7.4494949494949489E-2</v>
      </c>
      <c r="G441" s="425">
        <f>HLOOKUP(E441,cfc,DATA!A$1+2,FALSE)</f>
        <v>0.15052910052910054</v>
      </c>
      <c r="H441" s="425">
        <f>DATA!GB75</f>
        <v>0.1111111111111111</v>
      </c>
      <c r="I441" s="424"/>
      <c r="J441" s="420" t="s">
        <v>202</v>
      </c>
      <c r="K441" s="425">
        <f>F441</f>
        <v>7.4494949494949489E-2</v>
      </c>
      <c r="L441" s="425">
        <f>G441</f>
        <v>0.15052910052910054</v>
      </c>
      <c r="M441" s="425">
        <f t="shared" si="8"/>
        <v>0.1111111111111111</v>
      </c>
      <c r="N441" s="424"/>
      <c r="O441" s="426"/>
      <c r="P441" s="53"/>
      <c r="S441" s="61"/>
      <c r="T441" s="61"/>
    </row>
    <row r="442" spans="1:34" x14ac:dyDescent="0.25">
      <c r="A442" s="423"/>
      <c r="B442" s="277"/>
      <c r="C442" s="277"/>
      <c r="D442" s="424" t="s">
        <v>568</v>
      </c>
      <c r="E442" s="427"/>
      <c r="F442" s="425">
        <f>HLOOKUP(D442,cfc,DATA!A$1+1,FALSE)</f>
        <v>4.283011146065737E-2</v>
      </c>
      <c r="G442" s="425">
        <f>HLOOKUP(D442,cfc,DATA!B$1+1,FALSE)</f>
        <v>5.315354431925607E-2</v>
      </c>
      <c r="H442" s="425">
        <f>DATA!GC75</f>
        <v>0.10265589099194035</v>
      </c>
      <c r="I442" s="428"/>
      <c r="J442" s="427" t="s">
        <v>195</v>
      </c>
      <c r="K442" s="425">
        <f>F443-F441</f>
        <v>8.14057286150731E-2</v>
      </c>
      <c r="L442" s="425">
        <f>G443-G441</f>
        <v>5.548622978558565E-2</v>
      </c>
      <c r="M442" s="425">
        <f>H443-H441</f>
        <v>9.0583704320736091E-3</v>
      </c>
      <c r="N442" s="277"/>
      <c r="O442" s="429"/>
      <c r="S442" s="61"/>
      <c r="T442" s="61"/>
    </row>
    <row r="443" spans="1:34" ht="14.4" x14ac:dyDescent="0.25">
      <c r="A443" s="423"/>
      <c r="B443" s="296"/>
      <c r="C443" s="420"/>
      <c r="D443" s="424" t="s">
        <v>569</v>
      </c>
      <c r="E443" s="427"/>
      <c r="F443" s="425">
        <f>HLOOKUP(D443,cfc,DATA!A$1+1,FALSE)</f>
        <v>0.15590067811002259</v>
      </c>
      <c r="G443" s="425">
        <f>HLOOKUP(D443,cfc,DATA!B$1+1,FALSE)</f>
        <v>0.20601533031468619</v>
      </c>
      <c r="H443" s="425">
        <f>DATA!GD75</f>
        <v>0.12016948154318471</v>
      </c>
      <c r="I443" s="430"/>
      <c r="J443" s="427" t="s">
        <v>196</v>
      </c>
      <c r="K443" s="425">
        <f>F441-F442</f>
        <v>3.1664838034292118E-2</v>
      </c>
      <c r="L443" s="425">
        <f>G441-G442</f>
        <v>9.7375556209844477E-2</v>
      </c>
      <c r="M443" s="425">
        <f>H441-H442</f>
        <v>8.455220119170756E-3</v>
      </c>
      <c r="N443" s="430"/>
      <c r="O443" s="431"/>
      <c r="P443" s="53"/>
      <c r="S443" s="61"/>
      <c r="T443" s="61"/>
    </row>
    <row r="444" spans="1:34" ht="17.25" customHeight="1" x14ac:dyDescent="0.25">
      <c r="A444" s="423"/>
      <c r="B444" s="296"/>
      <c r="C444" s="277"/>
      <c r="D444" s="424" t="s">
        <v>44</v>
      </c>
      <c r="E444" s="420" t="s">
        <v>562</v>
      </c>
      <c r="F444" s="425">
        <f>HLOOKUP(E444,cfc,DATA!A$1+1,FALSE)</f>
        <v>5.8712121212121209E-2</v>
      </c>
      <c r="G444" s="425">
        <f>HLOOKUP(E444,cfc,DATA!B$1+1,FALSE)</f>
        <v>0.15661375661375662</v>
      </c>
      <c r="H444" s="425">
        <f>DATA!GF75</f>
        <v>8.7088300666801371E-2</v>
      </c>
      <c r="I444" s="428"/>
      <c r="J444" s="420" t="s">
        <v>203</v>
      </c>
      <c r="K444" s="425">
        <f>F444</f>
        <v>5.8712121212121209E-2</v>
      </c>
      <c r="L444" s="425">
        <f>G444</f>
        <v>0.15661375661375662</v>
      </c>
      <c r="M444" s="425">
        <f>H444</f>
        <v>8.7088300666801371E-2</v>
      </c>
      <c r="N444" s="430"/>
      <c r="O444" s="431"/>
      <c r="P444" s="54"/>
      <c r="S444" s="61"/>
      <c r="T444" s="61"/>
    </row>
    <row r="445" spans="1:34" ht="14.4" x14ac:dyDescent="0.25">
      <c r="A445" s="423"/>
      <c r="B445" s="296"/>
      <c r="C445" s="277"/>
      <c r="D445" s="424" t="s">
        <v>570</v>
      </c>
      <c r="E445" s="420"/>
      <c r="F445" s="425">
        <f>HLOOKUP(D445,cfc,DATA!A$1+1,FALSE)</f>
        <v>2.8956279687604513E-2</v>
      </c>
      <c r="G445" s="425">
        <f>HLOOKUP(D445,cfc,DATA!B$1+1,FALSE)</f>
        <v>4.2994504137461961E-2</v>
      </c>
      <c r="H445" s="425">
        <f>DATA!GG75</f>
        <v>7.9549266554230474E-2</v>
      </c>
      <c r="I445" s="430"/>
      <c r="J445" s="420" t="s">
        <v>195</v>
      </c>
      <c r="K445" s="425">
        <f>F446-F444</f>
        <v>7.0998928149488216E-2</v>
      </c>
      <c r="L445" s="425">
        <f>G446-G444</f>
        <v>3.0508412887976316E-2</v>
      </c>
      <c r="M445" s="425">
        <f>H446-H444</f>
        <v>8.1795720955172707E-3</v>
      </c>
      <c r="N445" s="430"/>
      <c r="O445" s="431"/>
      <c r="P445" s="54"/>
      <c r="S445" s="61"/>
      <c r="T445" s="61"/>
    </row>
    <row r="446" spans="1:34" ht="14.4" x14ac:dyDescent="0.25">
      <c r="A446" s="423"/>
      <c r="B446" s="296"/>
      <c r="C446" s="277"/>
      <c r="D446" s="424" t="s">
        <v>573</v>
      </c>
      <c r="E446" s="427"/>
      <c r="F446" s="425">
        <f>HLOOKUP(D446,cfc,DATA!A$1+1,FALSE)</f>
        <v>0.12971104936160943</v>
      </c>
      <c r="G446" s="425">
        <f>HLOOKUP(D446,cfc,DATA!B$1+1,FALSE)</f>
        <v>0.18712216950173294</v>
      </c>
      <c r="H446" s="425">
        <f>DATA!GH75</f>
        <v>9.5267872762318642E-2</v>
      </c>
      <c r="I446" s="428"/>
      <c r="J446" s="427" t="s">
        <v>196</v>
      </c>
      <c r="K446" s="425">
        <f>F444-F445</f>
        <v>2.9755841524516696E-2</v>
      </c>
      <c r="L446" s="425">
        <f>G444-G445</f>
        <v>0.11361925247629466</v>
      </c>
      <c r="M446" s="425">
        <f>H444-H445</f>
        <v>7.5390341125708971E-3</v>
      </c>
      <c r="N446" s="421"/>
      <c r="O446" s="422"/>
      <c r="P446" s="54"/>
      <c r="S446" s="61"/>
      <c r="T446" s="61"/>
    </row>
    <row r="447" spans="1:34" ht="18" customHeight="1" x14ac:dyDescent="0.25">
      <c r="A447" s="423"/>
      <c r="B447" s="296"/>
      <c r="C447" s="277"/>
      <c r="D447" s="424" t="s">
        <v>45</v>
      </c>
      <c r="E447" s="420" t="s">
        <v>564</v>
      </c>
      <c r="F447" s="425">
        <f>HLOOKUP(E447,cfc,DATA!A$1+1,FALSE)</f>
        <v>6.8813131313131312E-2</v>
      </c>
      <c r="G447" s="425">
        <f>HLOOKUP(E447,cfc,DATA!B$1+1,FALSE)</f>
        <v>0.18994708994708998</v>
      </c>
      <c r="H447" s="425">
        <f>DATA!GJ75</f>
        <v>0.10767051204209674</v>
      </c>
      <c r="I447" s="430"/>
      <c r="J447" s="420" t="s">
        <v>204</v>
      </c>
      <c r="K447" s="425">
        <f>F447</f>
        <v>6.8813131313131312E-2</v>
      </c>
      <c r="L447" s="425">
        <f>G447</f>
        <v>0.18994708994708998</v>
      </c>
      <c r="M447" s="425">
        <f>H447</f>
        <v>0.10767051204209674</v>
      </c>
      <c r="N447" s="430"/>
      <c r="O447" s="431"/>
      <c r="P447" s="54"/>
      <c r="S447" s="61"/>
      <c r="T447" s="61"/>
    </row>
    <row r="448" spans="1:34" ht="35.25" customHeight="1" x14ac:dyDescent="0.25">
      <c r="A448" s="423"/>
      <c r="B448" s="296"/>
      <c r="C448" s="277"/>
      <c r="D448" s="424" t="s">
        <v>571</v>
      </c>
      <c r="E448" s="420"/>
      <c r="F448" s="425">
        <f>HLOOKUP(D448,cfc,DATA!A$1+1,FALSE)</f>
        <v>3.5767126237989492E-2</v>
      </c>
      <c r="G448" s="425">
        <f>HLOOKUP(D448,cfc,DATA!B$1+1,FALSE)</f>
        <v>7.459006187684232E-2</v>
      </c>
      <c r="H448" s="425">
        <f>DATA!GK75</f>
        <v>9.9330388823194393E-2</v>
      </c>
      <c r="I448" s="428"/>
      <c r="J448" s="420"/>
      <c r="K448" s="425">
        <f>F449-F447</f>
        <v>7.4118801758826139E-2</v>
      </c>
      <c r="L448" s="425">
        <f>G449-G447</f>
        <v>5.273612479950468E-2</v>
      </c>
      <c r="M448" s="425">
        <f>H449-H447</f>
        <v>8.9497172495540539E-3</v>
      </c>
      <c r="N448" s="430"/>
      <c r="O448" s="431"/>
      <c r="P448" s="54"/>
      <c r="S448" s="61"/>
      <c r="T448" s="61"/>
    </row>
    <row r="449" spans="1:34" ht="14.4" x14ac:dyDescent="0.25">
      <c r="A449" s="423"/>
      <c r="B449" s="296"/>
      <c r="C449" s="277"/>
      <c r="D449" s="424" t="s">
        <v>572</v>
      </c>
      <c r="E449" s="420"/>
      <c r="F449" s="425">
        <f>HLOOKUP(D449,cfc,DATA!A$1+1,FALSE)</f>
        <v>0.14293193307195745</v>
      </c>
      <c r="G449" s="425">
        <f>HLOOKUP(D449,cfc,DATA!B$1+1,FALSE)</f>
        <v>0.24268321474659466</v>
      </c>
      <c r="H449" s="425">
        <f>DATA!GL75</f>
        <v>0.11662022929165079</v>
      </c>
      <c r="I449" s="430"/>
      <c r="J449" s="420"/>
      <c r="K449" s="425">
        <f>F447-F448</f>
        <v>3.304600507514182E-2</v>
      </c>
      <c r="L449" s="425">
        <f>G447-G448</f>
        <v>0.11535702807024766</v>
      </c>
      <c r="M449" s="425">
        <f>H447-H448</f>
        <v>8.3401232189023455E-3</v>
      </c>
      <c r="N449" s="430"/>
      <c r="O449" s="431"/>
      <c r="P449" s="54"/>
      <c r="S449" s="61"/>
      <c r="T449" s="61"/>
    </row>
    <row r="450" spans="1:34" ht="25.5" customHeight="1" x14ac:dyDescent="0.25">
      <c r="A450" s="423"/>
      <c r="B450" s="296"/>
      <c r="C450" s="432"/>
      <c r="D450" s="433" t="s">
        <v>46</v>
      </c>
      <c r="E450" s="434" t="s">
        <v>566</v>
      </c>
      <c r="F450" s="435">
        <f>HLOOKUP(E450,cfc,DATA!A$1+1,FALSE)</f>
        <v>0.20391414141414141</v>
      </c>
      <c r="G450" s="435">
        <f>HLOOKUP(E450,cfc,DATA!B$1+1,FALSE)</f>
        <v>0.21177248677248675</v>
      </c>
      <c r="H450" s="435">
        <f>DATA!GN75</f>
        <v>0.22409589597724502</v>
      </c>
      <c r="I450" s="436"/>
      <c r="J450" s="434" t="s">
        <v>205</v>
      </c>
      <c r="K450" s="435">
        <f>F450</f>
        <v>0.20391414141414141</v>
      </c>
      <c r="L450" s="435">
        <f>G450</f>
        <v>0.21177248677248675</v>
      </c>
      <c r="M450" s="435">
        <f>H450</f>
        <v>0.22409589597724502</v>
      </c>
      <c r="N450" s="434"/>
      <c r="O450" s="431"/>
      <c r="P450" s="54"/>
      <c r="S450" s="61"/>
      <c r="T450" s="61"/>
    </row>
    <row r="451" spans="1:34" ht="18" customHeight="1" x14ac:dyDescent="0.25">
      <c r="A451" s="437"/>
      <c r="B451" s="438"/>
      <c r="C451" s="439"/>
      <c r="D451" s="440" t="s">
        <v>574</v>
      </c>
      <c r="E451" s="441"/>
      <c r="F451" s="442">
        <f>HLOOKUP(D451,cfc,DATA!A$1+1,FALSE)</f>
        <v>0.14776236248775229</v>
      </c>
      <c r="G451" s="442">
        <f>HLOOKUP(D451,cfc,DATA!B$1+1,FALSE)</f>
        <v>0.17018055060319134</v>
      </c>
      <c r="H451" s="442">
        <f>DATA!GO75</f>
        <v>0.21266415369596228</v>
      </c>
      <c r="I451" s="441"/>
      <c r="J451" s="441"/>
      <c r="K451" s="442">
        <f>F452-F450</f>
        <v>0.10746677905831528</v>
      </c>
      <c r="L451" s="442">
        <f>G452-G450</f>
        <v>0.16773784720573778</v>
      </c>
      <c r="M451" s="442">
        <f>H452-H450</f>
        <v>1.1862090348510046E-2</v>
      </c>
      <c r="N451" s="441"/>
      <c r="O451" s="443"/>
      <c r="P451" s="54"/>
      <c r="S451" s="61"/>
      <c r="T451" s="61"/>
    </row>
    <row r="452" spans="1:34" ht="1.8" customHeight="1" x14ac:dyDescent="0.25">
      <c r="A452" s="410"/>
      <c r="B452" s="411"/>
      <c r="C452" s="412"/>
      <c r="D452" s="413" t="s">
        <v>575</v>
      </c>
      <c r="E452" s="414"/>
      <c r="F452" s="415">
        <f>HLOOKUP(D452,cfc,DATA!A$1+1,FALSE)</f>
        <v>0.31138092047245669</v>
      </c>
      <c r="G452" s="415">
        <f>HLOOKUP(D452,cfc,DATA!B$1+1,FALSE)</f>
        <v>0.37951033397822453</v>
      </c>
      <c r="H452" s="415">
        <f>DATA!GP75</f>
        <v>0.23595798632575507</v>
      </c>
      <c r="I452" s="416"/>
      <c r="J452" s="414"/>
      <c r="K452" s="415">
        <f>F450-F451</f>
        <v>5.6151778926389118E-2</v>
      </c>
      <c r="L452" s="415">
        <f>G450-G451</f>
        <v>4.1591936169295407E-2</v>
      </c>
      <c r="M452" s="415">
        <f>H450-H451</f>
        <v>1.1431742281282742E-2</v>
      </c>
      <c r="N452" s="414"/>
      <c r="O452" s="417"/>
      <c r="P452" s="54"/>
      <c r="S452" s="61"/>
      <c r="T452" s="61"/>
    </row>
    <row r="453" spans="1:34" ht="20.25" customHeight="1" x14ac:dyDescent="0.25">
      <c r="A453" s="515" t="s">
        <v>599</v>
      </c>
      <c r="B453" s="516"/>
      <c r="C453" s="516"/>
      <c r="D453" s="516"/>
      <c r="E453" s="516"/>
      <c r="F453" s="516"/>
      <c r="G453" s="516"/>
      <c r="H453" s="516"/>
      <c r="I453" s="516"/>
      <c r="J453" s="516"/>
      <c r="K453" s="516"/>
      <c r="L453" s="516"/>
      <c r="M453" s="516"/>
      <c r="N453" s="517" t="s">
        <v>600</v>
      </c>
      <c r="O453" s="518"/>
      <c r="P453" s="55"/>
      <c r="S453" s="61"/>
      <c r="T453" s="61"/>
    </row>
    <row r="454" spans="1:34" s="20" customFormat="1" ht="25.2" customHeight="1" x14ac:dyDescent="0.25">
      <c r="A454" s="911" t="s">
        <v>159</v>
      </c>
      <c r="B454" s="912"/>
      <c r="C454" s="912"/>
      <c r="D454" s="912"/>
      <c r="E454" s="912"/>
      <c r="F454" s="912"/>
      <c r="G454" s="912"/>
      <c r="H454" s="912"/>
      <c r="I454" s="912"/>
      <c r="J454" s="912"/>
      <c r="K454" s="912"/>
      <c r="L454" s="912"/>
      <c r="M454" s="912"/>
      <c r="N454" s="912"/>
      <c r="O454" s="913"/>
      <c r="P454" s="55"/>
      <c r="Q454" s="19"/>
      <c r="R454" s="19"/>
      <c r="S454" s="41"/>
      <c r="T454" s="41"/>
      <c r="U454" s="10"/>
      <c r="V454" s="10"/>
      <c r="W454" s="10"/>
      <c r="X454" s="10"/>
      <c r="Y454" s="10"/>
      <c r="Z454" s="10"/>
      <c r="AA454" s="10"/>
      <c r="AB454" s="16"/>
      <c r="AC454" s="16"/>
      <c r="AD454" s="16"/>
      <c r="AE454" s="16"/>
      <c r="AF454" s="16"/>
      <c r="AG454" s="16"/>
      <c r="AH454" s="16"/>
    </row>
    <row r="455" spans="1:34" s="45" customFormat="1" ht="56.4" customHeight="1" x14ac:dyDescent="0.25">
      <c r="A455" s="682" t="s">
        <v>158</v>
      </c>
      <c r="B455" s="683"/>
      <c r="C455" s="684" t="s">
        <v>165</v>
      </c>
      <c r="D455" s="685"/>
      <c r="E455" s="685"/>
      <c r="F455" s="685"/>
      <c r="G455" s="685"/>
      <c r="H455" s="685"/>
      <c r="I455" s="685"/>
      <c r="J455" s="685"/>
      <c r="K455" s="685"/>
      <c r="L455" s="685"/>
      <c r="M455" s="685"/>
      <c r="N455" s="685"/>
      <c r="O455" s="686"/>
      <c r="P455" s="55"/>
      <c r="Q455" s="43"/>
      <c r="R455" s="43"/>
      <c r="S455" s="44"/>
      <c r="T455" s="44"/>
      <c r="U455" s="10"/>
      <c r="V455" s="10"/>
      <c r="W455" s="10"/>
      <c r="X455" s="10"/>
      <c r="Y455" s="10"/>
      <c r="Z455" s="10"/>
      <c r="AA455" s="10"/>
      <c r="AB455" s="16"/>
      <c r="AC455" s="16"/>
      <c r="AD455" s="16"/>
      <c r="AE455" s="16"/>
      <c r="AF455" s="16"/>
      <c r="AG455" s="16"/>
      <c r="AH455" s="16"/>
    </row>
    <row r="456" spans="1:34" ht="19.2" customHeight="1" x14ac:dyDescent="0.25">
      <c r="A456" s="682" t="s">
        <v>70</v>
      </c>
      <c r="B456" s="683"/>
      <c r="C456" s="684" t="s">
        <v>521</v>
      </c>
      <c r="D456" s="685"/>
      <c r="E456" s="685"/>
      <c r="F456" s="685"/>
      <c r="G456" s="685"/>
      <c r="H456" s="685"/>
      <c r="I456" s="685"/>
      <c r="J456" s="685"/>
      <c r="K456" s="685"/>
      <c r="L456" s="685"/>
      <c r="M456" s="685"/>
      <c r="N456" s="685"/>
      <c r="O456" s="686"/>
      <c r="S456" s="61"/>
      <c r="T456" s="61"/>
    </row>
    <row r="457" spans="1:34" ht="36.6" customHeight="1" x14ac:dyDescent="0.25">
      <c r="A457" s="682" t="s">
        <v>272</v>
      </c>
      <c r="B457" s="683"/>
      <c r="C457" s="684" t="s">
        <v>166</v>
      </c>
      <c r="D457" s="685"/>
      <c r="E457" s="685"/>
      <c r="F457" s="685"/>
      <c r="G457" s="685"/>
      <c r="H457" s="685"/>
      <c r="I457" s="685"/>
      <c r="J457" s="685"/>
      <c r="K457" s="685"/>
      <c r="L457" s="685"/>
      <c r="M457" s="685"/>
      <c r="N457" s="685"/>
      <c r="O457" s="686"/>
      <c r="S457" s="61"/>
      <c r="T457" s="61"/>
    </row>
    <row r="458" spans="1:34" ht="51.6" customHeight="1" x14ac:dyDescent="0.25">
      <c r="A458" s="687" t="s">
        <v>229</v>
      </c>
      <c r="B458" s="688"/>
      <c r="C458" s="689" t="s">
        <v>167</v>
      </c>
      <c r="D458" s="690"/>
      <c r="E458" s="690"/>
      <c r="F458" s="690"/>
      <c r="G458" s="690"/>
      <c r="H458" s="690"/>
      <c r="I458" s="690"/>
      <c r="J458" s="690"/>
      <c r="K458" s="690"/>
      <c r="L458" s="690"/>
      <c r="M458" s="690"/>
      <c r="N458" s="690"/>
      <c r="O458" s="691"/>
      <c r="S458" s="61"/>
      <c r="T458" s="61"/>
    </row>
    <row r="459" spans="1:34" ht="45.6" customHeight="1" x14ac:dyDescent="0.25">
      <c r="A459" s="735" t="s">
        <v>273</v>
      </c>
      <c r="B459" s="736"/>
      <c r="C459" s="754" t="s">
        <v>95</v>
      </c>
      <c r="D459" s="755"/>
      <c r="E459" s="755"/>
      <c r="F459" s="755"/>
      <c r="G459" s="755"/>
      <c r="H459" s="755"/>
      <c r="I459" s="755"/>
      <c r="J459" s="755"/>
      <c r="K459" s="755"/>
      <c r="L459" s="755"/>
      <c r="M459" s="755"/>
      <c r="N459" s="755"/>
      <c r="O459" s="756"/>
      <c r="S459" s="61"/>
      <c r="T459" s="61"/>
    </row>
    <row r="460" spans="1:34" ht="22.8" customHeight="1" x14ac:dyDescent="0.25">
      <c r="A460" s="737"/>
      <c r="B460" s="738"/>
      <c r="C460" s="1418" t="s">
        <v>151</v>
      </c>
      <c r="D460" s="1419"/>
      <c r="E460" s="1419"/>
      <c r="F460" s="1419"/>
      <c r="G460" s="1419"/>
      <c r="H460" s="1419"/>
      <c r="I460" s="1419"/>
      <c r="J460" s="1419"/>
      <c r="K460" s="1419"/>
      <c r="L460" s="1419"/>
      <c r="M460" s="1419"/>
      <c r="N460" s="1419"/>
      <c r="O460" s="1420"/>
      <c r="S460" s="61"/>
      <c r="T460" s="61"/>
    </row>
    <row r="461" spans="1:34" ht="15" customHeight="1" x14ac:dyDescent="0.25">
      <c r="A461" s="757"/>
      <c r="B461" s="758"/>
      <c r="C461" s="1805" t="s">
        <v>897</v>
      </c>
      <c r="D461" s="1806"/>
      <c r="E461" s="1806"/>
      <c r="F461" s="1806"/>
      <c r="G461" s="1806"/>
      <c r="H461" s="1806"/>
      <c r="I461" s="1806"/>
      <c r="J461" s="1806"/>
      <c r="K461" s="1806"/>
      <c r="L461" s="1806"/>
      <c r="M461" s="1806"/>
      <c r="N461" s="1806"/>
      <c r="O461" s="1807"/>
      <c r="S461" s="61"/>
      <c r="T461" s="61"/>
    </row>
    <row r="462" spans="1:34" ht="31.8" customHeight="1" x14ac:dyDescent="0.25">
      <c r="A462" s="735" t="s">
        <v>148</v>
      </c>
      <c r="B462" s="736"/>
      <c r="C462" s="1426" t="s">
        <v>251</v>
      </c>
      <c r="D462" s="1427"/>
      <c r="E462" s="1428"/>
      <c r="F462" s="1421" t="s">
        <v>254</v>
      </c>
      <c r="G462" s="1422"/>
      <c r="H462" s="1422"/>
      <c r="I462" s="1422"/>
      <c r="J462" s="1422"/>
      <c r="K462" s="1422"/>
      <c r="L462" s="1422"/>
      <c r="M462" s="1422"/>
      <c r="N462" s="1422"/>
      <c r="O462" s="1423"/>
      <c r="S462" s="61"/>
      <c r="T462" s="61"/>
    </row>
    <row r="463" spans="1:34" ht="31.8" customHeight="1" x14ac:dyDescent="0.25">
      <c r="A463" s="737"/>
      <c r="B463" s="738"/>
      <c r="C463" s="892" t="s">
        <v>149</v>
      </c>
      <c r="D463" s="893"/>
      <c r="E463" s="894"/>
      <c r="F463" s="870" t="s">
        <v>255</v>
      </c>
      <c r="G463" s="871"/>
      <c r="H463" s="871"/>
      <c r="I463" s="871"/>
      <c r="J463" s="871"/>
      <c r="K463" s="871"/>
      <c r="L463" s="871"/>
      <c r="M463" s="871"/>
      <c r="N463" s="871"/>
      <c r="O463" s="872"/>
      <c r="S463" s="61"/>
      <c r="T463" s="61"/>
    </row>
    <row r="464" spans="1:34" ht="31.8" customHeight="1" x14ac:dyDescent="0.25">
      <c r="A464" s="737"/>
      <c r="B464" s="738"/>
      <c r="C464" s="892" t="s">
        <v>253</v>
      </c>
      <c r="D464" s="893"/>
      <c r="E464" s="894"/>
      <c r="F464" s="870" t="s">
        <v>256</v>
      </c>
      <c r="G464" s="871"/>
      <c r="H464" s="871"/>
      <c r="I464" s="871"/>
      <c r="J464" s="871"/>
      <c r="K464" s="871"/>
      <c r="L464" s="871"/>
      <c r="M464" s="871"/>
      <c r="N464" s="871"/>
      <c r="O464" s="872"/>
      <c r="S464" s="61"/>
      <c r="T464" s="61"/>
    </row>
    <row r="465" spans="1:34" ht="31.8" customHeight="1" x14ac:dyDescent="0.25">
      <c r="A465" s="737"/>
      <c r="B465" s="738"/>
      <c r="C465" s="892" t="s">
        <v>249</v>
      </c>
      <c r="D465" s="893"/>
      <c r="E465" s="894"/>
      <c r="F465" s="870" t="s">
        <v>257</v>
      </c>
      <c r="G465" s="871"/>
      <c r="H465" s="871"/>
      <c r="I465" s="871"/>
      <c r="J465" s="871"/>
      <c r="K465" s="871"/>
      <c r="L465" s="871"/>
      <c r="M465" s="871"/>
      <c r="N465" s="871"/>
      <c r="O465" s="872"/>
      <c r="P465" s="16"/>
      <c r="Q465" s="14"/>
      <c r="R465" s="14"/>
      <c r="S465" s="14"/>
      <c r="T465" s="14"/>
      <c r="U465" s="16"/>
      <c r="V465" s="16"/>
      <c r="W465" s="16"/>
      <c r="X465" s="16"/>
      <c r="Y465" s="16"/>
      <c r="Z465" s="16"/>
      <c r="AA465" s="16"/>
    </row>
    <row r="466" spans="1:34" ht="31.8" customHeight="1" x14ac:dyDescent="0.25">
      <c r="A466" s="737"/>
      <c r="B466" s="738"/>
      <c r="C466" s="892" t="s">
        <v>252</v>
      </c>
      <c r="D466" s="893"/>
      <c r="E466" s="894"/>
      <c r="F466" s="870" t="s">
        <v>259</v>
      </c>
      <c r="G466" s="871"/>
      <c r="H466" s="871"/>
      <c r="I466" s="871"/>
      <c r="J466" s="871"/>
      <c r="K466" s="871"/>
      <c r="L466" s="871"/>
      <c r="M466" s="871"/>
      <c r="N466" s="871"/>
      <c r="O466" s="872"/>
      <c r="P466" s="16"/>
      <c r="Q466" s="14"/>
      <c r="R466" s="14"/>
      <c r="S466" s="14"/>
      <c r="T466" s="14"/>
      <c r="U466" s="16"/>
      <c r="V466" s="16"/>
      <c r="W466" s="16"/>
      <c r="X466" s="16"/>
      <c r="Y466" s="16"/>
      <c r="Z466" s="16"/>
      <c r="AA466" s="16"/>
    </row>
    <row r="467" spans="1:34" ht="31.8" customHeight="1" x14ac:dyDescent="0.25">
      <c r="A467" s="739"/>
      <c r="B467" s="740"/>
      <c r="C467" s="851" t="s">
        <v>250</v>
      </c>
      <c r="D467" s="852"/>
      <c r="E467" s="853"/>
      <c r="F467" s="845" t="s">
        <v>258</v>
      </c>
      <c r="G467" s="846"/>
      <c r="H467" s="846"/>
      <c r="I467" s="846"/>
      <c r="J467" s="846"/>
      <c r="K467" s="846"/>
      <c r="L467" s="846"/>
      <c r="M467" s="846"/>
      <c r="N467" s="846"/>
      <c r="O467" s="847"/>
      <c r="P467" s="16"/>
      <c r="Q467" s="14"/>
      <c r="R467" s="14"/>
      <c r="S467" s="14"/>
      <c r="T467" s="14"/>
      <c r="U467" s="16"/>
      <c r="V467" s="16"/>
      <c r="W467" s="16"/>
      <c r="X467" s="16"/>
      <c r="Y467" s="16"/>
      <c r="Z467" s="16"/>
      <c r="AA467" s="16"/>
    </row>
    <row r="468" spans="1:34" ht="25.8" customHeight="1" x14ac:dyDescent="0.25">
      <c r="A468" s="719" t="s">
        <v>260</v>
      </c>
      <c r="B468" s="720"/>
      <c r="C468" s="720"/>
      <c r="D468" s="720"/>
      <c r="E468" s="720"/>
      <c r="F468" s="720"/>
      <c r="G468" s="720"/>
      <c r="H468" s="720"/>
      <c r="I468" s="720"/>
      <c r="J468" s="720"/>
      <c r="K468" s="720"/>
      <c r="L468" s="720"/>
      <c r="M468" s="720"/>
      <c r="N468" s="720"/>
      <c r="O468" s="854"/>
      <c r="P468" s="16"/>
      <c r="Q468" s="14"/>
      <c r="R468" s="14"/>
      <c r="S468" s="14"/>
      <c r="T468" s="14"/>
      <c r="U468" s="16"/>
      <c r="V468" s="16"/>
      <c r="W468" s="16"/>
      <c r="X468" s="16"/>
      <c r="Y468" s="16"/>
      <c r="Z468" s="16"/>
      <c r="AA468" s="16"/>
    </row>
    <row r="469" spans="1:34" ht="25.8" customHeight="1" x14ac:dyDescent="0.25">
      <c r="A469" s="722"/>
      <c r="B469" s="723"/>
      <c r="C469" s="723"/>
      <c r="D469" s="723"/>
      <c r="E469" s="723"/>
      <c r="F469" s="723"/>
      <c r="G469" s="723"/>
      <c r="H469" s="723"/>
      <c r="I469" s="723"/>
      <c r="J469" s="723"/>
      <c r="K469" s="723"/>
      <c r="L469" s="723"/>
      <c r="M469" s="723"/>
      <c r="N469" s="723"/>
      <c r="O469" s="855"/>
      <c r="P469" s="16"/>
      <c r="Q469" s="14"/>
      <c r="R469" s="14"/>
      <c r="S469" s="14"/>
      <c r="T469" s="14"/>
      <c r="U469" s="16"/>
      <c r="V469" s="16"/>
      <c r="W469" s="16"/>
      <c r="X469" s="16"/>
      <c r="Y469" s="16"/>
      <c r="Z469" s="16"/>
      <c r="AA469" s="16"/>
    </row>
    <row r="470" spans="1:34" s="20" customFormat="1" ht="19.5" customHeight="1" x14ac:dyDescent="0.25">
      <c r="A470" s="859" t="s">
        <v>818</v>
      </c>
      <c r="B470" s="860"/>
      <c r="C470" s="860"/>
      <c r="D470" s="860"/>
      <c r="E470" s="860"/>
      <c r="F470" s="860"/>
      <c r="G470" s="860"/>
      <c r="H470" s="860"/>
      <c r="I470" s="860"/>
      <c r="J470" s="860"/>
      <c r="K470" s="860"/>
      <c r="L470" s="860"/>
      <c r="M470" s="860"/>
      <c r="N470" s="860"/>
      <c r="O470" s="861"/>
      <c r="P470" s="16"/>
      <c r="U470" s="16"/>
      <c r="V470" s="16"/>
      <c r="W470" s="16"/>
      <c r="X470" s="16"/>
      <c r="Y470" s="16"/>
      <c r="Z470" s="16"/>
      <c r="AA470" s="16"/>
      <c r="AB470" s="16"/>
      <c r="AC470" s="16"/>
      <c r="AD470" s="16"/>
      <c r="AE470" s="16"/>
      <c r="AF470" s="16"/>
      <c r="AG470" s="16"/>
      <c r="AH470" s="16"/>
    </row>
    <row r="471" spans="1:34" ht="19.5" customHeight="1" x14ac:dyDescent="0.25">
      <c r="A471" s="862" t="s">
        <v>117</v>
      </c>
      <c r="B471" s="863"/>
      <c r="C471" s="863"/>
      <c r="D471" s="863"/>
      <c r="E471" s="863"/>
      <c r="F471" s="863"/>
      <c r="G471" s="864"/>
      <c r="H471" s="865" t="str">
        <f>$D$71</f>
        <v>Kingston Buci</v>
      </c>
      <c r="I471" s="866"/>
      <c r="J471" s="866"/>
      <c r="K471" s="867"/>
      <c r="L471" s="850" t="str">
        <f>$J$71</f>
        <v>Stepping Stones</v>
      </c>
      <c r="M471" s="806"/>
      <c r="N471" s="806" t="str">
        <f>$J$71</f>
        <v>Stepping Stones</v>
      </c>
      <c r="O471" s="807"/>
      <c r="P471" s="16"/>
      <c r="Q471" s="14"/>
      <c r="R471" s="14"/>
      <c r="S471" s="14"/>
      <c r="T471" s="14"/>
      <c r="U471" s="16"/>
      <c r="V471" s="16"/>
      <c r="W471" s="16"/>
      <c r="X471" s="16"/>
      <c r="Y471" s="16"/>
      <c r="Z471" s="16"/>
      <c r="AA471" s="16"/>
    </row>
    <row r="472" spans="1:34" ht="15" customHeight="1" x14ac:dyDescent="0.25">
      <c r="A472" s="444" t="s">
        <v>396</v>
      </c>
      <c r="B472" s="445"/>
      <c r="C472" s="446"/>
      <c r="D472" s="1429" t="s">
        <v>264</v>
      </c>
      <c r="E472" s="868"/>
      <c r="F472" s="868"/>
      <c r="G472" s="1430"/>
      <c r="H472" s="661">
        <f>HLOOKUP($A472,cfc,DATA!A$1+1,FALSE)</f>
        <v>57</v>
      </c>
      <c r="I472" s="662"/>
      <c r="J472" s="662"/>
      <c r="K472" s="663"/>
      <c r="L472" s="661">
        <f>HLOOKUP($A472,cfc,DATA!B$1+1,FALSE)</f>
        <v>36</v>
      </c>
      <c r="M472" s="868"/>
      <c r="N472" s="868"/>
      <c r="O472" s="869"/>
      <c r="P472" s="16"/>
      <c r="Q472" s="14"/>
      <c r="R472" s="14"/>
      <c r="S472" s="14"/>
      <c r="T472" s="14"/>
      <c r="U472" s="16"/>
      <c r="V472" s="16"/>
      <c r="W472" s="16"/>
      <c r="X472" s="16"/>
      <c r="Y472" s="16"/>
      <c r="Z472" s="16"/>
      <c r="AA472" s="16"/>
    </row>
    <row r="473" spans="1:34" ht="15.75" customHeight="1" x14ac:dyDescent="0.25">
      <c r="A473" s="732" t="s">
        <v>747</v>
      </c>
      <c r="B473" s="733"/>
      <c r="C473" s="734"/>
      <c r="D473" s="447" t="s">
        <v>403</v>
      </c>
      <c r="E473" s="848" t="s">
        <v>261</v>
      </c>
      <c r="F473" s="849"/>
      <c r="G473" s="849"/>
      <c r="H473" s="658">
        <f>HLOOKUP(D473,cfc,DATA!A1+1,FALSE)</f>
        <v>53</v>
      </c>
      <c r="I473" s="659"/>
      <c r="J473" s="659"/>
      <c r="K473" s="660"/>
      <c r="L473" s="658">
        <f>HLOOKUP($D473,cfc,DATA!$B$1+1,FALSE)</f>
        <v>33</v>
      </c>
      <c r="M473" s="1424"/>
      <c r="N473" s="1424"/>
      <c r="O473" s="1425"/>
      <c r="P473" s="16"/>
      <c r="Q473" s="14"/>
      <c r="R473" s="14"/>
      <c r="S473" s="14"/>
      <c r="T473" s="14"/>
      <c r="U473" s="16"/>
      <c r="V473" s="16"/>
      <c r="W473" s="16"/>
      <c r="X473" s="16"/>
      <c r="Y473" s="16"/>
      <c r="Z473" s="16"/>
      <c r="AA473" s="16"/>
    </row>
    <row r="474" spans="1:34" x14ac:dyDescent="0.25">
      <c r="A474" s="719"/>
      <c r="B474" s="720"/>
      <c r="C474" s="721"/>
      <c r="D474" s="123" t="s">
        <v>404</v>
      </c>
      <c r="E474" s="708" t="s">
        <v>262</v>
      </c>
      <c r="F474" s="709"/>
      <c r="G474" s="709"/>
      <c r="H474" s="655">
        <f>IF(H472="*","*",H473/H472)</f>
        <v>0.92982456140350878</v>
      </c>
      <c r="I474" s="656"/>
      <c r="J474" s="656"/>
      <c r="K474" s="657"/>
      <c r="L474" s="675">
        <f>IF(L472="*","*",L473/L472)</f>
        <v>0.91666666666666663</v>
      </c>
      <c r="M474" s="676"/>
      <c r="N474" s="676"/>
      <c r="O474" s="677"/>
      <c r="P474" s="16"/>
      <c r="Q474" s="14"/>
      <c r="R474" s="14"/>
      <c r="S474" s="14"/>
      <c r="T474" s="14"/>
      <c r="U474" s="16"/>
      <c r="V474" s="16"/>
      <c r="W474" s="16"/>
      <c r="X474" s="16"/>
      <c r="Y474" s="16"/>
      <c r="Z474" s="16"/>
      <c r="AA474" s="16"/>
    </row>
    <row r="475" spans="1:34" ht="12.75" customHeight="1" x14ac:dyDescent="0.25">
      <c r="A475" s="722"/>
      <c r="B475" s="723"/>
      <c r="C475" s="724"/>
      <c r="D475" s="124"/>
      <c r="E475" s="678" t="s">
        <v>263</v>
      </c>
      <c r="F475" s="679"/>
      <c r="G475" s="679"/>
      <c r="H475" s="615" t="str">
        <f>IF(H474="*","*",IF(H474&lt;0.95,"Lower than required coverage",IF(H474&gt;=0.95,"Required overage or above")))</f>
        <v>Lower than required coverage</v>
      </c>
      <c r="I475" s="616"/>
      <c r="J475" s="616"/>
      <c r="K475" s="617"/>
      <c r="L475" s="670" t="str">
        <f>IF(L474="*","*",IF(L474&lt;0.95,"Lower than required coverage",IF(L474&gt;=0.95,"Required overage or above")))</f>
        <v>Lower than required coverage</v>
      </c>
      <c r="M475" s="671"/>
      <c r="N475" s="671"/>
      <c r="O475" s="672"/>
      <c r="P475" s="16"/>
      <c r="Q475" s="14"/>
      <c r="R475" s="14"/>
      <c r="S475" s="14"/>
      <c r="T475" s="14"/>
      <c r="U475" s="16"/>
      <c r="V475" s="16"/>
      <c r="W475" s="16"/>
      <c r="X475" s="16"/>
      <c r="Y475" s="16"/>
      <c r="Z475" s="16"/>
      <c r="AA475" s="16"/>
    </row>
    <row r="476" spans="1:34" ht="13.5" customHeight="1" x14ac:dyDescent="0.25">
      <c r="A476" s="716" t="s">
        <v>748</v>
      </c>
      <c r="B476" s="717"/>
      <c r="C476" s="718"/>
      <c r="D476" s="448" t="s">
        <v>397</v>
      </c>
      <c r="E476" s="680" t="s">
        <v>261</v>
      </c>
      <c r="F476" s="681"/>
      <c r="G476" s="681"/>
      <c r="H476" s="618">
        <f>HLOOKUP($D476,cfc,DATA!$A$1+1,FALSE)</f>
        <v>52</v>
      </c>
      <c r="I476" s="619"/>
      <c r="J476" s="619"/>
      <c r="K476" s="620"/>
      <c r="L476" s="618">
        <f>HLOOKUP($D476,cfc,DATA!$B$1+1,FALSE)</f>
        <v>33</v>
      </c>
      <c r="M476" s="673"/>
      <c r="N476" s="673"/>
      <c r="O476" s="674"/>
      <c r="P476" s="16"/>
      <c r="Q476" s="14"/>
      <c r="R476" s="14"/>
      <c r="S476" s="14"/>
      <c r="T476" s="14"/>
      <c r="U476" s="16"/>
      <c r="V476" s="16"/>
      <c r="W476" s="16"/>
      <c r="X476" s="16"/>
      <c r="Y476" s="16"/>
      <c r="Z476" s="16"/>
      <c r="AA476" s="16"/>
    </row>
    <row r="477" spans="1:34" ht="15.75" customHeight="1" x14ac:dyDescent="0.25">
      <c r="A477" s="719"/>
      <c r="B477" s="720"/>
      <c r="C477" s="721"/>
      <c r="D477" s="123" t="s">
        <v>398</v>
      </c>
      <c r="E477" s="708" t="s">
        <v>262</v>
      </c>
      <c r="F477" s="709"/>
      <c r="G477" s="709"/>
      <c r="H477" s="655">
        <f>IF(H472="*","*",H476/H$472)</f>
        <v>0.91228070175438591</v>
      </c>
      <c r="I477" s="656"/>
      <c r="J477" s="656"/>
      <c r="K477" s="657"/>
      <c r="L477" s="675">
        <f>IF(L472="*","*",L476/L472)</f>
        <v>0.91666666666666663</v>
      </c>
      <c r="M477" s="676"/>
      <c r="N477" s="676"/>
      <c r="O477" s="677"/>
      <c r="P477" s="16"/>
      <c r="Q477" s="14"/>
      <c r="R477" s="14"/>
      <c r="S477" s="14"/>
      <c r="T477" s="14"/>
      <c r="U477" s="16"/>
      <c r="V477" s="16"/>
      <c r="W477" s="16"/>
      <c r="X477" s="16"/>
      <c r="Y477" s="16"/>
      <c r="Z477" s="16"/>
      <c r="AA477" s="16"/>
    </row>
    <row r="478" spans="1:34" ht="12.75" customHeight="1" x14ac:dyDescent="0.25">
      <c r="A478" s="722"/>
      <c r="B478" s="723"/>
      <c r="C478" s="724"/>
      <c r="D478" s="124"/>
      <c r="E478" s="678" t="s">
        <v>263</v>
      </c>
      <c r="F478" s="679"/>
      <c r="G478" s="679"/>
      <c r="H478" s="615" t="str">
        <f>IF(H477="*","*",IF(H477&lt;0.95,"Lower than required coverage",IF(H477&gt;=0.95,"Required overage or above")))</f>
        <v>Lower than required coverage</v>
      </c>
      <c r="I478" s="616"/>
      <c r="J478" s="616"/>
      <c r="K478" s="617"/>
      <c r="L478" s="670" t="str">
        <f>IF(L477="*","*",IF(L477&lt;0.95,"Lower than required coverage",IF(L477&gt;=0.95,"Required overage or above")))</f>
        <v>Lower than required coverage</v>
      </c>
      <c r="M478" s="671"/>
      <c r="N478" s="671"/>
      <c r="O478" s="672"/>
      <c r="P478" s="16"/>
      <c r="Q478" s="14"/>
      <c r="R478" s="14"/>
      <c r="S478" s="14"/>
      <c r="T478" s="14"/>
      <c r="U478" s="16"/>
      <c r="V478" s="16"/>
      <c r="W478" s="16"/>
      <c r="X478" s="16"/>
      <c r="Y478" s="16"/>
      <c r="Z478" s="16"/>
      <c r="AA478" s="16"/>
    </row>
    <row r="479" spans="1:34" ht="15" customHeight="1" x14ac:dyDescent="0.25">
      <c r="A479" s="716" t="s">
        <v>749</v>
      </c>
      <c r="B479" s="717"/>
      <c r="C479" s="718"/>
      <c r="D479" s="448" t="s">
        <v>401</v>
      </c>
      <c r="E479" s="680" t="s">
        <v>261</v>
      </c>
      <c r="F479" s="681"/>
      <c r="G479" s="681"/>
      <c r="H479" s="618">
        <f>HLOOKUP($D479,cfc,DATA!$A$1+1,FALSE)</f>
        <v>55</v>
      </c>
      <c r="I479" s="619"/>
      <c r="J479" s="619"/>
      <c r="K479" s="620"/>
      <c r="L479" s="618">
        <f>HLOOKUP($D479,cfc,DATA!$B$1+1,FALSE)</f>
        <v>33</v>
      </c>
      <c r="M479" s="673"/>
      <c r="N479" s="673"/>
      <c r="O479" s="674"/>
      <c r="P479" s="16"/>
      <c r="Q479" s="14"/>
      <c r="R479" s="14"/>
      <c r="S479" s="14"/>
      <c r="T479" s="14"/>
      <c r="U479" s="16"/>
      <c r="V479" s="16"/>
      <c r="W479" s="16"/>
      <c r="X479" s="16"/>
      <c r="Y479" s="16"/>
      <c r="Z479" s="16"/>
      <c r="AA479" s="16"/>
    </row>
    <row r="480" spans="1:34" ht="15" customHeight="1" x14ac:dyDescent="0.25">
      <c r="A480" s="719"/>
      <c r="B480" s="720"/>
      <c r="C480" s="721"/>
      <c r="D480" s="123" t="s">
        <v>402</v>
      </c>
      <c r="E480" s="708" t="s">
        <v>262</v>
      </c>
      <c r="F480" s="709"/>
      <c r="G480" s="709"/>
      <c r="H480" s="655">
        <f>IF(H475="*","*",H479/H$472)</f>
        <v>0.96491228070175439</v>
      </c>
      <c r="I480" s="656"/>
      <c r="J480" s="656"/>
      <c r="K480" s="657"/>
      <c r="L480" s="675">
        <f>IF(L472="*","*",L479/L$472)</f>
        <v>0.91666666666666663</v>
      </c>
      <c r="M480" s="676"/>
      <c r="N480" s="676"/>
      <c r="O480" s="677"/>
      <c r="P480" s="16"/>
      <c r="Q480" s="14"/>
      <c r="R480" s="14"/>
      <c r="S480" s="14"/>
      <c r="T480" s="14"/>
      <c r="U480" s="16"/>
      <c r="V480" s="16"/>
      <c r="W480" s="16"/>
      <c r="X480" s="16"/>
      <c r="Y480" s="16"/>
      <c r="Z480" s="16"/>
      <c r="AA480" s="16"/>
    </row>
    <row r="481" spans="1:34" ht="15" customHeight="1" x14ac:dyDescent="0.25">
      <c r="A481" s="722"/>
      <c r="B481" s="723"/>
      <c r="C481" s="724"/>
      <c r="D481" s="124"/>
      <c r="E481" s="678" t="s">
        <v>263</v>
      </c>
      <c r="F481" s="679"/>
      <c r="G481" s="679"/>
      <c r="H481" s="615" t="str">
        <f>IF(H480="*","*",IF(H480&lt;0.95,"Lower than required coverage",IF(H480&gt;=0.95,"Required overage or above")))</f>
        <v>Required overage or above</v>
      </c>
      <c r="I481" s="616"/>
      <c r="J481" s="616"/>
      <c r="K481" s="617"/>
      <c r="L481" s="670" t="str">
        <f>IF(L480="*","*",IF(L480&lt;0.95,"Lower than required coverage",IF(L480&gt;=0.95,"Required overage or above")))</f>
        <v>Lower than required coverage</v>
      </c>
      <c r="M481" s="671"/>
      <c r="N481" s="671"/>
      <c r="O481" s="672"/>
      <c r="S481" s="61"/>
      <c r="T481" s="61"/>
    </row>
    <row r="482" spans="1:34" ht="15" customHeight="1" x14ac:dyDescent="0.25">
      <c r="A482" s="716" t="s">
        <v>750</v>
      </c>
      <c r="B482" s="717"/>
      <c r="C482" s="718"/>
      <c r="D482" s="448" t="s">
        <v>399</v>
      </c>
      <c r="E482" s="680" t="s">
        <v>261</v>
      </c>
      <c r="F482" s="681"/>
      <c r="G482" s="681"/>
      <c r="H482" s="618">
        <f>HLOOKUP($D482,cfc,DATA!$A$1+1,FALSE)</f>
        <v>53</v>
      </c>
      <c r="I482" s="619"/>
      <c r="J482" s="619"/>
      <c r="K482" s="620"/>
      <c r="L482" s="618">
        <f>HLOOKUP($D482,cfc,DATA!$B$1+1,FALSE)</f>
        <v>33</v>
      </c>
      <c r="M482" s="673"/>
      <c r="N482" s="673"/>
      <c r="O482" s="674"/>
      <c r="S482" s="61"/>
      <c r="T482" s="61"/>
    </row>
    <row r="483" spans="1:34" ht="15" customHeight="1" x14ac:dyDescent="0.25">
      <c r="A483" s="719"/>
      <c r="B483" s="720"/>
      <c r="C483" s="721"/>
      <c r="D483" s="123" t="s">
        <v>400</v>
      </c>
      <c r="E483" s="708" t="s">
        <v>262</v>
      </c>
      <c r="F483" s="709"/>
      <c r="G483" s="709"/>
      <c r="H483" s="655">
        <f>IF(H478="*","*",H482/H$472)</f>
        <v>0.92982456140350878</v>
      </c>
      <c r="I483" s="656"/>
      <c r="J483" s="656"/>
      <c r="K483" s="657"/>
      <c r="L483" s="675">
        <f>IF(L472="*","*",L482/L$472)</f>
        <v>0.91666666666666663</v>
      </c>
      <c r="M483" s="676"/>
      <c r="N483" s="676"/>
      <c r="O483" s="677"/>
      <c r="S483" s="61"/>
      <c r="T483" s="61"/>
    </row>
    <row r="484" spans="1:34" ht="15" customHeight="1" thickBot="1" x14ac:dyDescent="0.3">
      <c r="A484" s="722"/>
      <c r="B484" s="723"/>
      <c r="C484" s="724"/>
      <c r="D484" s="124"/>
      <c r="E484" s="678" t="s">
        <v>263</v>
      </c>
      <c r="F484" s="679"/>
      <c r="G484" s="679"/>
      <c r="H484" s="744" t="str">
        <f>IF(H483="*","*",IF(H483&lt;0.95,"Lower than required coverage",IF(H483&gt;=0.95,"Required overage or above")))</f>
        <v>Lower than required coverage</v>
      </c>
      <c r="I484" s="745"/>
      <c r="J484" s="745"/>
      <c r="K484" s="746"/>
      <c r="L484" s="842" t="str">
        <f>IF(L483="*","*",IF(L483&lt;0.95,"Lower than required coverage",IF(L483&gt;=0.95,"Required overage or above")))</f>
        <v>Lower than required coverage</v>
      </c>
      <c r="M484" s="843"/>
      <c r="N484" s="843"/>
      <c r="O484" s="844"/>
      <c r="S484" s="61"/>
      <c r="T484" s="61"/>
    </row>
    <row r="485" spans="1:34" ht="19.5" customHeight="1" x14ac:dyDescent="0.25">
      <c r="A485" s="729" t="s">
        <v>118</v>
      </c>
      <c r="B485" s="730"/>
      <c r="C485" s="730"/>
      <c r="D485" s="730"/>
      <c r="E485" s="730"/>
      <c r="F485" s="730"/>
      <c r="G485" s="731"/>
      <c r="H485" s="664" t="str">
        <f>$D$71</f>
        <v>Kingston Buci</v>
      </c>
      <c r="I485" s="665"/>
      <c r="J485" s="665"/>
      <c r="K485" s="666"/>
      <c r="L485" s="856" t="str">
        <f>$J$71</f>
        <v>Stepping Stones</v>
      </c>
      <c r="M485" s="857"/>
      <c r="N485" s="857" t="str">
        <f>$J$71</f>
        <v>Stepping Stones</v>
      </c>
      <c r="O485" s="858"/>
      <c r="S485" s="61"/>
      <c r="T485" s="61"/>
    </row>
    <row r="486" spans="1:34" ht="15" customHeight="1" x14ac:dyDescent="0.25">
      <c r="A486" s="449" t="s">
        <v>405</v>
      </c>
      <c r="B486" s="445"/>
      <c r="C486" s="445"/>
      <c r="D486" s="725" t="s">
        <v>265</v>
      </c>
      <c r="E486" s="726"/>
      <c r="F486" s="726"/>
      <c r="G486" s="727"/>
      <c r="H486" s="661">
        <f>HLOOKUP($A486,cfc,DATA!$A$1+1,FALSE)</f>
        <v>42</v>
      </c>
      <c r="I486" s="662"/>
      <c r="J486" s="662"/>
      <c r="K486" s="663"/>
      <c r="L486" s="661">
        <f>HLOOKUP($A486,cfc,DATA!$B$1+1,FALSE)</f>
        <v>24</v>
      </c>
      <c r="M486" s="662"/>
      <c r="N486" s="662"/>
      <c r="O486" s="808"/>
      <c r="S486" s="61"/>
      <c r="T486" s="61"/>
    </row>
    <row r="487" spans="1:34" ht="15" customHeight="1" x14ac:dyDescent="0.3">
      <c r="A487" s="728" t="s">
        <v>751</v>
      </c>
      <c r="B487" s="720"/>
      <c r="C487" s="721"/>
      <c r="D487" s="450" t="s">
        <v>415</v>
      </c>
      <c r="E487" s="680" t="s">
        <v>261</v>
      </c>
      <c r="F487" s="681"/>
      <c r="G487" s="681"/>
      <c r="H487" s="658">
        <f>HLOOKUP($D487,cfc,DATA!$A$1+1,FALSE)</f>
        <v>41</v>
      </c>
      <c r="I487" s="659"/>
      <c r="J487" s="659"/>
      <c r="K487" s="660"/>
      <c r="L487" s="750">
        <f>HLOOKUP($D487,cfc,DATA!$B$1+1,FALSE)</f>
        <v>24</v>
      </c>
      <c r="M487" s="751"/>
      <c r="N487" s="751"/>
      <c r="O487" s="752"/>
      <c r="S487" s="61"/>
      <c r="T487" s="61"/>
    </row>
    <row r="488" spans="1:34" ht="15" customHeight="1" x14ac:dyDescent="0.3">
      <c r="A488" s="719"/>
      <c r="B488" s="720"/>
      <c r="C488" s="721"/>
      <c r="D488" s="125" t="s">
        <v>416</v>
      </c>
      <c r="E488" s="708" t="s">
        <v>262</v>
      </c>
      <c r="F488" s="709"/>
      <c r="G488" s="709"/>
      <c r="H488" s="675">
        <f>IF(H486="*","*",H487/H486)</f>
        <v>0.97619047619047616</v>
      </c>
      <c r="I488" s="676"/>
      <c r="J488" s="676"/>
      <c r="K488" s="676"/>
      <c r="L488" s="675">
        <f>IF(L486="*","*",L487/L486)</f>
        <v>1</v>
      </c>
      <c r="M488" s="676"/>
      <c r="N488" s="676"/>
      <c r="O488" s="677"/>
      <c r="S488" s="61"/>
      <c r="T488" s="61"/>
    </row>
    <row r="489" spans="1:34" ht="15" customHeight="1" x14ac:dyDescent="0.25">
      <c r="A489" s="722"/>
      <c r="B489" s="723"/>
      <c r="C489" s="724"/>
      <c r="D489" s="124"/>
      <c r="E489" s="678" t="s">
        <v>263</v>
      </c>
      <c r="F489" s="679"/>
      <c r="G489" s="679"/>
      <c r="H489" s="615" t="str">
        <f>IF(H488="*","*",IF(H488&lt;0.95,"Lower than required coverage",IF(H488&gt;=0.95,"Required overage or above")))</f>
        <v>Required overage or above</v>
      </c>
      <c r="I489" s="616"/>
      <c r="J489" s="616"/>
      <c r="K489" s="617"/>
      <c r="L489" s="670" t="str">
        <f>IF(L488="*","*",IF(L488&lt;0.95,"Lower than required coverage",IF(L488&gt;=0.95,"Required overage or above")))</f>
        <v>Required overage or above</v>
      </c>
      <c r="M489" s="671"/>
      <c r="N489" s="671"/>
      <c r="O489" s="672"/>
      <c r="S489" s="61"/>
      <c r="T489" s="61"/>
    </row>
    <row r="490" spans="1:34" ht="15" customHeight="1" x14ac:dyDescent="0.25">
      <c r="A490" s="760" t="s">
        <v>752</v>
      </c>
      <c r="B490" s="717"/>
      <c r="C490" s="718"/>
      <c r="D490" s="123" t="s">
        <v>407</v>
      </c>
      <c r="E490" s="694" t="s">
        <v>261</v>
      </c>
      <c r="F490" s="695"/>
      <c r="G490" s="695"/>
      <c r="H490" s="618">
        <f>HLOOKUP($D490,cfc,DATA!$A$1+1,FALSE)</f>
        <v>41</v>
      </c>
      <c r="I490" s="619"/>
      <c r="J490" s="619"/>
      <c r="K490" s="620"/>
      <c r="L490" s="741">
        <f>HLOOKUP($D490,cfc,DATA!$B$1+1,FALSE)</f>
        <v>24</v>
      </c>
      <c r="M490" s="742"/>
      <c r="N490" s="742"/>
      <c r="O490" s="743"/>
      <c r="S490" s="61"/>
      <c r="T490" s="61"/>
    </row>
    <row r="491" spans="1:34" ht="15" customHeight="1" x14ac:dyDescent="0.25">
      <c r="A491" s="719"/>
      <c r="B491" s="720"/>
      <c r="C491" s="721"/>
      <c r="D491" s="123" t="s">
        <v>408</v>
      </c>
      <c r="E491" s="708" t="s">
        <v>262</v>
      </c>
      <c r="F491" s="709"/>
      <c r="G491" s="709"/>
      <c r="H491" s="655">
        <f>IF(H486="*","*",H490/H486)</f>
        <v>0.97619047619047616</v>
      </c>
      <c r="I491" s="656"/>
      <c r="J491" s="656"/>
      <c r="K491" s="657"/>
      <c r="L491" s="675">
        <f>IF(L486="*","*",L490/L486)</f>
        <v>1</v>
      </c>
      <c r="M491" s="676"/>
      <c r="N491" s="676"/>
      <c r="O491" s="677"/>
      <c r="S491" s="61"/>
      <c r="T491" s="61"/>
    </row>
    <row r="492" spans="1:34" ht="15" customHeight="1" x14ac:dyDescent="0.25">
      <c r="A492" s="722"/>
      <c r="B492" s="723"/>
      <c r="C492" s="724"/>
      <c r="D492" s="124"/>
      <c r="E492" s="678" t="s">
        <v>263</v>
      </c>
      <c r="F492" s="679"/>
      <c r="G492" s="679"/>
      <c r="H492" s="615" t="str">
        <f>IF(H491="*","*",IF(H491&lt;0.95,"Lower than required coverage",IF(H491&gt;=0.95,"Required overage or above")))</f>
        <v>Required overage or above</v>
      </c>
      <c r="I492" s="616"/>
      <c r="J492" s="616"/>
      <c r="K492" s="617"/>
      <c r="L492" s="670" t="str">
        <f>IF(L491="*","*",IF(L491&lt;0.95,"Lower than required coverage",IF(L491&gt;=0.95,"Required overage or above")))</f>
        <v>Required overage or above</v>
      </c>
      <c r="M492" s="671"/>
      <c r="N492" s="671"/>
      <c r="O492" s="672"/>
      <c r="S492" s="61"/>
      <c r="T492" s="61"/>
    </row>
    <row r="493" spans="1:34" s="45" customFormat="1" ht="20.25" customHeight="1" x14ac:dyDescent="0.25">
      <c r="A493" s="760" t="s">
        <v>753</v>
      </c>
      <c r="B493" s="717"/>
      <c r="C493" s="718"/>
      <c r="D493" s="123" t="s">
        <v>412</v>
      </c>
      <c r="E493" s="694" t="s">
        <v>261</v>
      </c>
      <c r="F493" s="695"/>
      <c r="G493" s="695"/>
      <c r="H493" s="618">
        <f>HLOOKUP($D493,cfc,DATA!$A$1+1,FALSE)</f>
        <v>41</v>
      </c>
      <c r="I493" s="619"/>
      <c r="J493" s="619"/>
      <c r="K493" s="620"/>
      <c r="L493" s="741">
        <f>HLOOKUP($D493,cfc,DATA!$B$1+1,FALSE)</f>
        <v>24</v>
      </c>
      <c r="M493" s="742"/>
      <c r="N493" s="742"/>
      <c r="O493" s="743"/>
      <c r="P493" s="9"/>
      <c r="Q493" s="43"/>
      <c r="R493" s="43"/>
      <c r="S493" s="44"/>
      <c r="T493" s="44"/>
      <c r="U493" s="10"/>
      <c r="V493" s="10"/>
      <c r="W493" s="10"/>
      <c r="X493" s="10"/>
      <c r="Y493" s="10"/>
      <c r="Z493" s="10"/>
      <c r="AA493" s="10"/>
      <c r="AB493" s="16"/>
      <c r="AC493" s="16"/>
      <c r="AD493" s="16"/>
      <c r="AE493" s="16"/>
      <c r="AF493" s="16"/>
      <c r="AG493" s="16"/>
      <c r="AH493" s="16"/>
    </row>
    <row r="494" spans="1:34" ht="16.5" customHeight="1" x14ac:dyDescent="0.25">
      <c r="A494" s="719"/>
      <c r="B494" s="720"/>
      <c r="C494" s="721"/>
      <c r="D494" s="123" t="s">
        <v>413</v>
      </c>
      <c r="E494" s="708" t="s">
        <v>262</v>
      </c>
      <c r="F494" s="709"/>
      <c r="G494" s="709"/>
      <c r="H494" s="655">
        <f>IF(H486="*","*",H493/H486)</f>
        <v>0.97619047619047616</v>
      </c>
      <c r="I494" s="656"/>
      <c r="J494" s="656"/>
      <c r="K494" s="657"/>
      <c r="L494" s="675">
        <f>IF(L486="*","*",L493/L486)</f>
        <v>1</v>
      </c>
      <c r="M494" s="676"/>
      <c r="N494" s="676"/>
      <c r="O494" s="677"/>
      <c r="S494" s="61"/>
      <c r="T494" s="61"/>
    </row>
    <row r="495" spans="1:34" ht="12.75" customHeight="1" x14ac:dyDescent="0.25">
      <c r="A495" s="722"/>
      <c r="B495" s="723"/>
      <c r="C495" s="724"/>
      <c r="D495" s="124"/>
      <c r="E495" s="678" t="s">
        <v>263</v>
      </c>
      <c r="F495" s="679"/>
      <c r="G495" s="679"/>
      <c r="H495" s="615" t="str">
        <f>IF(H494="*","*",IF(H494&lt;0.95,"Lower than required coverage",IF(H494&gt;=0.95,"Required overage or above")))</f>
        <v>Required overage or above</v>
      </c>
      <c r="I495" s="616"/>
      <c r="J495" s="616"/>
      <c r="K495" s="617"/>
      <c r="L495" s="670" t="str">
        <f>IF(L494="*","*",IF(L494&lt;0.95,"Lower than required coverage",IF(L494&gt;=0.95,"Required overage or above")))</f>
        <v>Required overage or above</v>
      </c>
      <c r="M495" s="671"/>
      <c r="N495" s="671"/>
      <c r="O495" s="672"/>
      <c r="S495" s="61"/>
      <c r="T495" s="61"/>
    </row>
    <row r="496" spans="1:34" ht="15" customHeight="1" x14ac:dyDescent="0.25">
      <c r="A496" s="760" t="s">
        <v>754</v>
      </c>
      <c r="B496" s="717"/>
      <c r="C496" s="718"/>
      <c r="D496" s="123" t="s">
        <v>410</v>
      </c>
      <c r="E496" s="694" t="s">
        <v>261</v>
      </c>
      <c r="F496" s="695"/>
      <c r="G496" s="695"/>
      <c r="H496" s="618">
        <f>HLOOKUP($D496,cfc,DATA!$A$1+1,FALSE)</f>
        <v>41</v>
      </c>
      <c r="I496" s="619"/>
      <c r="J496" s="619"/>
      <c r="K496" s="620"/>
      <c r="L496" s="741">
        <f>HLOOKUP($D496,cfc,DATA!$B$1+1,FALSE)</f>
        <v>24</v>
      </c>
      <c r="M496" s="742"/>
      <c r="N496" s="742"/>
      <c r="O496" s="743"/>
      <c r="S496" s="61"/>
      <c r="T496" s="61"/>
    </row>
    <row r="497" spans="1:34" ht="15" customHeight="1" x14ac:dyDescent="0.25">
      <c r="A497" s="719"/>
      <c r="B497" s="720"/>
      <c r="C497" s="721"/>
      <c r="D497" s="123" t="s">
        <v>411</v>
      </c>
      <c r="E497" s="708" t="s">
        <v>262</v>
      </c>
      <c r="F497" s="709"/>
      <c r="G497" s="709"/>
      <c r="H497" s="655">
        <f>IF(H486="*","*",H496/H486)</f>
        <v>0.97619047619047616</v>
      </c>
      <c r="I497" s="656"/>
      <c r="J497" s="656"/>
      <c r="K497" s="657"/>
      <c r="L497" s="675">
        <f>IF(L486="*","*",L496/L486)</f>
        <v>1</v>
      </c>
      <c r="M497" s="676"/>
      <c r="N497" s="676"/>
      <c r="O497" s="677"/>
      <c r="P497" s="16"/>
      <c r="Q497" s="14"/>
      <c r="R497" s="14"/>
      <c r="S497" s="14"/>
      <c r="T497" s="14"/>
      <c r="U497" s="16"/>
      <c r="V497" s="16"/>
      <c r="W497" s="16"/>
      <c r="X497" s="16"/>
      <c r="Y497" s="16"/>
      <c r="Z497" s="16"/>
      <c r="AA497" s="16"/>
    </row>
    <row r="498" spans="1:34" ht="15" customHeight="1" x14ac:dyDescent="0.25">
      <c r="A498" s="722"/>
      <c r="B498" s="723"/>
      <c r="C498" s="724"/>
      <c r="D498" s="124"/>
      <c r="E498" s="678" t="s">
        <v>263</v>
      </c>
      <c r="F498" s="679"/>
      <c r="G498" s="679"/>
      <c r="H498" s="615" t="str">
        <f>IF(H497="*","*",IF(H497&lt;0.95,"Lower than required coverage",IF(H497&gt;=0.95,"Required overage or above")))</f>
        <v>Required overage or above</v>
      </c>
      <c r="I498" s="616"/>
      <c r="J498" s="616"/>
      <c r="K498" s="617"/>
      <c r="L498" s="670" t="str">
        <f>IF(L497="*","*",IF(L497&lt;0.95,"Lower than required coverage",IF(L497&gt;=0.95,"Required overage or above")))</f>
        <v>Required overage or above</v>
      </c>
      <c r="M498" s="671"/>
      <c r="N498" s="671"/>
      <c r="O498" s="672"/>
      <c r="P498" s="16"/>
      <c r="Q498" s="14"/>
      <c r="R498" s="14"/>
      <c r="S498" s="14"/>
      <c r="T498" s="14"/>
      <c r="U498" s="16"/>
      <c r="V498" s="16"/>
      <c r="W498" s="16"/>
      <c r="X498" s="16"/>
      <c r="Y498" s="16"/>
      <c r="Z498" s="16"/>
      <c r="AA498" s="16"/>
    </row>
    <row r="499" spans="1:34" ht="15" customHeight="1" x14ac:dyDescent="0.25">
      <c r="A499" s="728" t="s">
        <v>755</v>
      </c>
      <c r="B499" s="720"/>
      <c r="C499" s="721"/>
      <c r="D499" s="123" t="s">
        <v>409</v>
      </c>
      <c r="E499" s="694" t="s">
        <v>261</v>
      </c>
      <c r="F499" s="695"/>
      <c r="G499" s="695"/>
      <c r="H499" s="618">
        <f>HLOOKUP($D499,cfc,DATA!$A$1+1,FALSE)</f>
        <v>40</v>
      </c>
      <c r="I499" s="619"/>
      <c r="J499" s="619"/>
      <c r="K499" s="620"/>
      <c r="L499" s="741">
        <f>HLOOKUP($D499,cfc,DATA!$B$1+1,FALSE)</f>
        <v>22</v>
      </c>
      <c r="M499" s="742"/>
      <c r="N499" s="742"/>
      <c r="O499" s="743"/>
      <c r="P499" s="16"/>
      <c r="Q499" s="14"/>
      <c r="R499" s="14"/>
      <c r="S499" s="14"/>
      <c r="T499" s="14"/>
      <c r="U499" s="16"/>
      <c r="V499" s="16"/>
      <c r="W499" s="16"/>
      <c r="X499" s="16"/>
      <c r="Y499" s="16"/>
      <c r="Z499" s="16"/>
      <c r="AA499" s="16"/>
    </row>
    <row r="500" spans="1:34" ht="15" customHeight="1" x14ac:dyDescent="0.25">
      <c r="A500" s="719"/>
      <c r="B500" s="720"/>
      <c r="C500" s="721"/>
      <c r="D500" s="123"/>
      <c r="E500" s="708" t="s">
        <v>262</v>
      </c>
      <c r="F500" s="709"/>
      <c r="G500" s="709"/>
      <c r="H500" s="655">
        <f>IF(H486="*","*",H499/H486)</f>
        <v>0.95238095238095233</v>
      </c>
      <c r="I500" s="656"/>
      <c r="J500" s="656"/>
      <c r="K500" s="657"/>
      <c r="L500" s="675">
        <f>IF(L486="*","*",L499/L486)</f>
        <v>0.91666666666666663</v>
      </c>
      <c r="M500" s="676"/>
      <c r="N500" s="676"/>
      <c r="O500" s="677"/>
      <c r="P500" s="16"/>
      <c r="Q500" s="14"/>
      <c r="R500" s="14"/>
      <c r="S500" s="14"/>
      <c r="T500" s="14"/>
      <c r="U500" s="16"/>
      <c r="V500" s="16"/>
      <c r="W500" s="16"/>
      <c r="X500" s="16"/>
      <c r="Y500" s="16"/>
      <c r="Z500" s="16"/>
      <c r="AA500" s="16"/>
    </row>
    <row r="501" spans="1:34" ht="15" customHeight="1" x14ac:dyDescent="0.25">
      <c r="A501" s="722"/>
      <c r="B501" s="723"/>
      <c r="C501" s="724"/>
      <c r="D501" s="124"/>
      <c r="E501" s="678" t="s">
        <v>263</v>
      </c>
      <c r="F501" s="679"/>
      <c r="G501" s="679"/>
      <c r="H501" s="696" t="str">
        <f>IF(H500="*","*",IF(H500&lt;0.95,"Lower than required coverage",IF(H500&gt;=0.95,"Required overage or above")))</f>
        <v>Required overage or above</v>
      </c>
      <c r="I501" s="697"/>
      <c r="J501" s="697"/>
      <c r="K501" s="698"/>
      <c r="L501" s="670" t="str">
        <f>IF(L500="*","*",IF(L500&lt;0.95,"Lower than required coverage",IF(L500&gt;=0.95,"Required overage or above")))</f>
        <v>Lower than required coverage</v>
      </c>
      <c r="M501" s="671"/>
      <c r="N501" s="671"/>
      <c r="O501" s="672"/>
      <c r="P501" s="16"/>
      <c r="Q501" s="14"/>
      <c r="R501" s="14"/>
      <c r="S501" s="14"/>
      <c r="T501" s="14"/>
      <c r="U501" s="16"/>
      <c r="V501" s="16"/>
      <c r="W501" s="16"/>
      <c r="X501" s="16"/>
      <c r="Y501" s="16"/>
      <c r="Z501" s="16"/>
      <c r="AA501" s="16"/>
    </row>
    <row r="502" spans="1:34" ht="15" customHeight="1" x14ac:dyDescent="0.25">
      <c r="A502" s="759" t="s">
        <v>756</v>
      </c>
      <c r="B502" s="720"/>
      <c r="C502" s="721"/>
      <c r="D502" s="123" t="s">
        <v>406</v>
      </c>
      <c r="E502" s="694" t="s">
        <v>261</v>
      </c>
      <c r="F502" s="695"/>
      <c r="G502" s="695"/>
      <c r="H502" s="658">
        <f>HLOOKUP($D502,cfc,DATA!$A$1+1,FALSE)</f>
        <v>40</v>
      </c>
      <c r="I502" s="659"/>
      <c r="J502" s="659"/>
      <c r="K502" s="660"/>
      <c r="L502" s="741">
        <f>HLOOKUP($D502,cfc,DATA!$B$1+1,FALSE)</f>
        <v>24</v>
      </c>
      <c r="M502" s="742"/>
      <c r="N502" s="742"/>
      <c r="O502" s="743"/>
      <c r="P502" s="16"/>
      <c r="Q502" s="14"/>
      <c r="R502" s="14"/>
      <c r="S502" s="14"/>
      <c r="T502" s="14"/>
      <c r="U502" s="16"/>
      <c r="V502" s="16"/>
      <c r="W502" s="16"/>
      <c r="X502" s="16"/>
      <c r="Y502" s="16"/>
      <c r="Z502" s="16"/>
      <c r="AA502" s="16"/>
    </row>
    <row r="503" spans="1:34" ht="15" customHeight="1" x14ac:dyDescent="0.25">
      <c r="A503" s="719"/>
      <c r="B503" s="720"/>
      <c r="C503" s="721"/>
      <c r="D503" s="123"/>
      <c r="E503" s="708" t="s">
        <v>262</v>
      </c>
      <c r="F503" s="709"/>
      <c r="G503" s="709"/>
      <c r="H503" s="655">
        <f>IF(H486="*","*",H502/H486)</f>
        <v>0.95238095238095233</v>
      </c>
      <c r="I503" s="656"/>
      <c r="J503" s="656"/>
      <c r="K503" s="657"/>
      <c r="L503" s="675">
        <f>IF(L486="*","*",L502/L486)</f>
        <v>1</v>
      </c>
      <c r="M503" s="676"/>
      <c r="N503" s="676"/>
      <c r="O503" s="677"/>
      <c r="P503" s="16"/>
      <c r="Q503" s="14"/>
      <c r="R503" s="14"/>
      <c r="S503" s="14"/>
      <c r="T503" s="14"/>
      <c r="U503" s="16"/>
      <c r="V503" s="16"/>
      <c r="W503" s="16"/>
      <c r="X503" s="16"/>
      <c r="Y503" s="16"/>
      <c r="Z503" s="16"/>
      <c r="AA503" s="16"/>
    </row>
    <row r="504" spans="1:34" ht="15" customHeight="1" x14ac:dyDescent="0.25">
      <c r="A504" s="722"/>
      <c r="B504" s="723"/>
      <c r="C504" s="724"/>
      <c r="D504" s="124"/>
      <c r="E504" s="678" t="s">
        <v>263</v>
      </c>
      <c r="F504" s="679"/>
      <c r="G504" s="679"/>
      <c r="H504" s="615" t="str">
        <f>IF(H503="*","*",IF(H503&lt;0.95,"Lower than required coverage",IF(H503&gt;=0.95,"Required overage or above")))</f>
        <v>Required overage or above</v>
      </c>
      <c r="I504" s="616"/>
      <c r="J504" s="616"/>
      <c r="K504" s="617"/>
      <c r="L504" s="670" t="str">
        <f>IF(L503="*","*",IF(L503&lt;0.95,"Lower than required coverage",IF(L503&gt;=0.95,"Required overage or above")))</f>
        <v>Required overage or above</v>
      </c>
      <c r="M504" s="671"/>
      <c r="N504" s="671"/>
      <c r="O504" s="672"/>
      <c r="P504" s="16"/>
      <c r="Q504" s="14"/>
      <c r="R504" s="14"/>
      <c r="S504" s="14"/>
      <c r="T504" s="14"/>
      <c r="U504" s="16"/>
      <c r="V504" s="16"/>
      <c r="W504" s="16"/>
      <c r="X504" s="16"/>
      <c r="Y504" s="16"/>
      <c r="Z504" s="16"/>
      <c r="AA504" s="16"/>
    </row>
    <row r="505" spans="1:34" ht="15" customHeight="1" x14ac:dyDescent="0.25">
      <c r="A505" s="728" t="s">
        <v>757</v>
      </c>
      <c r="B505" s="720"/>
      <c r="C505" s="721"/>
      <c r="D505" s="123" t="s">
        <v>414</v>
      </c>
      <c r="E505" s="694" t="s">
        <v>261</v>
      </c>
      <c r="F505" s="695"/>
      <c r="G505" s="695"/>
      <c r="H505" s="618">
        <f>HLOOKUP($D505,cfc,DATA!$A$1+1,FALSE)</f>
        <v>40</v>
      </c>
      <c r="I505" s="619"/>
      <c r="J505" s="619"/>
      <c r="K505" s="620"/>
      <c r="L505" s="741">
        <f>HLOOKUP($D505,cfc,DATA!$B$1+1,FALSE)</f>
        <v>22</v>
      </c>
      <c r="M505" s="742"/>
      <c r="N505" s="742"/>
      <c r="O505" s="743"/>
      <c r="P505" s="16"/>
      <c r="Q505" s="14"/>
      <c r="R505" s="14"/>
      <c r="S505" s="14"/>
      <c r="T505" s="14"/>
      <c r="U505" s="16"/>
      <c r="V505" s="16"/>
      <c r="W505" s="16"/>
      <c r="X505" s="16"/>
      <c r="Y505" s="16"/>
      <c r="Z505" s="16"/>
      <c r="AA505" s="16"/>
    </row>
    <row r="506" spans="1:34" ht="15" customHeight="1" x14ac:dyDescent="0.25">
      <c r="A506" s="719"/>
      <c r="B506" s="720"/>
      <c r="C506" s="721"/>
      <c r="D506" s="123"/>
      <c r="E506" s="708" t="s">
        <v>262</v>
      </c>
      <c r="F506" s="709"/>
      <c r="G506" s="709"/>
      <c r="H506" s="655">
        <f>IF(H486="*","*",H505/H486)</f>
        <v>0.95238095238095233</v>
      </c>
      <c r="I506" s="656"/>
      <c r="J506" s="656"/>
      <c r="K506" s="657"/>
      <c r="L506" s="675">
        <f>IF(L486="*","*",L505/L486)</f>
        <v>0.91666666666666663</v>
      </c>
      <c r="M506" s="676"/>
      <c r="N506" s="676"/>
      <c r="O506" s="677"/>
      <c r="P506" s="16"/>
      <c r="Q506" s="14"/>
      <c r="R506" s="14"/>
      <c r="S506" s="14"/>
      <c r="T506" s="14"/>
      <c r="U506" s="16"/>
      <c r="V506" s="16"/>
      <c r="W506" s="16"/>
      <c r="X506" s="16"/>
      <c r="Y506" s="16"/>
      <c r="Z506" s="16"/>
      <c r="AA506" s="16"/>
    </row>
    <row r="507" spans="1:34" ht="15" customHeight="1" x14ac:dyDescent="0.25">
      <c r="A507" s="722"/>
      <c r="B507" s="723"/>
      <c r="C507" s="724"/>
      <c r="D507" s="124"/>
      <c r="E507" s="678" t="s">
        <v>263</v>
      </c>
      <c r="F507" s="679"/>
      <c r="G507" s="679"/>
      <c r="H507" s="696" t="str">
        <f>IF(H506="*","*",IF(H506&lt;0.95,"Lower than required coverage",IF(H506&gt;=0.95,"Required overage or above")))</f>
        <v>Required overage or above</v>
      </c>
      <c r="I507" s="697"/>
      <c r="J507" s="697"/>
      <c r="K507" s="698"/>
      <c r="L507" s="747" t="str">
        <f>IF(L506="*","*",IF(L506&lt;0.95,"Lower than required coverage",IF(L506&gt;=0.95,"Required overage or above")))</f>
        <v>Lower than required coverage</v>
      </c>
      <c r="M507" s="748"/>
      <c r="N507" s="748"/>
      <c r="O507" s="749"/>
      <c r="P507" s="16"/>
      <c r="Q507" s="14"/>
      <c r="R507" s="14"/>
      <c r="S507" s="14"/>
      <c r="T507" s="14"/>
      <c r="U507" s="16"/>
      <c r="V507" s="16"/>
      <c r="W507" s="16"/>
      <c r="X507" s="16"/>
      <c r="Y507" s="16"/>
      <c r="Z507" s="16"/>
      <c r="AA507" s="16"/>
    </row>
    <row r="508" spans="1:34" s="20" customFormat="1" ht="15" customHeight="1" x14ac:dyDescent="0.25">
      <c r="A508" s="802" t="s">
        <v>159</v>
      </c>
      <c r="B508" s="803"/>
      <c r="C508" s="803"/>
      <c r="D508" s="803"/>
      <c r="E508" s="803"/>
      <c r="F508" s="803"/>
      <c r="G508" s="803"/>
      <c r="H508" s="803"/>
      <c r="I508" s="803"/>
      <c r="J508" s="803"/>
      <c r="K508" s="803"/>
      <c r="L508" s="803"/>
      <c r="M508" s="803"/>
      <c r="N508" s="803"/>
      <c r="O508" s="804"/>
      <c r="P508" s="16"/>
      <c r="U508" s="16"/>
      <c r="V508" s="16"/>
      <c r="W508" s="16"/>
      <c r="X508" s="16"/>
      <c r="Y508" s="16"/>
      <c r="Z508" s="16"/>
      <c r="AA508" s="16"/>
      <c r="AB508" s="16"/>
      <c r="AC508" s="16"/>
      <c r="AD508" s="16"/>
      <c r="AE508" s="16"/>
      <c r="AF508" s="16"/>
      <c r="AG508" s="16"/>
      <c r="AH508" s="16"/>
    </row>
    <row r="509" spans="1:34" ht="20.25" customHeight="1" x14ac:dyDescent="0.25">
      <c r="A509" s="1412" t="s">
        <v>522</v>
      </c>
      <c r="B509" s="1413"/>
      <c r="C509" s="1413"/>
      <c r="D509" s="1413"/>
      <c r="E509" s="1413"/>
      <c r="F509" s="1413"/>
      <c r="G509" s="1414"/>
      <c r="H509" s="1415" t="str">
        <f>$D$71</f>
        <v>Kingston Buci</v>
      </c>
      <c r="I509" s="1416"/>
      <c r="J509" s="1416"/>
      <c r="K509" s="1417"/>
      <c r="L509" s="805" t="str">
        <f>$J$71</f>
        <v>Stepping Stones</v>
      </c>
      <c r="M509" s="806"/>
      <c r="N509" s="806" t="str">
        <f>$J$71</f>
        <v>Stepping Stones</v>
      </c>
      <c r="O509" s="807"/>
      <c r="P509" s="16"/>
      <c r="Q509" s="14"/>
      <c r="R509" s="14"/>
      <c r="S509" s="14"/>
      <c r="T509" s="14"/>
      <c r="U509" s="16"/>
      <c r="V509" s="16"/>
      <c r="W509" s="16"/>
      <c r="X509" s="16"/>
      <c r="Y509" s="16"/>
      <c r="Z509" s="16"/>
      <c r="AA509" s="16"/>
    </row>
    <row r="510" spans="1:34" ht="15" customHeight="1" x14ac:dyDescent="0.25">
      <c r="A510" s="126" t="s">
        <v>417</v>
      </c>
      <c r="B510" s="451"/>
      <c r="C510" s="390"/>
      <c r="D510" s="1411" t="s">
        <v>150</v>
      </c>
      <c r="E510" s="464"/>
      <c r="F510" s="464"/>
      <c r="G510" s="1126"/>
      <c r="H510" s="1431">
        <f>HLOOKUP($A510,cfc,DATA!$A$1+1,FALSE)</f>
        <v>41</v>
      </c>
      <c r="I510" s="662"/>
      <c r="J510" s="662"/>
      <c r="K510" s="663"/>
      <c r="L510" s="661">
        <f>HLOOKUP($A510,cfc,DATA!$B$1+1,FALSE)</f>
        <v>30</v>
      </c>
      <c r="M510" s="662"/>
      <c r="N510" s="662"/>
      <c r="O510" s="808"/>
      <c r="P510" s="16"/>
      <c r="Q510" s="14"/>
      <c r="R510" s="14"/>
      <c r="S510" s="14"/>
      <c r="T510" s="14"/>
      <c r="U510" s="16"/>
      <c r="V510" s="16"/>
      <c r="W510" s="16"/>
      <c r="X510" s="16"/>
      <c r="Y510" s="16"/>
      <c r="Z510" s="16"/>
      <c r="AA510" s="16"/>
    </row>
    <row r="511" spans="1:34" ht="15" customHeight="1" x14ac:dyDescent="0.25">
      <c r="A511" s="728" t="s">
        <v>758</v>
      </c>
      <c r="B511" s="720"/>
      <c r="C511" s="721"/>
      <c r="D511" s="123" t="s">
        <v>426</v>
      </c>
      <c r="E511" s="694" t="s">
        <v>261</v>
      </c>
      <c r="F511" s="695"/>
      <c r="G511" s="695"/>
      <c r="H511" s="658">
        <f>HLOOKUP($D511,cfc,DATA!$A$1+1,FALSE)</f>
        <v>38</v>
      </c>
      <c r="I511" s="659"/>
      <c r="J511" s="659"/>
      <c r="K511" s="660"/>
      <c r="L511" s="750">
        <f>HLOOKUP($D511,cfc,DATA!$B$1+1,FALSE)</f>
        <v>30</v>
      </c>
      <c r="M511" s="751"/>
      <c r="N511" s="751"/>
      <c r="O511" s="752"/>
      <c r="P511" s="16"/>
      <c r="Q511" s="14"/>
      <c r="R511" s="14"/>
      <c r="S511" s="14"/>
      <c r="T511" s="14"/>
      <c r="U511" s="16"/>
      <c r="V511" s="16"/>
      <c r="W511" s="16"/>
      <c r="X511" s="16"/>
      <c r="Y511" s="16"/>
      <c r="Z511" s="16"/>
      <c r="AA511" s="16"/>
    </row>
    <row r="512" spans="1:34" ht="15" customHeight="1" x14ac:dyDescent="0.25">
      <c r="A512" s="719"/>
      <c r="B512" s="720"/>
      <c r="C512" s="721"/>
      <c r="D512" s="123"/>
      <c r="E512" s="708" t="s">
        <v>262</v>
      </c>
      <c r="F512" s="709"/>
      <c r="G512" s="709"/>
      <c r="H512" s="655">
        <f>IF(H510="*","*",H511/H510)</f>
        <v>0.92682926829268297</v>
      </c>
      <c r="I512" s="656"/>
      <c r="J512" s="656"/>
      <c r="K512" s="657"/>
      <c r="L512" s="675">
        <f>IF(L510="*","*",L511/L510)</f>
        <v>1</v>
      </c>
      <c r="M512" s="676"/>
      <c r="N512" s="676"/>
      <c r="O512" s="677"/>
      <c r="P512" s="16"/>
      <c r="Q512" s="14"/>
      <c r="R512" s="14"/>
      <c r="S512" s="14"/>
      <c r="T512" s="14"/>
      <c r="U512" s="16"/>
      <c r="V512" s="16"/>
      <c r="W512" s="16"/>
      <c r="X512" s="16"/>
      <c r="Y512" s="16"/>
      <c r="Z512" s="16"/>
      <c r="AA512" s="16"/>
    </row>
    <row r="513" spans="1:27" ht="15" customHeight="1" x14ac:dyDescent="0.25">
      <c r="A513" s="722"/>
      <c r="B513" s="723"/>
      <c r="C513" s="724"/>
      <c r="D513" s="124"/>
      <c r="E513" s="678" t="s">
        <v>263</v>
      </c>
      <c r="F513" s="679"/>
      <c r="G513" s="679"/>
      <c r="H513" s="615" t="str">
        <f>IF(H512="*","*",IF(H512&lt;0.95,"Lower than required coverage",IF(H512&gt;=0.95,"Required overage or above")))</f>
        <v>Lower than required coverage</v>
      </c>
      <c r="I513" s="616"/>
      <c r="J513" s="616"/>
      <c r="K513" s="617"/>
      <c r="L513" s="670" t="str">
        <f>IF(L512="*","*",IF(L512&lt;0.95,"Lower than required coverage",IF(L512&gt;=0.95,"Required overage or above")))</f>
        <v>Required overage or above</v>
      </c>
      <c r="M513" s="671"/>
      <c r="N513" s="671"/>
      <c r="O513" s="672"/>
      <c r="P513" s="16"/>
      <c r="Q513" s="14"/>
      <c r="R513" s="14"/>
      <c r="S513" s="14"/>
      <c r="T513" s="14"/>
      <c r="U513" s="16"/>
      <c r="V513" s="16"/>
      <c r="W513" s="16"/>
      <c r="X513" s="16"/>
      <c r="Y513" s="16"/>
      <c r="Z513" s="16"/>
      <c r="AA513" s="16"/>
    </row>
    <row r="514" spans="1:27" ht="15" customHeight="1" x14ac:dyDescent="0.25">
      <c r="A514" s="760" t="s">
        <v>759</v>
      </c>
      <c r="B514" s="717"/>
      <c r="C514" s="718"/>
      <c r="D514" s="123" t="s">
        <v>419</v>
      </c>
      <c r="E514" s="694" t="s">
        <v>261</v>
      </c>
      <c r="F514" s="695"/>
      <c r="G514" s="695"/>
      <c r="H514" s="618">
        <f>HLOOKUP($D514,cfc,DATA!$A$1+1,FALSE)</f>
        <v>37</v>
      </c>
      <c r="I514" s="619"/>
      <c r="J514" s="619"/>
      <c r="K514" s="620"/>
      <c r="L514" s="741">
        <f>HLOOKUP($D514,cfc,DATA!$B$1+1,FALSE)</f>
        <v>30</v>
      </c>
      <c r="M514" s="742"/>
      <c r="N514" s="742"/>
      <c r="O514" s="743"/>
      <c r="P514" s="16"/>
      <c r="Q514" s="14"/>
      <c r="R514" s="14"/>
      <c r="S514" s="14"/>
      <c r="T514" s="14"/>
      <c r="U514" s="16"/>
      <c r="V514" s="16"/>
      <c r="W514" s="16"/>
      <c r="X514" s="16"/>
      <c r="Y514" s="16"/>
      <c r="Z514" s="16"/>
      <c r="AA514" s="16"/>
    </row>
    <row r="515" spans="1:27" ht="15" customHeight="1" x14ac:dyDescent="0.25">
      <c r="A515" s="719"/>
      <c r="B515" s="720"/>
      <c r="C515" s="721"/>
      <c r="D515" s="123"/>
      <c r="E515" s="708" t="s">
        <v>262</v>
      </c>
      <c r="F515" s="709"/>
      <c r="G515" s="709"/>
      <c r="H515" s="655">
        <f>IF(H510="*","*",H514/H510)</f>
        <v>0.90243902439024393</v>
      </c>
      <c r="I515" s="656"/>
      <c r="J515" s="656"/>
      <c r="K515" s="657"/>
      <c r="L515" s="675">
        <f>IF(L510="*","*",L514/L510)</f>
        <v>1</v>
      </c>
      <c r="M515" s="676"/>
      <c r="N515" s="676"/>
      <c r="O515" s="677"/>
      <c r="P515" s="16"/>
      <c r="Q515" s="14"/>
      <c r="R515" s="14"/>
      <c r="S515" s="14"/>
      <c r="T515" s="14"/>
      <c r="U515" s="16"/>
      <c r="V515" s="16"/>
      <c r="W515" s="16"/>
      <c r="X515" s="16"/>
      <c r="Y515" s="16"/>
      <c r="Z515" s="16"/>
      <c r="AA515" s="16"/>
    </row>
    <row r="516" spans="1:27" ht="15" customHeight="1" x14ac:dyDescent="0.25">
      <c r="A516" s="722"/>
      <c r="B516" s="723"/>
      <c r="C516" s="724"/>
      <c r="D516" s="124"/>
      <c r="E516" s="678" t="s">
        <v>263</v>
      </c>
      <c r="F516" s="679"/>
      <c r="G516" s="679"/>
      <c r="H516" s="615" t="str">
        <f>IF(H515="*","*",IF(H515&lt;0.95,"Lower than required coverage",IF(H515&gt;=0.95,"Required overage or above")))</f>
        <v>Lower than required coverage</v>
      </c>
      <c r="I516" s="616"/>
      <c r="J516" s="616"/>
      <c r="K516" s="617"/>
      <c r="L516" s="670" t="str">
        <f>IF(L515="*","*",IF(L515&lt;0.95,"Lower than required coverage",IF(L515&gt;=0.95,"Required overage or above")))</f>
        <v>Required overage or above</v>
      </c>
      <c r="M516" s="671"/>
      <c r="N516" s="671"/>
      <c r="O516" s="672"/>
      <c r="P516" s="16"/>
      <c r="Q516" s="14"/>
      <c r="R516" s="14"/>
      <c r="S516" s="14"/>
      <c r="T516" s="14"/>
      <c r="U516" s="16"/>
      <c r="V516" s="16"/>
      <c r="W516" s="16"/>
      <c r="X516" s="16"/>
      <c r="Y516" s="16"/>
      <c r="Z516" s="16"/>
      <c r="AA516" s="16"/>
    </row>
    <row r="517" spans="1:27" ht="15" customHeight="1" x14ac:dyDescent="0.25">
      <c r="A517" s="760" t="s">
        <v>760</v>
      </c>
      <c r="B517" s="717"/>
      <c r="C517" s="718"/>
      <c r="D517" s="123" t="s">
        <v>422</v>
      </c>
      <c r="E517" s="694" t="s">
        <v>261</v>
      </c>
      <c r="F517" s="695"/>
      <c r="G517" s="695"/>
      <c r="H517" s="618">
        <f>HLOOKUP($D517,cfc,DATA!$A$1+1,FALSE)</f>
        <v>38</v>
      </c>
      <c r="I517" s="619"/>
      <c r="J517" s="619"/>
      <c r="K517" s="620"/>
      <c r="L517" s="741">
        <f>HLOOKUP($D517,cfc,DATA!$B$1+1,FALSE)</f>
        <v>30</v>
      </c>
      <c r="M517" s="742"/>
      <c r="N517" s="742"/>
      <c r="O517" s="743"/>
      <c r="P517" s="16"/>
      <c r="Q517" s="14"/>
      <c r="R517" s="14"/>
      <c r="S517" s="14"/>
      <c r="T517" s="14"/>
      <c r="U517" s="16"/>
      <c r="V517" s="16"/>
      <c r="W517" s="16"/>
      <c r="X517" s="16"/>
      <c r="Y517" s="16"/>
      <c r="Z517" s="16"/>
      <c r="AA517" s="16"/>
    </row>
    <row r="518" spans="1:27" ht="15" customHeight="1" x14ac:dyDescent="0.25">
      <c r="A518" s="719"/>
      <c r="B518" s="720"/>
      <c r="C518" s="721"/>
      <c r="D518" s="123"/>
      <c r="E518" s="708" t="s">
        <v>262</v>
      </c>
      <c r="F518" s="709"/>
      <c r="G518" s="709"/>
      <c r="H518" s="655">
        <f>IF(H510="*","*",H517/H510)</f>
        <v>0.92682926829268297</v>
      </c>
      <c r="I518" s="656"/>
      <c r="J518" s="656"/>
      <c r="K518" s="657"/>
      <c r="L518" s="675">
        <f>IF(L510="*","*",L517/L510)</f>
        <v>1</v>
      </c>
      <c r="M518" s="676"/>
      <c r="N518" s="676"/>
      <c r="O518" s="677"/>
      <c r="P518" s="16"/>
      <c r="Q518" s="14"/>
      <c r="R518" s="14"/>
      <c r="S518" s="14"/>
      <c r="T518" s="14"/>
      <c r="U518" s="16"/>
      <c r="V518" s="16"/>
      <c r="W518" s="16"/>
      <c r="X518" s="16"/>
      <c r="Y518" s="16"/>
      <c r="Z518" s="16"/>
      <c r="AA518" s="16"/>
    </row>
    <row r="519" spans="1:27" ht="15" customHeight="1" x14ac:dyDescent="0.25">
      <c r="A519" s="722"/>
      <c r="B519" s="723"/>
      <c r="C519" s="724"/>
      <c r="D519" s="124"/>
      <c r="E519" s="678" t="s">
        <v>263</v>
      </c>
      <c r="F519" s="679"/>
      <c r="G519" s="679"/>
      <c r="H519" s="615" t="str">
        <f>IF(H518="*","*",IF(H518&lt;0.95,"Lower than required coverage",IF(H518&gt;=0.95,"Required overage or above")))</f>
        <v>Lower than required coverage</v>
      </c>
      <c r="I519" s="616"/>
      <c r="J519" s="616"/>
      <c r="K519" s="617"/>
      <c r="L519" s="670" t="str">
        <f>IF(L518="*","*",IF(L518&lt;0.95,"Lower than required coverage",IF(L518&gt;=0.95,"Required overage or above")))</f>
        <v>Required overage or above</v>
      </c>
      <c r="M519" s="671"/>
      <c r="N519" s="671"/>
      <c r="O519" s="672"/>
      <c r="P519" s="16"/>
      <c r="Q519" s="14"/>
      <c r="R519" s="14"/>
      <c r="S519" s="14"/>
      <c r="T519" s="14"/>
      <c r="U519" s="16"/>
      <c r="V519" s="16"/>
      <c r="W519" s="16"/>
      <c r="X519" s="16"/>
      <c r="Y519" s="16"/>
      <c r="Z519" s="16"/>
      <c r="AA519" s="16"/>
    </row>
    <row r="520" spans="1:27" ht="15" customHeight="1" x14ac:dyDescent="0.25">
      <c r="A520" s="760" t="s">
        <v>761</v>
      </c>
      <c r="B520" s="717"/>
      <c r="C520" s="718"/>
      <c r="D520" s="123" t="s">
        <v>421</v>
      </c>
      <c r="E520" s="694" t="s">
        <v>261</v>
      </c>
      <c r="F520" s="695"/>
      <c r="G520" s="695"/>
      <c r="H520" s="618">
        <f>HLOOKUP($D520,cfc,DATA!$A$1+1,FALSE)</f>
        <v>37</v>
      </c>
      <c r="I520" s="619"/>
      <c r="J520" s="619"/>
      <c r="K520" s="620"/>
      <c r="L520" s="741">
        <f>HLOOKUP($D520,cfc,DATA!$B$1+1,FALSE)</f>
        <v>30</v>
      </c>
      <c r="M520" s="742"/>
      <c r="N520" s="742"/>
      <c r="O520" s="743"/>
      <c r="P520" s="16"/>
      <c r="Q520" s="14"/>
      <c r="R520" s="14"/>
      <c r="S520" s="14"/>
      <c r="T520" s="14"/>
      <c r="U520" s="16"/>
      <c r="V520" s="16"/>
      <c r="W520" s="16"/>
      <c r="X520" s="16"/>
      <c r="Y520" s="16"/>
      <c r="Z520" s="16"/>
      <c r="AA520" s="16"/>
    </row>
    <row r="521" spans="1:27" ht="15" customHeight="1" x14ac:dyDescent="0.25">
      <c r="A521" s="719"/>
      <c r="B521" s="720"/>
      <c r="C521" s="721"/>
      <c r="D521" s="123"/>
      <c r="E521" s="708" t="s">
        <v>262</v>
      </c>
      <c r="F521" s="709"/>
      <c r="G521" s="709"/>
      <c r="H521" s="655">
        <f>IF(H510="*","*",H520/H510)</f>
        <v>0.90243902439024393</v>
      </c>
      <c r="I521" s="656"/>
      <c r="J521" s="656"/>
      <c r="K521" s="657"/>
      <c r="L521" s="675">
        <f>IF(L510="*","*",L520/L510)</f>
        <v>1</v>
      </c>
      <c r="M521" s="676"/>
      <c r="N521" s="676"/>
      <c r="O521" s="677"/>
      <c r="P521" s="16"/>
      <c r="Q521" s="14"/>
      <c r="R521" s="14"/>
      <c r="S521" s="14"/>
      <c r="T521" s="14"/>
      <c r="U521" s="16"/>
      <c r="V521" s="16"/>
      <c r="W521" s="16"/>
      <c r="X521" s="16"/>
      <c r="Y521" s="16"/>
      <c r="Z521" s="16"/>
      <c r="AA521" s="16"/>
    </row>
    <row r="522" spans="1:27" ht="15" customHeight="1" x14ac:dyDescent="0.25">
      <c r="A522" s="722"/>
      <c r="B522" s="723"/>
      <c r="C522" s="724"/>
      <c r="D522" s="124"/>
      <c r="E522" s="678" t="s">
        <v>263</v>
      </c>
      <c r="F522" s="679"/>
      <c r="G522" s="679"/>
      <c r="H522" s="615" t="str">
        <f>IF(H521="*","*",IF(H521&lt;0.95,"Lower than required coverage",IF(H521&gt;=0.95,"Required overage or above")))</f>
        <v>Lower than required coverage</v>
      </c>
      <c r="I522" s="616"/>
      <c r="J522" s="616"/>
      <c r="K522" s="617"/>
      <c r="L522" s="670" t="str">
        <f>IF(L521="*","*",IF(L521&lt;0.95,"Lower than required coverage",IF(L521&gt;=0.95,"Required overage or above")))</f>
        <v>Required overage or above</v>
      </c>
      <c r="M522" s="671"/>
      <c r="N522" s="671"/>
      <c r="O522" s="672"/>
      <c r="P522" s="16"/>
      <c r="Q522" s="14"/>
      <c r="R522" s="14"/>
      <c r="S522" s="14"/>
      <c r="T522" s="14"/>
      <c r="U522" s="16"/>
      <c r="V522" s="16"/>
      <c r="W522" s="16"/>
      <c r="X522" s="16"/>
      <c r="Y522" s="16"/>
      <c r="Z522" s="16"/>
      <c r="AA522" s="16"/>
    </row>
    <row r="523" spans="1:27" ht="16.5" customHeight="1" x14ac:dyDescent="0.25">
      <c r="A523" s="815" t="s">
        <v>762</v>
      </c>
      <c r="B523" s="816"/>
      <c r="C523" s="817"/>
      <c r="D523" s="127" t="s">
        <v>420</v>
      </c>
      <c r="E523" s="809" t="s">
        <v>261</v>
      </c>
      <c r="F523" s="810"/>
      <c r="G523" s="810"/>
      <c r="H523" s="618">
        <f>HLOOKUP($D523,cfc,DATA!$A$1+1,FALSE)</f>
        <v>37</v>
      </c>
      <c r="I523" s="619"/>
      <c r="J523" s="619"/>
      <c r="K523" s="620"/>
      <c r="L523" s="764">
        <f>HLOOKUP($D523,cfc,DATA!$B$1+1,FALSE)</f>
        <v>27</v>
      </c>
      <c r="M523" s="765"/>
      <c r="N523" s="765"/>
      <c r="O523" s="766"/>
      <c r="P523" s="16"/>
      <c r="Q523" s="14"/>
      <c r="R523" s="14"/>
      <c r="S523" s="14"/>
      <c r="T523" s="14"/>
      <c r="U523" s="16"/>
      <c r="V523" s="16"/>
      <c r="W523" s="16"/>
      <c r="X523" s="16"/>
      <c r="Y523" s="16"/>
      <c r="Z523" s="16"/>
      <c r="AA523" s="16"/>
    </row>
    <row r="524" spans="1:27" ht="12.75" customHeight="1" x14ac:dyDescent="0.25">
      <c r="A524" s="818"/>
      <c r="B524" s="816"/>
      <c r="C524" s="817"/>
      <c r="D524" s="128"/>
      <c r="E524" s="811" t="s">
        <v>262</v>
      </c>
      <c r="F524" s="812"/>
      <c r="G524" s="812"/>
      <c r="H524" s="655">
        <f>IF(H523="*","*",H523/H510)</f>
        <v>0.90243902439024393</v>
      </c>
      <c r="I524" s="656"/>
      <c r="J524" s="656"/>
      <c r="K524" s="657"/>
      <c r="L524" s="675">
        <f>IF(L523="*","*",L523/L510)</f>
        <v>0.9</v>
      </c>
      <c r="M524" s="676"/>
      <c r="N524" s="676"/>
      <c r="O524" s="677"/>
      <c r="P524" s="16"/>
      <c r="Q524" s="14"/>
      <c r="R524" s="14"/>
      <c r="S524" s="14"/>
      <c r="T524" s="14"/>
      <c r="U524" s="16"/>
      <c r="V524" s="16"/>
      <c r="W524" s="16"/>
      <c r="X524" s="16"/>
      <c r="Y524" s="16"/>
      <c r="Z524" s="16"/>
      <c r="AA524" s="16"/>
    </row>
    <row r="525" spans="1:27" ht="12.75" customHeight="1" x14ac:dyDescent="0.25">
      <c r="A525" s="819"/>
      <c r="B525" s="820"/>
      <c r="C525" s="821"/>
      <c r="D525" s="129"/>
      <c r="E525" s="813" t="s">
        <v>263</v>
      </c>
      <c r="F525" s="814"/>
      <c r="G525" s="814"/>
      <c r="H525" s="615" t="str">
        <f>IF(H524="*","*",IF(H524&lt;0.95,"Lower than required coverage",IF(H524&gt;=0.95,"Required overage or above")))</f>
        <v>Lower than required coverage</v>
      </c>
      <c r="I525" s="616"/>
      <c r="J525" s="616"/>
      <c r="K525" s="617"/>
      <c r="L525" s="670" t="str">
        <f>IF(L524="*","*",IF(L524&lt;0.95,"Lower than required coverage",IF(L524&gt;=0.95,"Required overage or above")))</f>
        <v>Lower than required coverage</v>
      </c>
      <c r="M525" s="671"/>
      <c r="N525" s="671"/>
      <c r="O525" s="672"/>
      <c r="P525" s="16"/>
      <c r="Q525" s="14"/>
      <c r="R525" s="14"/>
      <c r="S525" s="14"/>
      <c r="T525" s="14"/>
      <c r="U525" s="16"/>
      <c r="V525" s="16"/>
      <c r="W525" s="16"/>
      <c r="X525" s="16"/>
      <c r="Y525" s="16"/>
      <c r="Z525" s="16"/>
      <c r="AA525" s="16"/>
    </row>
    <row r="526" spans="1:27" ht="14.25" customHeight="1" x14ac:dyDescent="0.25">
      <c r="A526" s="759" t="s">
        <v>756</v>
      </c>
      <c r="B526" s="720"/>
      <c r="C526" s="721"/>
      <c r="D526" s="123" t="s">
        <v>418</v>
      </c>
      <c r="E526" s="694" t="s">
        <v>261</v>
      </c>
      <c r="F526" s="695"/>
      <c r="G526" s="695"/>
      <c r="H526" s="618">
        <f>HLOOKUP($D526,cfc,DATA!$A$1+1,FALSE)</f>
        <v>38</v>
      </c>
      <c r="I526" s="619"/>
      <c r="J526" s="619"/>
      <c r="K526" s="620"/>
      <c r="L526" s="741">
        <f>HLOOKUP($D526,cfc,DATA!$B$1+1,FALSE)</f>
        <v>29</v>
      </c>
      <c r="M526" s="742"/>
      <c r="N526" s="742"/>
      <c r="O526" s="743"/>
      <c r="P526" s="16"/>
      <c r="Q526" s="14"/>
      <c r="R526" s="14"/>
      <c r="S526" s="14"/>
      <c r="T526" s="14"/>
      <c r="U526" s="16"/>
      <c r="V526" s="16"/>
      <c r="W526" s="16"/>
      <c r="X526" s="16"/>
      <c r="Y526" s="16"/>
      <c r="Z526" s="16"/>
      <c r="AA526" s="16"/>
    </row>
    <row r="527" spans="1:27" ht="12.75" customHeight="1" x14ac:dyDescent="0.25">
      <c r="A527" s="719"/>
      <c r="B527" s="720"/>
      <c r="C527" s="721"/>
      <c r="D527" s="123"/>
      <c r="E527" s="708" t="s">
        <v>262</v>
      </c>
      <c r="F527" s="709"/>
      <c r="G527" s="709"/>
      <c r="H527" s="655">
        <f>IF(H510="*","*",H526/H510)</f>
        <v>0.92682926829268297</v>
      </c>
      <c r="I527" s="656"/>
      <c r="J527" s="656"/>
      <c r="K527" s="657"/>
      <c r="L527" s="675">
        <f>IF(L510="*","*",L526/L510)</f>
        <v>0.96666666666666667</v>
      </c>
      <c r="M527" s="676"/>
      <c r="N527" s="676"/>
      <c r="O527" s="677"/>
      <c r="P527" s="16"/>
      <c r="Q527" s="14"/>
      <c r="R527" s="14"/>
      <c r="S527" s="14"/>
      <c r="T527" s="14"/>
      <c r="U527" s="16"/>
      <c r="V527" s="16"/>
      <c r="W527" s="16"/>
      <c r="X527" s="16"/>
      <c r="Y527" s="16"/>
      <c r="Z527" s="16"/>
      <c r="AA527" s="16"/>
    </row>
    <row r="528" spans="1:27" ht="12.75" customHeight="1" x14ac:dyDescent="0.25">
      <c r="A528" s="722"/>
      <c r="B528" s="723"/>
      <c r="C528" s="724"/>
      <c r="D528" s="124"/>
      <c r="E528" s="678" t="s">
        <v>263</v>
      </c>
      <c r="F528" s="679"/>
      <c r="G528" s="679"/>
      <c r="H528" s="615" t="str">
        <f>IF(H527="*","*",IF(H527&lt;0.95,"Lower than required coverage",IF(H527&gt;=0.95,"Required overage or above")))</f>
        <v>Lower than required coverage</v>
      </c>
      <c r="I528" s="616"/>
      <c r="J528" s="616"/>
      <c r="K528" s="617"/>
      <c r="L528" s="670" t="str">
        <f>IF(L527="*","*",IF(L527&lt;0.95,"Lower than required coverage",IF(L527&gt;=0.95,"Required overage or above")))</f>
        <v>Required overage or above</v>
      </c>
      <c r="M528" s="671"/>
      <c r="N528" s="671"/>
      <c r="O528" s="672"/>
      <c r="P528" s="16"/>
      <c r="Q528" s="14"/>
      <c r="R528" s="14"/>
      <c r="S528" s="14"/>
      <c r="T528" s="14"/>
      <c r="U528" s="16"/>
      <c r="V528" s="16"/>
      <c r="W528" s="16"/>
      <c r="X528" s="16"/>
      <c r="Y528" s="16"/>
      <c r="Z528" s="16"/>
      <c r="AA528" s="16"/>
    </row>
    <row r="529" spans="1:34" s="45" customFormat="1" ht="15" customHeight="1" x14ac:dyDescent="0.25">
      <c r="A529" s="728" t="s">
        <v>763</v>
      </c>
      <c r="B529" s="720"/>
      <c r="C529" s="721"/>
      <c r="D529" s="123" t="s">
        <v>424</v>
      </c>
      <c r="E529" s="694" t="s">
        <v>261</v>
      </c>
      <c r="F529" s="695"/>
      <c r="G529" s="695"/>
      <c r="H529" s="618">
        <f>HLOOKUP($D529,cfc,DATA!$A$1+1,FALSE)</f>
        <v>37</v>
      </c>
      <c r="I529" s="619"/>
      <c r="J529" s="619"/>
      <c r="K529" s="620"/>
      <c r="L529" s="741">
        <f>HLOOKUP($D529,cfc,DATA!$B$1+1,FALSE)</f>
        <v>29</v>
      </c>
      <c r="M529" s="742"/>
      <c r="N529" s="742"/>
      <c r="O529" s="743"/>
      <c r="P529" s="37"/>
      <c r="Q529" s="43"/>
      <c r="R529" s="43"/>
      <c r="S529" s="44"/>
      <c r="T529" s="44"/>
      <c r="U529" s="10"/>
      <c r="V529" s="10"/>
      <c r="W529" s="10"/>
      <c r="X529" s="10"/>
      <c r="Y529" s="10"/>
      <c r="Z529" s="10"/>
      <c r="AA529" s="10"/>
      <c r="AB529" s="16"/>
      <c r="AC529" s="16"/>
      <c r="AD529" s="16"/>
      <c r="AE529" s="16"/>
      <c r="AF529" s="16"/>
      <c r="AG529" s="16"/>
      <c r="AH529" s="16"/>
    </row>
    <row r="530" spans="1:34" ht="14.4" x14ac:dyDescent="0.25">
      <c r="A530" s="719"/>
      <c r="B530" s="720"/>
      <c r="C530" s="721"/>
      <c r="D530" s="123"/>
      <c r="E530" s="708" t="s">
        <v>262</v>
      </c>
      <c r="F530" s="709"/>
      <c r="G530" s="709"/>
      <c r="H530" s="655">
        <f>IF(H510="*","*",H529/H510)</f>
        <v>0.90243902439024393</v>
      </c>
      <c r="I530" s="656"/>
      <c r="J530" s="656"/>
      <c r="K530" s="657"/>
      <c r="L530" s="675">
        <f>IF(L510="*","*",L529/L510)</f>
        <v>0.96666666666666667</v>
      </c>
      <c r="M530" s="676"/>
      <c r="N530" s="676"/>
      <c r="O530" s="677"/>
      <c r="P530" s="37"/>
      <c r="S530" s="61"/>
      <c r="T530" s="61"/>
    </row>
    <row r="531" spans="1:34" ht="15" customHeight="1" x14ac:dyDescent="0.25">
      <c r="A531" s="722"/>
      <c r="B531" s="723"/>
      <c r="C531" s="724"/>
      <c r="D531" s="124"/>
      <c r="E531" s="678" t="s">
        <v>263</v>
      </c>
      <c r="F531" s="679"/>
      <c r="G531" s="679"/>
      <c r="H531" s="615" t="str">
        <f>IF(H530="*","*",IF(H530&lt;0.95,"Lower than required coverage",IF(H530&gt;=0.95,"Required overage or above")))</f>
        <v>Lower than required coverage</v>
      </c>
      <c r="I531" s="616"/>
      <c r="J531" s="616"/>
      <c r="K531" s="617"/>
      <c r="L531" s="670" t="str">
        <f>IF(L530="*","*",IF(L530&lt;0.95,"Lower than required coverage",IF(L530&gt;=0.95,"Required overage or above")))</f>
        <v>Required overage or above</v>
      </c>
      <c r="M531" s="671"/>
      <c r="N531" s="671"/>
      <c r="O531" s="672"/>
      <c r="P531" s="37"/>
      <c r="S531" s="61"/>
      <c r="T531" s="61"/>
    </row>
    <row r="532" spans="1:34" ht="12.75" customHeight="1" x14ac:dyDescent="0.25">
      <c r="A532" s="759" t="s">
        <v>764</v>
      </c>
      <c r="B532" s="720"/>
      <c r="C532" s="721"/>
      <c r="D532" s="123" t="s">
        <v>425</v>
      </c>
      <c r="E532" s="694" t="s">
        <v>261</v>
      </c>
      <c r="F532" s="695"/>
      <c r="G532" s="695"/>
      <c r="H532" s="618">
        <f>HLOOKUP($D532,cfc,DATA!$A$1+1,FALSE)</f>
        <v>36</v>
      </c>
      <c r="I532" s="619"/>
      <c r="J532" s="619"/>
      <c r="K532" s="620"/>
      <c r="L532" s="741">
        <f>HLOOKUP($D532,cfc,DATA!$B$1+1,FALSE)</f>
        <v>27</v>
      </c>
      <c r="M532" s="742"/>
      <c r="N532" s="742"/>
      <c r="O532" s="743"/>
      <c r="P532" s="37"/>
      <c r="S532" s="61"/>
      <c r="T532" s="61"/>
    </row>
    <row r="533" spans="1:34" ht="14.4" x14ac:dyDescent="0.25">
      <c r="A533" s="719"/>
      <c r="B533" s="720"/>
      <c r="C533" s="721"/>
      <c r="D533" s="123"/>
      <c r="E533" s="708" t="s">
        <v>262</v>
      </c>
      <c r="F533" s="709"/>
      <c r="G533" s="709"/>
      <c r="H533" s="655">
        <f>IF(H510="*","*",H532/H510)</f>
        <v>0.87804878048780488</v>
      </c>
      <c r="I533" s="656"/>
      <c r="J533" s="656"/>
      <c r="K533" s="657"/>
      <c r="L533" s="675">
        <f>IF(L510="*","*",L532/L510)</f>
        <v>0.9</v>
      </c>
      <c r="M533" s="676"/>
      <c r="N533" s="676"/>
      <c r="O533" s="677"/>
      <c r="P533" s="37"/>
      <c r="S533" s="61"/>
      <c r="T533" s="61"/>
    </row>
    <row r="534" spans="1:34" ht="15" customHeight="1" x14ac:dyDescent="0.25">
      <c r="A534" s="722"/>
      <c r="B534" s="723"/>
      <c r="C534" s="724"/>
      <c r="D534" s="124"/>
      <c r="E534" s="678" t="s">
        <v>263</v>
      </c>
      <c r="F534" s="679"/>
      <c r="G534" s="679"/>
      <c r="H534" s="615" t="str">
        <f>IF(H533="*","*",IF(H533&lt;0.95,"Lower than required coverage",IF(H533&gt;=0.95,"Required overage or above")))</f>
        <v>Lower than required coverage</v>
      </c>
      <c r="I534" s="616"/>
      <c r="J534" s="616"/>
      <c r="K534" s="617"/>
      <c r="L534" s="670" t="str">
        <f>IF(L533="*","*",IF(L533&lt;0.95,"Lower than required coverage",IF(L533&gt;=0.95,"Required overage or above")))</f>
        <v>Lower than required coverage</v>
      </c>
      <c r="M534" s="671"/>
      <c r="N534" s="671"/>
      <c r="O534" s="672"/>
      <c r="P534" s="37"/>
      <c r="S534" s="61"/>
      <c r="T534" s="61"/>
    </row>
    <row r="535" spans="1:34" s="45" customFormat="1" ht="13.5" customHeight="1" x14ac:dyDescent="0.25">
      <c r="A535" s="728" t="s">
        <v>765</v>
      </c>
      <c r="B535" s="720"/>
      <c r="C535" s="721"/>
      <c r="D535" s="123" t="s">
        <v>423</v>
      </c>
      <c r="E535" s="694" t="s">
        <v>261</v>
      </c>
      <c r="F535" s="695"/>
      <c r="G535" s="695"/>
      <c r="H535" s="618">
        <f>HLOOKUP($D535,cfc,DATA!$A$1+1,FALSE)</f>
        <v>36</v>
      </c>
      <c r="I535" s="619"/>
      <c r="J535" s="619"/>
      <c r="K535" s="620"/>
      <c r="L535" s="741">
        <f>HLOOKUP($D535,cfc,DATA!$B$1+1,FALSE)</f>
        <v>27</v>
      </c>
      <c r="M535" s="742"/>
      <c r="N535" s="742"/>
      <c r="O535" s="743"/>
      <c r="P535" s="37"/>
      <c r="Q535" s="43"/>
      <c r="R535" s="43"/>
      <c r="S535" s="44"/>
      <c r="T535" s="44"/>
      <c r="U535" s="10"/>
      <c r="V535" s="10"/>
      <c r="W535" s="10"/>
      <c r="X535" s="10"/>
      <c r="Y535" s="10"/>
      <c r="Z535" s="10"/>
      <c r="AA535" s="10"/>
      <c r="AB535" s="16"/>
      <c r="AC535" s="16"/>
      <c r="AD535" s="16"/>
      <c r="AE535" s="16"/>
      <c r="AF535" s="16"/>
      <c r="AG535" s="16"/>
      <c r="AH535" s="16"/>
    </row>
    <row r="536" spans="1:34" ht="14.4" x14ac:dyDescent="0.25">
      <c r="A536" s="719"/>
      <c r="B536" s="720"/>
      <c r="C536" s="721"/>
      <c r="D536" s="123"/>
      <c r="E536" s="708" t="s">
        <v>262</v>
      </c>
      <c r="F536" s="709"/>
      <c r="G536" s="709"/>
      <c r="H536" s="655">
        <f>IF(H510="*","*",H535/H510)</f>
        <v>0.87804878048780488</v>
      </c>
      <c r="I536" s="656"/>
      <c r="J536" s="656"/>
      <c r="K536" s="657"/>
      <c r="L536" s="675">
        <f>IF(L510="*","*",L535/L510)</f>
        <v>0.9</v>
      </c>
      <c r="M536" s="676"/>
      <c r="N536" s="676"/>
      <c r="O536" s="677"/>
      <c r="P536" s="37"/>
      <c r="S536" s="61"/>
      <c r="T536" s="61"/>
    </row>
    <row r="537" spans="1:34" ht="15" customHeight="1" x14ac:dyDescent="0.25">
      <c r="A537" s="722"/>
      <c r="B537" s="723"/>
      <c r="C537" s="724"/>
      <c r="D537" s="124"/>
      <c r="E537" s="678" t="s">
        <v>263</v>
      </c>
      <c r="F537" s="679"/>
      <c r="G537" s="679"/>
      <c r="H537" s="696" t="str">
        <f>IF(H536="*","*",IF(H536&lt;0.95,"Lower than required coverage",IF(H536&gt;=0.95,"Required overage or above")))</f>
        <v>Lower than required coverage</v>
      </c>
      <c r="I537" s="697"/>
      <c r="J537" s="697"/>
      <c r="K537" s="698"/>
      <c r="L537" s="747" t="str">
        <f>IF(L536="*","*",IF(L536&lt;0.95,"Lower than required coverage",IF(L536&gt;=0.95,"Required overage or above")))</f>
        <v>Lower than required coverage</v>
      </c>
      <c r="M537" s="748"/>
      <c r="N537" s="748"/>
      <c r="O537" s="749"/>
      <c r="P537" s="37"/>
      <c r="S537" s="61"/>
      <c r="T537" s="61"/>
    </row>
    <row r="538" spans="1:34" ht="21" customHeight="1" x14ac:dyDescent="0.25">
      <c r="A538" s="1838" t="s">
        <v>27</v>
      </c>
      <c r="B538" s="1839" t="s">
        <v>766</v>
      </c>
      <c r="C538" s="1839"/>
      <c r="D538" s="1839"/>
      <c r="E538" s="1839"/>
      <c r="F538" s="1839"/>
      <c r="G538" s="1839"/>
      <c r="H538" s="1839"/>
      <c r="I538" s="1839"/>
      <c r="J538" s="1839"/>
      <c r="K538" s="1839"/>
      <c r="L538" s="1839"/>
      <c r="M538" s="1839"/>
      <c r="N538" s="1839"/>
      <c r="O538" s="1840"/>
      <c r="P538" s="37"/>
      <c r="S538" s="61"/>
      <c r="T538" s="61"/>
    </row>
    <row r="539" spans="1:34" s="20" customFormat="1" ht="19.8" customHeight="1" x14ac:dyDescent="0.25">
      <c r="A539" s="1372" t="s">
        <v>548</v>
      </c>
      <c r="B539" s="1373"/>
      <c r="C539" s="1373"/>
      <c r="D539" s="1373"/>
      <c r="E539" s="1373"/>
      <c r="F539" s="1373"/>
      <c r="G539" s="1373"/>
      <c r="H539" s="1373"/>
      <c r="I539" s="1373"/>
      <c r="J539" s="1373"/>
      <c r="K539" s="1373"/>
      <c r="L539" s="1373"/>
      <c r="M539" s="1373"/>
      <c r="N539" s="1373"/>
      <c r="O539" s="1374"/>
      <c r="P539" s="9"/>
      <c r="Q539" s="19"/>
      <c r="R539" s="19"/>
      <c r="S539" s="41"/>
      <c r="T539" s="41"/>
      <c r="U539" s="10"/>
      <c r="V539" s="10"/>
      <c r="W539" s="10"/>
      <c r="X539" s="10"/>
      <c r="Y539" s="10"/>
      <c r="Z539" s="10"/>
      <c r="AA539" s="10"/>
      <c r="AB539" s="16"/>
      <c r="AC539" s="16"/>
      <c r="AD539" s="16"/>
      <c r="AE539" s="16"/>
      <c r="AF539" s="16"/>
      <c r="AG539" s="16"/>
      <c r="AH539" s="16"/>
    </row>
    <row r="540" spans="1:34" ht="25.2" customHeight="1" x14ac:dyDescent="0.25">
      <c r="A540" s="570" t="s">
        <v>336</v>
      </c>
      <c r="B540" s="570"/>
      <c r="C540" s="572" t="s">
        <v>716</v>
      </c>
      <c r="D540" s="572"/>
      <c r="E540" s="572"/>
      <c r="F540" s="572"/>
      <c r="G540" s="572"/>
      <c r="H540" s="572"/>
      <c r="I540" s="572"/>
      <c r="J540" s="571"/>
      <c r="K540" s="571"/>
      <c r="L540" s="571"/>
      <c r="M540" s="573" t="s">
        <v>12</v>
      </c>
      <c r="N540" s="573"/>
      <c r="O540" s="573"/>
      <c r="S540" s="61"/>
      <c r="T540" s="61"/>
    </row>
    <row r="541" spans="1:34" ht="30" customHeight="1" x14ac:dyDescent="0.25">
      <c r="A541" s="570" t="s">
        <v>337</v>
      </c>
      <c r="B541" s="570"/>
      <c r="C541" s="572" t="s">
        <v>724</v>
      </c>
      <c r="D541" s="572"/>
      <c r="E541" s="572"/>
      <c r="F541" s="572"/>
      <c r="G541" s="572"/>
      <c r="H541" s="572"/>
      <c r="I541" s="572"/>
      <c r="J541" s="571"/>
      <c r="K541" s="571"/>
      <c r="L541" s="571"/>
      <c r="M541" s="571"/>
      <c r="N541" s="571"/>
      <c r="O541" s="571"/>
      <c r="S541" s="61"/>
      <c r="T541" s="61"/>
    </row>
    <row r="542" spans="1:34" ht="25.8" customHeight="1" x14ac:dyDescent="0.25">
      <c r="A542" s="570" t="s">
        <v>338</v>
      </c>
      <c r="B542" s="570"/>
      <c r="C542" s="580" t="s">
        <v>715</v>
      </c>
      <c r="D542" s="580"/>
      <c r="E542" s="580"/>
      <c r="F542" s="580"/>
      <c r="G542" s="580"/>
      <c r="H542" s="580"/>
      <c r="I542" s="580"/>
      <c r="J542" s="580"/>
      <c r="K542" s="580"/>
      <c r="L542" s="580"/>
      <c r="M542" s="580"/>
      <c r="N542" s="580"/>
      <c r="O542" s="580"/>
      <c r="S542" s="61"/>
      <c r="T542" s="61"/>
    </row>
    <row r="543" spans="1:34" ht="36" customHeight="1" x14ac:dyDescent="0.25">
      <c r="A543" s="570" t="s">
        <v>340</v>
      </c>
      <c r="B543" s="570"/>
      <c r="C543" s="572" t="s">
        <v>339</v>
      </c>
      <c r="D543" s="572"/>
      <c r="E543" s="572"/>
      <c r="F543" s="572"/>
      <c r="G543" s="572"/>
      <c r="H543" s="572"/>
      <c r="I543" s="572"/>
      <c r="J543" s="571"/>
      <c r="K543" s="571"/>
      <c r="L543" s="571"/>
      <c r="M543" s="571"/>
      <c r="N543" s="571"/>
      <c r="O543" s="571"/>
      <c r="S543" s="61"/>
      <c r="T543" s="61"/>
    </row>
    <row r="544" spans="1:34" ht="19.8" customHeight="1" x14ac:dyDescent="0.25">
      <c r="A544" s="570" t="s">
        <v>341</v>
      </c>
      <c r="B544" s="570"/>
      <c r="C544" s="753" t="s">
        <v>342</v>
      </c>
      <c r="D544" s="753"/>
      <c r="E544" s="753"/>
      <c r="F544" s="753"/>
      <c r="G544" s="753"/>
      <c r="H544" s="753"/>
      <c r="I544" s="753"/>
      <c r="J544" s="753"/>
      <c r="K544" s="753"/>
      <c r="L544" s="753"/>
      <c r="M544" s="753"/>
      <c r="N544" s="753"/>
      <c r="O544" s="753"/>
      <c r="S544" s="61"/>
      <c r="T544" s="61"/>
    </row>
    <row r="545" spans="1:34" ht="36.6" customHeight="1" x14ac:dyDescent="0.25">
      <c r="A545" s="571"/>
      <c r="B545" s="571"/>
      <c r="C545" s="572" t="s">
        <v>343</v>
      </c>
      <c r="D545" s="572"/>
      <c r="E545" s="572"/>
      <c r="F545" s="572"/>
      <c r="G545" s="572"/>
      <c r="H545" s="572"/>
      <c r="I545" s="572"/>
      <c r="J545" s="571"/>
      <c r="K545" s="571"/>
      <c r="L545" s="571"/>
      <c r="M545" s="571"/>
      <c r="N545" s="571"/>
      <c r="O545" s="571"/>
      <c r="S545" s="61"/>
      <c r="T545" s="61"/>
    </row>
    <row r="546" spans="1:34" ht="37.200000000000003" customHeight="1" x14ac:dyDescent="0.25">
      <c r="A546" s="571"/>
      <c r="B546" s="571"/>
      <c r="C546" s="572" t="s">
        <v>344</v>
      </c>
      <c r="D546" s="572"/>
      <c r="E546" s="572"/>
      <c r="F546" s="572"/>
      <c r="G546" s="572"/>
      <c r="H546" s="572"/>
      <c r="I546" s="572"/>
      <c r="J546" s="571"/>
      <c r="K546" s="571"/>
      <c r="L546" s="571"/>
      <c r="M546" s="571"/>
      <c r="N546" s="571"/>
      <c r="O546" s="571"/>
      <c r="S546" s="61"/>
      <c r="T546" s="61"/>
    </row>
    <row r="547" spans="1:34" s="41" customFormat="1" ht="14.4" x14ac:dyDescent="0.25">
      <c r="A547" s="523" t="s">
        <v>123</v>
      </c>
      <c r="B547" s="1801"/>
      <c r="C547" s="1801"/>
      <c r="D547" s="1801"/>
      <c r="E547" s="1801"/>
      <c r="F547" s="1801"/>
      <c r="G547" s="1801"/>
      <c r="H547" s="1801"/>
      <c r="I547" s="1801"/>
      <c r="J547" s="1801"/>
      <c r="K547" s="1801"/>
      <c r="L547" s="1801"/>
      <c r="M547" s="1801"/>
      <c r="N547" s="1801"/>
      <c r="O547" s="1802" t="s">
        <v>600</v>
      </c>
      <c r="P547" s="9"/>
      <c r="Q547" s="19"/>
      <c r="R547" s="19"/>
      <c r="U547" s="10"/>
      <c r="V547" s="10"/>
      <c r="W547" s="10"/>
      <c r="X547" s="10"/>
      <c r="Y547" s="10"/>
      <c r="Z547" s="10"/>
      <c r="AA547" s="10"/>
      <c r="AB547" s="10"/>
      <c r="AC547" s="10"/>
      <c r="AD547" s="10"/>
      <c r="AE547" s="10"/>
      <c r="AF547" s="10"/>
      <c r="AG547" s="10"/>
      <c r="AH547" s="10"/>
    </row>
    <row r="548" spans="1:34" ht="34.799999999999997" customHeight="1" x14ac:dyDescent="0.25">
      <c r="A548" s="794" t="s">
        <v>585</v>
      </c>
      <c r="B548" s="795"/>
      <c r="C548" s="231" t="s">
        <v>330</v>
      </c>
      <c r="D548" s="789" t="s">
        <v>331</v>
      </c>
      <c r="E548" s="789"/>
      <c r="F548" s="763" t="s">
        <v>345</v>
      </c>
      <c r="G548" s="763"/>
      <c r="H548" s="763" t="s">
        <v>332</v>
      </c>
      <c r="I548" s="763"/>
      <c r="J548" s="763" t="s">
        <v>333</v>
      </c>
      <c r="K548" s="763"/>
      <c r="L548" s="763" t="s">
        <v>334</v>
      </c>
      <c r="M548" s="763"/>
      <c r="N548" s="778" t="s">
        <v>335</v>
      </c>
      <c r="O548" s="779"/>
      <c r="S548" s="61"/>
      <c r="T548" s="61"/>
    </row>
    <row r="549" spans="1:34" x14ac:dyDescent="0.3">
      <c r="A549" s="787" t="s">
        <v>34</v>
      </c>
      <c r="B549" s="788"/>
      <c r="C549" s="235">
        <v>59</v>
      </c>
      <c r="D549" s="793">
        <v>3701</v>
      </c>
      <c r="E549" s="793"/>
      <c r="F549" s="774">
        <v>159.41637395298599</v>
      </c>
      <c r="G549" s="775"/>
      <c r="H549" s="130">
        <v>121.355131313716</v>
      </c>
      <c r="I549" s="130"/>
      <c r="J549" s="130">
        <v>205.63550781192501</v>
      </c>
      <c r="K549" s="130"/>
      <c r="L549" s="767">
        <v>134.69999999999999</v>
      </c>
      <c r="M549" s="767"/>
      <c r="N549" s="761" t="s">
        <v>713</v>
      </c>
      <c r="O549" s="762"/>
      <c r="S549" s="61"/>
      <c r="T549" s="61"/>
    </row>
    <row r="550" spans="1:34" x14ac:dyDescent="0.3">
      <c r="A550" s="787" t="s">
        <v>100</v>
      </c>
      <c r="B550" s="788"/>
      <c r="C550" s="235">
        <v>119</v>
      </c>
      <c r="D550" s="793">
        <v>7814</v>
      </c>
      <c r="E550" s="793"/>
      <c r="F550" s="774">
        <v>152.29076017404699</v>
      </c>
      <c r="G550" s="775"/>
      <c r="H550" s="130">
        <v>126.16026946939201</v>
      </c>
      <c r="I550" s="130"/>
      <c r="J550" s="130">
        <v>182.23859991309499</v>
      </c>
      <c r="K550" s="130"/>
      <c r="L550" s="767">
        <v>134.69999999999999</v>
      </c>
      <c r="M550" s="767"/>
      <c r="N550" s="761" t="s">
        <v>713</v>
      </c>
      <c r="O550" s="762"/>
      <c r="S550" s="61"/>
      <c r="T550" s="61"/>
    </row>
    <row r="551" spans="1:34" x14ac:dyDescent="0.3">
      <c r="A551" s="787" t="s">
        <v>35</v>
      </c>
      <c r="B551" s="788"/>
      <c r="C551" s="235">
        <v>70</v>
      </c>
      <c r="D551" s="793">
        <v>5833</v>
      </c>
      <c r="E551" s="793"/>
      <c r="F551" s="774">
        <v>120.006857534716</v>
      </c>
      <c r="G551" s="775"/>
      <c r="H551" s="130">
        <v>93.551234163816005</v>
      </c>
      <c r="I551" s="130"/>
      <c r="J551" s="130">
        <v>151.62144522601099</v>
      </c>
      <c r="K551" s="130"/>
      <c r="L551" s="767">
        <v>134.69999999999999</v>
      </c>
      <c r="M551" s="767"/>
      <c r="N551" s="761" t="s">
        <v>713</v>
      </c>
      <c r="O551" s="762"/>
      <c r="P551" s="16"/>
      <c r="Q551" s="14"/>
      <c r="R551" s="14"/>
      <c r="S551" s="14"/>
      <c r="T551" s="14"/>
      <c r="U551" s="16"/>
      <c r="V551" s="16"/>
      <c r="W551" s="16"/>
      <c r="X551" s="16"/>
      <c r="Y551" s="16"/>
      <c r="Z551" s="16"/>
      <c r="AA551" s="16"/>
    </row>
    <row r="552" spans="1:34" x14ac:dyDescent="0.3">
      <c r="A552" s="787" t="s">
        <v>33</v>
      </c>
      <c r="B552" s="788"/>
      <c r="C552" s="235">
        <v>149</v>
      </c>
      <c r="D552" s="793">
        <v>8318</v>
      </c>
      <c r="E552" s="793"/>
      <c r="F552" s="774">
        <v>179.129598461169</v>
      </c>
      <c r="G552" s="775"/>
      <c r="H552" s="130">
        <v>151.52242886777901</v>
      </c>
      <c r="I552" s="130"/>
      <c r="J552" s="130">
        <v>210.31165503053001</v>
      </c>
      <c r="K552" s="130"/>
      <c r="L552" s="767">
        <v>134.69999999999999</v>
      </c>
      <c r="M552" s="767"/>
      <c r="N552" s="761" t="s">
        <v>714</v>
      </c>
      <c r="O552" s="762"/>
      <c r="P552" s="16"/>
      <c r="Q552" s="14"/>
      <c r="R552" s="14"/>
      <c r="S552" s="14"/>
      <c r="T552" s="14"/>
      <c r="U552" s="16"/>
      <c r="V552" s="16"/>
      <c r="W552" s="16"/>
      <c r="X552" s="16"/>
      <c r="Y552" s="16"/>
      <c r="Z552" s="16"/>
      <c r="AA552" s="16"/>
    </row>
    <row r="553" spans="1:34" x14ac:dyDescent="0.3">
      <c r="A553" s="787" t="s">
        <v>101</v>
      </c>
      <c r="B553" s="788"/>
      <c r="C553" s="235">
        <v>90</v>
      </c>
      <c r="D553" s="793">
        <v>7196</v>
      </c>
      <c r="E553" s="793"/>
      <c r="F553" s="774">
        <v>125.06948304613699</v>
      </c>
      <c r="G553" s="775"/>
      <c r="H553" s="130">
        <v>100.570635279852</v>
      </c>
      <c r="I553" s="130"/>
      <c r="J553" s="130">
        <v>153.731628226445</v>
      </c>
      <c r="K553" s="130"/>
      <c r="L553" s="767">
        <v>134.69999999999999</v>
      </c>
      <c r="M553" s="767"/>
      <c r="N553" s="761" t="s">
        <v>713</v>
      </c>
      <c r="O553" s="762"/>
      <c r="P553" s="16"/>
      <c r="Q553" s="14"/>
      <c r="R553" s="14"/>
      <c r="S553" s="14"/>
      <c r="T553" s="14"/>
      <c r="U553" s="16"/>
      <c r="V553" s="16"/>
      <c r="W553" s="16"/>
      <c r="X553" s="16"/>
      <c r="Y553" s="16"/>
      <c r="Z553" s="16"/>
      <c r="AA553" s="16"/>
    </row>
    <row r="554" spans="1:34" x14ac:dyDescent="0.3">
      <c r="A554" s="787" t="s">
        <v>102</v>
      </c>
      <c r="B554" s="788"/>
      <c r="C554" s="235">
        <v>80</v>
      </c>
      <c r="D554" s="793">
        <v>8489</v>
      </c>
      <c r="E554" s="793"/>
      <c r="F554" s="774">
        <v>94.239604193662402</v>
      </c>
      <c r="G554" s="775"/>
      <c r="H554" s="130">
        <v>74.726146219235801</v>
      </c>
      <c r="I554" s="130"/>
      <c r="J554" s="130">
        <v>117.289344912952</v>
      </c>
      <c r="K554" s="130"/>
      <c r="L554" s="767">
        <v>134.69999999999999</v>
      </c>
      <c r="M554" s="767"/>
      <c r="N554" s="761" t="s">
        <v>712</v>
      </c>
      <c r="O554" s="762"/>
      <c r="P554" s="16"/>
      <c r="Q554" s="14"/>
      <c r="R554" s="14"/>
      <c r="S554" s="14"/>
      <c r="T554" s="14"/>
      <c r="U554" s="16"/>
      <c r="V554" s="16"/>
      <c r="W554" s="16"/>
      <c r="X554" s="16"/>
      <c r="Y554" s="16"/>
      <c r="Z554" s="16"/>
      <c r="AA554" s="16"/>
    </row>
    <row r="555" spans="1:34" x14ac:dyDescent="0.3">
      <c r="A555" s="787" t="s">
        <v>37</v>
      </c>
      <c r="B555" s="788"/>
      <c r="C555" s="235">
        <v>71</v>
      </c>
      <c r="D555" s="793">
        <v>6317</v>
      </c>
      <c r="E555" s="793"/>
      <c r="F555" s="774">
        <v>112.395124267849</v>
      </c>
      <c r="G555" s="775"/>
      <c r="H555" s="130">
        <v>87.781525979326901</v>
      </c>
      <c r="I555" s="130"/>
      <c r="J555" s="130">
        <v>141.77115606431701</v>
      </c>
      <c r="K555" s="130"/>
      <c r="L555" s="767">
        <v>134.69999999999999</v>
      </c>
      <c r="M555" s="767"/>
      <c r="N555" s="761" t="s">
        <v>713</v>
      </c>
      <c r="O555" s="762"/>
      <c r="P555" s="16"/>
      <c r="Q555" s="14"/>
      <c r="R555" s="14"/>
      <c r="S555" s="14"/>
      <c r="T555" s="14"/>
      <c r="U555" s="16"/>
      <c r="V555" s="16"/>
      <c r="W555" s="16"/>
      <c r="X555" s="16"/>
      <c r="Y555" s="16"/>
      <c r="Z555" s="16"/>
      <c r="AA555" s="16"/>
    </row>
    <row r="556" spans="1:34" x14ac:dyDescent="0.3">
      <c r="A556" s="800" t="s">
        <v>193</v>
      </c>
      <c r="B556" s="801"/>
      <c r="C556" s="234">
        <v>638</v>
      </c>
      <c r="D556" s="792">
        <v>47668</v>
      </c>
      <c r="E556" s="792"/>
      <c r="F556" s="772">
        <v>133.842410002517</v>
      </c>
      <c r="G556" s="773"/>
      <c r="H556" s="131">
        <v>123.65677653032</v>
      </c>
      <c r="I556" s="131"/>
      <c r="J556" s="131">
        <v>144.64329138702101</v>
      </c>
      <c r="K556" s="131"/>
      <c r="L556" s="777">
        <v>134.69999999999999</v>
      </c>
      <c r="M556" s="777"/>
      <c r="N556" s="784" t="s">
        <v>713</v>
      </c>
      <c r="O556" s="785"/>
      <c r="S556" s="61"/>
      <c r="T556" s="61"/>
    </row>
    <row r="557" spans="1:34" x14ac:dyDescent="0.3">
      <c r="A557" s="798" t="s">
        <v>104</v>
      </c>
      <c r="B557" s="799"/>
      <c r="C557" s="233">
        <v>7030</v>
      </c>
      <c r="D557" s="791">
        <v>545710</v>
      </c>
      <c r="E557" s="791"/>
      <c r="F557" s="770">
        <v>128.823001227758</v>
      </c>
      <c r="G557" s="771"/>
      <c r="H557" s="132">
        <v>125.82902346937701</v>
      </c>
      <c r="I557" s="132"/>
      <c r="J557" s="132">
        <v>131.870230047436</v>
      </c>
      <c r="K557" s="132"/>
      <c r="L557" s="776">
        <v>134.69999999999999</v>
      </c>
      <c r="M557" s="776"/>
      <c r="N557" s="782" t="s">
        <v>712</v>
      </c>
      <c r="O557" s="783"/>
      <c r="S557" s="61"/>
      <c r="T557" s="61"/>
    </row>
    <row r="558" spans="1:34" ht="16.8" customHeight="1" x14ac:dyDescent="0.3">
      <c r="A558" s="796" t="s">
        <v>105</v>
      </c>
      <c r="B558" s="797"/>
      <c r="C558" s="232">
        <v>45708</v>
      </c>
      <c r="D558" s="790">
        <v>3393356</v>
      </c>
      <c r="E558" s="790"/>
      <c r="F558" s="768">
        <v>134.69851085474099</v>
      </c>
      <c r="G558" s="769"/>
      <c r="H558" s="133">
        <v>133.466452585214</v>
      </c>
      <c r="I558" s="133"/>
      <c r="J558" s="133">
        <v>135.939111950366</v>
      </c>
      <c r="K558" s="133"/>
      <c r="L558" s="786">
        <v>134.69999999999999</v>
      </c>
      <c r="M558" s="786"/>
      <c r="N558" s="780"/>
      <c r="O558" s="781"/>
      <c r="S558" s="61"/>
      <c r="T558" s="61"/>
    </row>
    <row r="559" spans="1:34" ht="7.2" customHeight="1" x14ac:dyDescent="0.25">
      <c r="A559" s="1451" t="s">
        <v>717</v>
      </c>
      <c r="B559" s="1452"/>
      <c r="C559" s="1452"/>
      <c r="D559" s="1452"/>
      <c r="E559" s="1452"/>
      <c r="F559" s="1452"/>
      <c r="G559" s="1452"/>
      <c r="H559" s="1452"/>
      <c r="I559" s="1452"/>
      <c r="J559" s="1452"/>
      <c r="K559" s="1452"/>
      <c r="L559" s="1452"/>
      <c r="M559" s="1452"/>
      <c r="N559" s="1452"/>
      <c r="O559" s="1453"/>
      <c r="S559" s="61"/>
      <c r="T559" s="61"/>
    </row>
    <row r="560" spans="1:34" ht="7.2" customHeight="1" x14ac:dyDescent="0.25">
      <c r="A560" s="1454"/>
      <c r="B560" s="1455"/>
      <c r="C560" s="1455"/>
      <c r="D560" s="1455"/>
      <c r="E560" s="1455"/>
      <c r="F560" s="1455"/>
      <c r="G560" s="1455"/>
      <c r="H560" s="1455"/>
      <c r="I560" s="1455"/>
      <c r="J560" s="1455"/>
      <c r="K560" s="1455"/>
      <c r="L560" s="1455"/>
      <c r="M560" s="1455"/>
      <c r="N560" s="1455"/>
      <c r="O560" s="1456"/>
      <c r="S560" s="61"/>
      <c r="T560" s="61"/>
    </row>
    <row r="561" spans="1:34" x14ac:dyDescent="0.25">
      <c r="A561" s="73"/>
      <c r="B561" s="228"/>
      <c r="C561" s="228"/>
      <c r="D561" s="1765" t="s">
        <v>34</v>
      </c>
      <c r="E561" s="1766">
        <f>F549</f>
        <v>159.41637395298599</v>
      </c>
      <c r="F561" s="1766">
        <f>J549-F549</f>
        <v>46.219133858939017</v>
      </c>
      <c r="G561" s="1766">
        <f>E561-H549</f>
        <v>38.061242639269992</v>
      </c>
      <c r="H561" s="228"/>
      <c r="I561" s="228"/>
      <c r="J561" s="228"/>
      <c r="K561" s="228"/>
      <c r="L561" s="228"/>
      <c r="M561" s="228"/>
      <c r="N561" s="228"/>
      <c r="O561" s="253"/>
      <c r="S561" s="61"/>
      <c r="T561" s="61"/>
    </row>
    <row r="562" spans="1:34" x14ac:dyDescent="0.25">
      <c r="A562" s="73"/>
      <c r="B562" s="228"/>
      <c r="C562" s="228"/>
      <c r="D562" s="1765" t="s">
        <v>100</v>
      </c>
      <c r="E562" s="1766">
        <f t="shared" ref="E562:E569" si="9">F550</f>
        <v>152.29076017404699</v>
      </c>
      <c r="F562" s="1766">
        <f t="shared" ref="F562:F569" si="10">J550-F550</f>
        <v>29.947839739047993</v>
      </c>
      <c r="G562" s="1766">
        <f t="shared" ref="G562:G569" si="11">E562-H550</f>
        <v>26.130490704654989</v>
      </c>
      <c r="H562" s="228"/>
      <c r="I562" s="228"/>
      <c r="J562" s="228"/>
      <c r="K562" s="228"/>
      <c r="L562" s="228"/>
      <c r="M562" s="228"/>
      <c r="N562" s="228"/>
      <c r="O562" s="253"/>
      <c r="S562" s="61"/>
      <c r="T562" s="61"/>
    </row>
    <row r="563" spans="1:34" x14ac:dyDescent="0.25">
      <c r="A563" s="73"/>
      <c r="B563" s="228"/>
      <c r="C563" s="228"/>
      <c r="D563" s="1765" t="s">
        <v>35</v>
      </c>
      <c r="E563" s="1766">
        <f t="shared" si="9"/>
        <v>120.006857534716</v>
      </c>
      <c r="F563" s="1766">
        <f t="shared" si="10"/>
        <v>31.614587691294986</v>
      </c>
      <c r="G563" s="1766">
        <f t="shared" si="11"/>
        <v>26.4556233709</v>
      </c>
      <c r="H563" s="228"/>
      <c r="I563" s="228"/>
      <c r="J563" s="228"/>
      <c r="K563" s="228"/>
      <c r="L563" s="228"/>
      <c r="M563" s="228"/>
      <c r="N563" s="228"/>
      <c r="O563" s="253"/>
      <c r="S563" s="61"/>
      <c r="T563" s="61"/>
    </row>
    <row r="564" spans="1:34" x14ac:dyDescent="0.25">
      <c r="A564" s="73"/>
      <c r="B564" s="228"/>
      <c r="C564" s="228"/>
      <c r="D564" s="1765" t="s">
        <v>33</v>
      </c>
      <c r="E564" s="1766">
        <f t="shared" si="9"/>
        <v>179.129598461169</v>
      </c>
      <c r="F564" s="1766">
        <f t="shared" si="10"/>
        <v>31.182056569361009</v>
      </c>
      <c r="G564" s="1766">
        <f t="shared" si="11"/>
        <v>27.607169593389983</v>
      </c>
      <c r="H564" s="228"/>
      <c r="I564" s="228"/>
      <c r="J564" s="228"/>
      <c r="K564" s="228"/>
      <c r="L564" s="228"/>
      <c r="M564" s="228"/>
      <c r="N564" s="228"/>
      <c r="O564" s="254"/>
      <c r="S564" s="61"/>
      <c r="T564" s="61"/>
    </row>
    <row r="565" spans="1:34" x14ac:dyDescent="0.25">
      <c r="A565" s="73"/>
      <c r="B565" s="228"/>
      <c r="C565" s="228"/>
      <c r="D565" s="1765" t="s">
        <v>101</v>
      </c>
      <c r="E565" s="1766">
        <f t="shared" si="9"/>
        <v>125.06948304613699</v>
      </c>
      <c r="F565" s="1766">
        <f t="shared" si="10"/>
        <v>28.662145180308002</v>
      </c>
      <c r="G565" s="1766">
        <f t="shared" si="11"/>
        <v>24.498847766284996</v>
      </c>
      <c r="H565" s="228"/>
      <c r="I565" s="228"/>
      <c r="J565" s="228"/>
      <c r="K565" s="228"/>
      <c r="L565" s="255"/>
      <c r="M565" s="255"/>
      <c r="N565" s="255"/>
      <c r="O565" s="254"/>
      <c r="S565" s="61"/>
      <c r="T565" s="61"/>
    </row>
    <row r="566" spans="1:34" x14ac:dyDescent="0.25">
      <c r="A566" s="73"/>
      <c r="B566" s="228"/>
      <c r="C566" s="228"/>
      <c r="D566" s="1765" t="s">
        <v>102</v>
      </c>
      <c r="E566" s="1766">
        <f t="shared" si="9"/>
        <v>94.239604193662402</v>
      </c>
      <c r="F566" s="1766">
        <f t="shared" si="10"/>
        <v>23.049740719289602</v>
      </c>
      <c r="G566" s="1766">
        <f t="shared" si="11"/>
        <v>19.513457974426601</v>
      </c>
      <c r="H566" s="228"/>
      <c r="I566" s="228"/>
      <c r="J566" s="228"/>
      <c r="K566" s="228"/>
      <c r="L566" s="255"/>
      <c r="M566" s="255"/>
      <c r="N566" s="255"/>
      <c r="O566" s="254"/>
      <c r="S566" s="61"/>
      <c r="T566" s="61"/>
    </row>
    <row r="567" spans="1:34" ht="10.8" customHeight="1" x14ac:dyDescent="0.25">
      <c r="A567" s="73"/>
      <c r="B567" s="228"/>
      <c r="C567" s="256"/>
      <c r="D567" s="1765" t="s">
        <v>37</v>
      </c>
      <c r="E567" s="1766">
        <f t="shared" si="9"/>
        <v>112.395124267849</v>
      </c>
      <c r="F567" s="1766">
        <f t="shared" si="10"/>
        <v>29.376031796468013</v>
      </c>
      <c r="G567" s="1766">
        <f t="shared" si="11"/>
        <v>24.613598288522098</v>
      </c>
      <c r="H567" s="256"/>
      <c r="I567" s="228"/>
      <c r="J567" s="228"/>
      <c r="K567" s="228"/>
      <c r="L567" s="255"/>
      <c r="M567" s="255"/>
      <c r="N567" s="255"/>
      <c r="O567" s="254"/>
      <c r="S567" s="61"/>
      <c r="T567" s="61"/>
    </row>
    <row r="568" spans="1:34" ht="10.8" customHeight="1" x14ac:dyDescent="0.25">
      <c r="A568" s="73"/>
      <c r="B568" s="228"/>
      <c r="C568" s="256"/>
      <c r="D568" s="1765" t="s">
        <v>193</v>
      </c>
      <c r="E568" s="1766">
        <f t="shared" si="9"/>
        <v>133.842410002517</v>
      </c>
      <c r="F568" s="1766">
        <f t="shared" si="10"/>
        <v>10.800881384504009</v>
      </c>
      <c r="G568" s="1766">
        <f t="shared" si="11"/>
        <v>10.185633472196997</v>
      </c>
      <c r="H568" s="256"/>
      <c r="I568" s="228"/>
      <c r="J568" s="228"/>
      <c r="K568" s="228"/>
      <c r="L568" s="255"/>
      <c r="M568" s="255"/>
      <c r="N568" s="255"/>
      <c r="O568" s="254"/>
      <c r="S568" s="61"/>
      <c r="T568" s="61"/>
    </row>
    <row r="569" spans="1:34" ht="46.8" customHeight="1" x14ac:dyDescent="0.25">
      <c r="A569" s="74"/>
      <c r="B569" s="75"/>
      <c r="C569" s="257"/>
      <c r="D569" s="1803" t="s">
        <v>104</v>
      </c>
      <c r="E569" s="1804">
        <f t="shared" si="9"/>
        <v>128.823001227758</v>
      </c>
      <c r="F569" s="1804">
        <f t="shared" si="10"/>
        <v>3.0472288196779971</v>
      </c>
      <c r="G569" s="1804">
        <f t="shared" si="11"/>
        <v>2.9939777583809928</v>
      </c>
      <c r="H569" s="257"/>
      <c r="I569" s="75"/>
      <c r="J569" s="75"/>
      <c r="K569" s="75"/>
      <c r="L569" s="258"/>
      <c r="M569" s="258"/>
      <c r="N569" s="258"/>
      <c r="O569" s="259"/>
      <c r="S569" s="61"/>
      <c r="T569" s="61"/>
    </row>
    <row r="570" spans="1:34" s="168" customFormat="1" ht="22.8" customHeight="1" x14ac:dyDescent="0.25">
      <c r="A570" s="1799" t="s">
        <v>597</v>
      </c>
      <c r="B570" s="1800"/>
      <c r="C570" s="1800"/>
      <c r="D570" s="1800"/>
      <c r="E570" s="1800"/>
      <c r="F570" s="1800"/>
      <c r="G570" s="1800"/>
      <c r="H570" s="1800"/>
      <c r="I570" s="1800"/>
      <c r="J570" s="1800"/>
      <c r="K570" s="1800"/>
      <c r="L570" s="1800"/>
      <c r="M570" s="1800"/>
      <c r="N570" s="465" t="s">
        <v>600</v>
      </c>
      <c r="O570" s="466"/>
      <c r="P570" s="9"/>
      <c r="Q570" s="17"/>
      <c r="R570" s="17"/>
      <c r="S570" s="228"/>
      <c r="T570" s="228"/>
      <c r="U570" s="10"/>
      <c r="V570" s="10"/>
      <c r="W570" s="10"/>
      <c r="X570" s="10"/>
      <c r="Y570" s="10"/>
      <c r="Z570" s="10"/>
      <c r="AA570" s="10"/>
      <c r="AB570" s="16"/>
      <c r="AC570" s="16"/>
      <c r="AD570" s="16"/>
      <c r="AE570" s="16"/>
      <c r="AF570" s="16"/>
      <c r="AG570" s="16"/>
      <c r="AH570" s="16"/>
    </row>
    <row r="571" spans="1:34" s="168" customFormat="1" ht="22.8" customHeight="1" x14ac:dyDescent="0.25">
      <c r="A571" s="475" t="s">
        <v>277</v>
      </c>
      <c r="B571" s="476"/>
      <c r="C571" s="476"/>
      <c r="D571" s="476"/>
      <c r="E571" s="476"/>
      <c r="F571" s="476"/>
      <c r="G571" s="476"/>
      <c r="H571" s="476"/>
      <c r="I571" s="476"/>
      <c r="J571" s="476"/>
      <c r="K571" s="476"/>
      <c r="L571" s="476"/>
      <c r="M571" s="476"/>
      <c r="N571" s="476"/>
      <c r="O571" s="477"/>
      <c r="P571" s="9"/>
      <c r="Q571" s="17"/>
      <c r="R571" s="17"/>
      <c r="S571" s="228"/>
      <c r="T571" s="228"/>
      <c r="U571" s="10"/>
      <c r="V571" s="10"/>
      <c r="W571" s="10"/>
      <c r="X571" s="10"/>
      <c r="Y571" s="10"/>
      <c r="Z571" s="10"/>
      <c r="AA571" s="10"/>
      <c r="AB571" s="16"/>
      <c r="AC571" s="16"/>
      <c r="AD571" s="16"/>
      <c r="AE571" s="16"/>
      <c r="AF571" s="16"/>
      <c r="AG571" s="16"/>
      <c r="AH571" s="16"/>
    </row>
    <row r="572" spans="1:34" s="168" customFormat="1" ht="32.4" customHeight="1" x14ac:dyDescent="0.25">
      <c r="A572" s="1396" t="s">
        <v>8</v>
      </c>
      <c r="B572" s="1397"/>
      <c r="C572" s="496" t="s">
        <v>86</v>
      </c>
      <c r="D572" s="497"/>
      <c r="E572" s="497"/>
      <c r="F572" s="497"/>
      <c r="G572" s="497"/>
      <c r="H572" s="497"/>
      <c r="I572" s="497"/>
      <c r="J572" s="497"/>
      <c r="K572" s="497"/>
      <c r="L572" s="498"/>
      <c r="M572" s="564" t="s">
        <v>12</v>
      </c>
      <c r="N572" s="565"/>
      <c r="O572" s="566"/>
      <c r="P572" s="9"/>
      <c r="Q572" s="17"/>
      <c r="R572" s="17"/>
      <c r="S572" s="228"/>
      <c r="T572" s="228"/>
      <c r="U572" s="10"/>
      <c r="V572" s="10"/>
      <c r="W572" s="10"/>
      <c r="X572" s="10"/>
      <c r="Y572" s="10"/>
      <c r="Z572" s="10"/>
      <c r="AA572" s="10"/>
      <c r="AB572" s="16"/>
      <c r="AC572" s="16"/>
      <c r="AD572" s="16"/>
      <c r="AE572" s="16"/>
      <c r="AF572" s="16"/>
      <c r="AG572" s="16"/>
      <c r="AH572" s="16"/>
    </row>
    <row r="573" spans="1:34" s="168" customFormat="1" ht="31.2" customHeight="1" x14ac:dyDescent="0.25">
      <c r="A573" s="1525" t="s">
        <v>70</v>
      </c>
      <c r="B573" s="1526"/>
      <c r="C573" s="1408" t="s">
        <v>803</v>
      </c>
      <c r="D573" s="1009"/>
      <c r="E573" s="1009"/>
      <c r="F573" s="1009"/>
      <c r="G573" s="1009"/>
      <c r="H573" s="1009"/>
      <c r="I573" s="1009"/>
      <c r="J573" s="1009"/>
      <c r="K573" s="1009"/>
      <c r="L573" s="1009"/>
      <c r="M573" s="1009"/>
      <c r="N573" s="1009"/>
      <c r="O573" s="1010"/>
      <c r="P573" s="9"/>
      <c r="Q573" s="17"/>
      <c r="R573" s="17"/>
      <c r="S573" s="228"/>
      <c r="T573" s="228"/>
      <c r="U573" s="10"/>
      <c r="V573" s="10"/>
      <c r="W573" s="10"/>
      <c r="X573" s="10"/>
      <c r="Y573" s="10"/>
      <c r="Z573" s="10"/>
      <c r="AA573" s="10"/>
      <c r="AB573" s="16"/>
      <c r="AC573" s="16"/>
      <c r="AD573" s="16"/>
      <c r="AE573" s="16"/>
      <c r="AF573" s="16"/>
      <c r="AG573" s="16"/>
      <c r="AH573" s="16"/>
    </row>
    <row r="574" spans="1:34" s="168" customFormat="1" ht="31.2" customHeight="1" x14ac:dyDescent="0.25">
      <c r="A574" s="1392" t="s">
        <v>273</v>
      </c>
      <c r="B574" s="1133"/>
      <c r="C574" s="588" t="s">
        <v>804</v>
      </c>
      <c r="D574" s="589"/>
      <c r="E574" s="589"/>
      <c r="F574" s="589"/>
      <c r="G574" s="589"/>
      <c r="H574" s="589"/>
      <c r="I574" s="589"/>
      <c r="J574" s="589"/>
      <c r="K574" s="589"/>
      <c r="L574" s="589"/>
      <c r="M574" s="589"/>
      <c r="N574" s="589"/>
      <c r="O574" s="590"/>
      <c r="P574" s="9"/>
      <c r="Q574" s="17"/>
      <c r="R574" s="17"/>
      <c r="S574" s="228"/>
      <c r="T574" s="228"/>
      <c r="U574" s="10"/>
      <c r="V574" s="10"/>
      <c r="W574" s="10"/>
      <c r="X574" s="10"/>
      <c r="Y574" s="10"/>
      <c r="Z574" s="10"/>
      <c r="AA574" s="10"/>
      <c r="AB574" s="16"/>
      <c r="AC574" s="16"/>
      <c r="AD574" s="16"/>
      <c r="AE574" s="16"/>
      <c r="AF574" s="16"/>
      <c r="AG574" s="16"/>
      <c r="AH574" s="16"/>
    </row>
    <row r="575" spans="1:34" s="168" customFormat="1" ht="31.2" customHeight="1" x14ac:dyDescent="0.25">
      <c r="A575" s="641" t="s">
        <v>718</v>
      </c>
      <c r="B575" s="642"/>
      <c r="C575" s="642"/>
      <c r="D575" s="642"/>
      <c r="E575" s="642"/>
      <c r="F575" s="642"/>
      <c r="G575" s="642"/>
      <c r="H575" s="642"/>
      <c r="I575" s="642"/>
      <c r="J575" s="642"/>
      <c r="K575" s="642"/>
      <c r="L575" s="642"/>
      <c r="M575" s="642"/>
      <c r="N575" s="642"/>
      <c r="O575" s="247" t="s">
        <v>600</v>
      </c>
      <c r="P575" s="9"/>
      <c r="Q575" s="17"/>
      <c r="R575" s="17"/>
      <c r="S575" s="228"/>
      <c r="T575" s="228"/>
      <c r="U575" s="10"/>
      <c r="V575" s="10"/>
      <c r="W575" s="10"/>
      <c r="X575" s="10"/>
      <c r="Y575" s="10"/>
      <c r="Z575" s="10"/>
      <c r="AA575" s="10"/>
      <c r="AB575" s="16"/>
      <c r="AC575" s="16"/>
      <c r="AD575" s="16"/>
      <c r="AE575" s="16"/>
      <c r="AF575" s="16"/>
      <c r="AG575" s="16"/>
      <c r="AH575" s="16"/>
    </row>
    <row r="576" spans="1:34" s="168" customFormat="1" ht="31.2" customHeight="1" x14ac:dyDescent="0.25">
      <c r="A576" s="1496" t="s">
        <v>771</v>
      </c>
      <c r="B576" s="1497"/>
      <c r="C576" s="1497"/>
      <c r="D576" s="1497"/>
      <c r="E576" s="1498"/>
      <c r="F576" s="1498"/>
      <c r="G576" s="1498"/>
      <c r="H576" s="1504" t="str">
        <f>$D$71</f>
        <v>Kingston Buci</v>
      </c>
      <c r="I576" s="1505"/>
      <c r="J576" s="1502" t="str">
        <f>$J$71</f>
        <v>Stepping Stones</v>
      </c>
      <c r="K576" s="1503"/>
      <c r="L576" s="1494" t="s">
        <v>103</v>
      </c>
      <c r="M576" s="1495"/>
      <c r="N576" s="1480" t="s">
        <v>105</v>
      </c>
      <c r="O576" s="1481"/>
      <c r="P576" s="9"/>
      <c r="Q576" s="17"/>
      <c r="R576" s="17"/>
      <c r="S576" s="228"/>
      <c r="T576" s="228"/>
      <c r="U576" s="10"/>
      <c r="V576" s="10"/>
      <c r="W576" s="10"/>
      <c r="X576" s="10"/>
      <c r="Y576" s="10"/>
      <c r="Z576" s="10"/>
      <c r="AA576" s="10"/>
      <c r="AB576" s="16"/>
      <c r="AC576" s="16"/>
      <c r="AD576" s="16"/>
      <c r="AE576" s="16"/>
      <c r="AF576" s="16"/>
      <c r="AG576" s="16"/>
      <c r="AH576" s="16"/>
    </row>
    <row r="577" spans="1:34" s="168" customFormat="1" ht="31.2" customHeight="1" x14ac:dyDescent="0.25">
      <c r="A577" s="1499" t="s">
        <v>671</v>
      </c>
      <c r="B577" s="1500"/>
      <c r="C577" s="1500"/>
      <c r="D577" s="1500"/>
      <c r="E577" s="1501"/>
      <c r="F577" s="1501"/>
      <c r="G577" s="1501"/>
      <c r="H577" s="1510">
        <f>HLOOKUP(A577,cfc,DATA!$A$1+1,FALSE)</f>
        <v>179</v>
      </c>
      <c r="I577" s="1511"/>
      <c r="J577" s="1506">
        <f>HLOOKUP(A577,cfc,DATA!$B$1+1,FALSE)</f>
        <v>135</v>
      </c>
      <c r="K577" s="1507"/>
      <c r="L577" s="1485"/>
      <c r="M577" s="1491"/>
      <c r="N577" s="1485"/>
      <c r="O577" s="1486"/>
      <c r="P577" s="9"/>
      <c r="Q577" s="17"/>
      <c r="R577" s="17"/>
      <c r="S577" s="228"/>
      <c r="T577" s="228"/>
      <c r="U577" s="10"/>
      <c r="V577" s="10"/>
      <c r="W577" s="10"/>
      <c r="X577" s="10"/>
      <c r="Y577" s="10"/>
      <c r="Z577" s="10"/>
      <c r="AA577" s="10"/>
      <c r="AB577" s="16"/>
      <c r="AC577" s="16"/>
      <c r="AD577" s="16"/>
      <c r="AE577" s="16"/>
      <c r="AF577" s="16"/>
      <c r="AG577" s="16"/>
      <c r="AH577" s="16"/>
    </row>
    <row r="578" spans="1:34" s="168" customFormat="1" ht="31.2" customHeight="1" x14ac:dyDescent="0.25">
      <c r="A578" s="1499" t="s">
        <v>796</v>
      </c>
      <c r="B578" s="1500"/>
      <c r="C578" s="1500"/>
      <c r="D578" s="1500"/>
      <c r="E578" s="1501"/>
      <c r="F578" s="1501"/>
      <c r="G578" s="1501"/>
      <c r="H578" s="1512">
        <f>HLOOKUP(A578,cfc,DATA!$A$1+1,FALSE)</f>
        <v>88</v>
      </c>
      <c r="I578" s="1513"/>
      <c r="J578" s="1506">
        <f>HLOOKUP(A578,cfc,DATA!$B$1+1,FALSE)</f>
        <v>68</v>
      </c>
      <c r="K578" s="1507"/>
      <c r="L578" s="1485"/>
      <c r="M578" s="1491"/>
      <c r="N578" s="1485"/>
      <c r="O578" s="1486"/>
      <c r="P578" s="9"/>
      <c r="Q578" s="17"/>
      <c r="R578" s="17"/>
      <c r="S578" s="228"/>
      <c r="T578" s="228"/>
      <c r="U578" s="10"/>
      <c r="V578" s="10"/>
      <c r="W578" s="10"/>
      <c r="X578" s="10"/>
      <c r="Y578" s="10"/>
      <c r="Z578" s="10"/>
      <c r="AA578" s="10"/>
      <c r="AB578" s="16"/>
      <c r="AC578" s="16"/>
      <c r="AD578" s="16"/>
      <c r="AE578" s="16"/>
      <c r="AF578" s="16"/>
      <c r="AG578" s="16"/>
      <c r="AH578" s="16"/>
    </row>
    <row r="579" spans="1:34" s="168" customFormat="1" ht="31.2" customHeight="1" x14ac:dyDescent="0.25">
      <c r="A579" s="1499" t="s">
        <v>797</v>
      </c>
      <c r="B579" s="1500"/>
      <c r="C579" s="1500"/>
      <c r="D579" s="1500"/>
      <c r="E579" s="1501"/>
      <c r="F579" s="1501"/>
      <c r="G579" s="1501"/>
      <c r="H579" s="1514">
        <f>HLOOKUP(A579,cfc,DATA!$A$1+1,FALSE)</f>
        <v>0.49162011173184356</v>
      </c>
      <c r="I579" s="1515"/>
      <c r="J579" s="1508">
        <f>HLOOKUP(A579,cfc,DATA!$B$1+1,FALSE)</f>
        <v>0.50370370370370365</v>
      </c>
      <c r="K579" s="1509"/>
      <c r="L579" s="1487">
        <v>0.52</v>
      </c>
      <c r="M579" s="1492"/>
      <c r="N579" s="1487">
        <v>0.52</v>
      </c>
      <c r="O579" s="1488"/>
      <c r="P579" s="9"/>
      <c r="Q579" s="17"/>
      <c r="R579" s="17"/>
      <c r="S579" s="228"/>
      <c r="T579" s="228"/>
      <c r="U579" s="10"/>
      <c r="V579" s="10"/>
      <c r="W579" s="10"/>
      <c r="X579" s="10"/>
      <c r="Y579" s="10"/>
      <c r="Z579" s="10"/>
      <c r="AA579" s="10"/>
      <c r="AB579" s="16"/>
      <c r="AC579" s="16"/>
      <c r="AD579" s="16"/>
      <c r="AE579" s="16"/>
      <c r="AF579" s="16"/>
      <c r="AG579" s="16"/>
      <c r="AH579" s="16"/>
    </row>
    <row r="580" spans="1:34" s="168" customFormat="1" ht="31.2" customHeight="1" x14ac:dyDescent="0.25">
      <c r="A580" s="1496" t="s">
        <v>772</v>
      </c>
      <c r="B580" s="1498"/>
      <c r="C580" s="1498"/>
      <c r="D580" s="1498"/>
      <c r="E580" s="1498"/>
      <c r="F580" s="1498"/>
      <c r="G580" s="1498"/>
      <c r="H580" s="1504" t="str">
        <f>$D$71</f>
        <v>Kingston Buci</v>
      </c>
      <c r="I580" s="1505"/>
      <c r="J580" s="1502" t="str">
        <f>$J$71</f>
        <v>Stepping Stones</v>
      </c>
      <c r="K580" s="1503"/>
      <c r="L580" s="625" t="s">
        <v>103</v>
      </c>
      <c r="M580" s="1493"/>
      <c r="N580" s="1480" t="s">
        <v>105</v>
      </c>
      <c r="O580" s="1481"/>
      <c r="P580" s="9"/>
      <c r="Q580" s="17"/>
      <c r="R580" s="17"/>
      <c r="S580" s="228"/>
      <c r="T580" s="228"/>
      <c r="U580" s="10"/>
      <c r="V580" s="10"/>
      <c r="W580" s="10"/>
      <c r="X580" s="10"/>
      <c r="Y580" s="10"/>
      <c r="Z580" s="10"/>
      <c r="AA580" s="10"/>
      <c r="AB580" s="16"/>
      <c r="AC580" s="16"/>
      <c r="AD580" s="16"/>
      <c r="AE580" s="16"/>
      <c r="AF580" s="16"/>
      <c r="AG580" s="16"/>
      <c r="AH580" s="16"/>
    </row>
    <row r="581" spans="1:34" s="168" customFormat="1" ht="31.2" customHeight="1" x14ac:dyDescent="0.25">
      <c r="A581" s="1499" t="s">
        <v>773</v>
      </c>
      <c r="B581" s="1500"/>
      <c r="C581" s="1500"/>
      <c r="D581" s="1500"/>
      <c r="E581" s="1501"/>
      <c r="F581" s="1501"/>
      <c r="G581" s="1501"/>
      <c r="H581" s="1510">
        <f>HLOOKUP(A581,cfc,DATA!$A$1+1,FALSE)</f>
        <v>172</v>
      </c>
      <c r="I581" s="1511"/>
      <c r="J581" s="1506">
        <f>HLOOKUP(A581,cfc,DATA!$B$1+1,FALSE)</f>
        <v>122</v>
      </c>
      <c r="K581" s="1507"/>
      <c r="L581" s="1485"/>
      <c r="M581" s="1491"/>
      <c r="N581" s="1485"/>
      <c r="O581" s="1486"/>
      <c r="P581" s="9"/>
      <c r="Q581" s="17"/>
      <c r="R581" s="17"/>
      <c r="S581" s="228"/>
      <c r="T581" s="228"/>
      <c r="U581" s="10"/>
      <c r="V581" s="10"/>
      <c r="W581" s="10"/>
      <c r="X581" s="10"/>
      <c r="Y581" s="10"/>
      <c r="Z581" s="10"/>
      <c r="AA581" s="10"/>
      <c r="AB581" s="16"/>
      <c r="AC581" s="16"/>
      <c r="AD581" s="16"/>
      <c r="AE581" s="16"/>
      <c r="AF581" s="16"/>
      <c r="AG581" s="16"/>
      <c r="AH581" s="16"/>
    </row>
    <row r="582" spans="1:34" s="168" customFormat="1" ht="31.2" customHeight="1" x14ac:dyDescent="0.25">
      <c r="A582" s="1499" t="s">
        <v>798</v>
      </c>
      <c r="B582" s="1500"/>
      <c r="C582" s="1500"/>
      <c r="D582" s="1500"/>
      <c r="E582" s="1501"/>
      <c r="F582" s="1501"/>
      <c r="G582" s="1501"/>
      <c r="H582" s="1510">
        <f>HLOOKUP(A582,cfc,DATA!$A$1+1,FALSE)</f>
        <v>106</v>
      </c>
      <c r="I582" s="1511"/>
      <c r="J582" s="1506">
        <f>HLOOKUP(A582,cfc,DATA!$B$1+1,FALSE)</f>
        <v>68</v>
      </c>
      <c r="K582" s="1507"/>
      <c r="L582" s="1485"/>
      <c r="M582" s="1491"/>
      <c r="N582" s="1485"/>
      <c r="O582" s="1486"/>
      <c r="P582" s="9"/>
      <c r="Q582" s="17"/>
      <c r="R582" s="17"/>
      <c r="S582" s="228"/>
      <c r="T582" s="228"/>
      <c r="U582" s="10"/>
      <c r="V582" s="10"/>
      <c r="W582" s="10"/>
      <c r="X582" s="10"/>
      <c r="Y582" s="10"/>
      <c r="Z582" s="10"/>
      <c r="AA582" s="10"/>
      <c r="AB582" s="16"/>
      <c r="AC582" s="16"/>
      <c r="AD582" s="16"/>
      <c r="AE582" s="16"/>
      <c r="AF582" s="16"/>
      <c r="AG582" s="16"/>
      <c r="AH582" s="16"/>
    </row>
    <row r="583" spans="1:34" s="168" customFormat="1" ht="31.2" customHeight="1" x14ac:dyDescent="0.25">
      <c r="A583" s="1516" t="s">
        <v>799</v>
      </c>
      <c r="B583" s="1517"/>
      <c r="C583" s="1517"/>
      <c r="D583" s="1517"/>
      <c r="E583" s="1518"/>
      <c r="F583" s="1518"/>
      <c r="G583" s="1518"/>
      <c r="H583" s="1519">
        <f>HLOOKUP(A583,cfc,DATA!$A$1+1,FALSE)</f>
        <v>0.61627906976744184</v>
      </c>
      <c r="I583" s="1520"/>
      <c r="J583" s="1521">
        <f>HLOOKUP(A583,cfc,DATA!$B$1+1,FALSE)</f>
        <v>0.55737704918032782</v>
      </c>
      <c r="K583" s="1522"/>
      <c r="L583" s="1523">
        <v>0.59</v>
      </c>
      <c r="M583" s="1524"/>
      <c r="N583" s="1489">
        <v>0.6</v>
      </c>
      <c r="O583" s="1490"/>
      <c r="P583" s="9"/>
      <c r="Q583" s="17"/>
      <c r="R583" s="17"/>
      <c r="S583" s="228"/>
      <c r="T583" s="228"/>
      <c r="U583" s="10"/>
      <c r="V583" s="10"/>
      <c r="W583" s="10"/>
      <c r="X583" s="10"/>
      <c r="Y583" s="10"/>
      <c r="Z583" s="10"/>
      <c r="AA583" s="10"/>
      <c r="AB583" s="16"/>
      <c r="AC583" s="16"/>
      <c r="AD583" s="16"/>
      <c r="AE583" s="16"/>
      <c r="AF583" s="16"/>
      <c r="AG583" s="16"/>
      <c r="AH583" s="16"/>
    </row>
    <row r="584" spans="1:34" s="168" customFormat="1" ht="31.2" customHeight="1" x14ac:dyDescent="0.25">
      <c r="A584" s="373"/>
      <c r="B584" s="174"/>
      <c r="C584" s="175"/>
      <c r="D584" s="176">
        <v>2013</v>
      </c>
      <c r="E584" s="176" t="s">
        <v>672</v>
      </c>
      <c r="F584" s="176" t="s">
        <v>673</v>
      </c>
      <c r="G584" s="176">
        <v>2014</v>
      </c>
      <c r="H584" s="176" t="s">
        <v>794</v>
      </c>
      <c r="I584" s="176" t="s">
        <v>795</v>
      </c>
      <c r="J584" s="175"/>
      <c r="K584" s="175"/>
      <c r="L584" s="174"/>
      <c r="M584" s="174"/>
      <c r="N584" s="177"/>
      <c r="O584" s="374"/>
      <c r="P584" s="9"/>
      <c r="Q584" s="17"/>
      <c r="R584" s="17"/>
      <c r="S584" s="228"/>
      <c r="T584" s="228"/>
      <c r="U584" s="10"/>
      <c r="V584" s="10"/>
      <c r="W584" s="10"/>
      <c r="X584" s="10"/>
      <c r="Y584" s="10"/>
      <c r="Z584" s="10"/>
      <c r="AA584" s="10"/>
      <c r="AB584" s="16"/>
      <c r="AC584" s="16"/>
      <c r="AD584" s="16"/>
      <c r="AE584" s="16"/>
      <c r="AF584" s="16"/>
      <c r="AG584" s="16"/>
      <c r="AH584" s="16"/>
    </row>
    <row r="585" spans="1:34" s="168" customFormat="1" ht="31.2" customHeight="1" x14ac:dyDescent="0.25">
      <c r="A585" s="375"/>
      <c r="B585" s="170"/>
      <c r="C585" s="171" t="str">
        <f>H576</f>
        <v>Kingston Buci</v>
      </c>
      <c r="D585" s="173">
        <f>H579</f>
        <v>0.49162011173184356</v>
      </c>
      <c r="E585" s="173">
        <f>D585-HLOOKUP(E584,cfc,DATA!$A$1+1,FALSE)</f>
        <v>7.2287728807640783E-2</v>
      </c>
      <c r="F585" s="173">
        <f>HLOOKUP(F584,cfc,DATA!$A$1+1,FALSE)-D585</f>
        <v>7.26398480251505E-2</v>
      </c>
      <c r="G585" s="173">
        <f>H583</f>
        <v>0.61627906976744184</v>
      </c>
      <c r="H585" s="173">
        <f>G585-HLOOKUP(H584,cfc,DATA!$A$1+1,FALSE)</f>
        <v>7.4461125755117541E-2</v>
      </c>
      <c r="I585" s="173">
        <f>HLOOKUP(I584,cfc,DATA!$A$1+1,FALSE)-G585</f>
        <v>6.938062584097926E-2</v>
      </c>
      <c r="J585" s="171"/>
      <c r="K585" s="171"/>
      <c r="L585" s="170"/>
      <c r="M585" s="170"/>
      <c r="N585" s="172"/>
      <c r="O585" s="376"/>
      <c r="P585" s="9"/>
      <c r="Q585" s="17"/>
      <c r="R585" s="17"/>
      <c r="S585" s="228"/>
      <c r="T585" s="228"/>
      <c r="U585" s="10"/>
      <c r="V585" s="10"/>
      <c r="W585" s="10"/>
      <c r="X585" s="10"/>
      <c r="Y585" s="10"/>
      <c r="Z585" s="10"/>
      <c r="AA585" s="10"/>
      <c r="AB585" s="16"/>
      <c r="AC585" s="16"/>
      <c r="AD585" s="16"/>
      <c r="AE585" s="16"/>
      <c r="AF585" s="16"/>
      <c r="AG585" s="16"/>
      <c r="AH585" s="16"/>
    </row>
    <row r="586" spans="1:34" s="168" customFormat="1" ht="31.2" customHeight="1" x14ac:dyDescent="0.25">
      <c r="A586" s="375"/>
      <c r="B586" s="170"/>
      <c r="C586" s="171" t="str">
        <f>J576</f>
        <v>Stepping Stones</v>
      </c>
      <c r="D586" s="173">
        <f>J579</f>
        <v>0.50370370370370365</v>
      </c>
      <c r="E586" s="173">
        <f>D586-HLOOKUP(E584,cfc,DATA!$B$1+1,FALSE)</f>
        <v>8.3268686821630078E-2</v>
      </c>
      <c r="F586" s="173">
        <f>HLOOKUP(F584,cfc,DATA!$B$1+1,FALSE)-D586</f>
        <v>8.3063739028907846E-2</v>
      </c>
      <c r="G586" s="173">
        <f>J583</f>
        <v>0.55737704918032782</v>
      </c>
      <c r="H586" s="173">
        <f>G586-HLOOKUP(H584,cfc,DATA!$B$1+1,FALSE)</f>
        <v>8.8550789697254551E-2</v>
      </c>
      <c r="I586" s="173">
        <f>HLOOKUP(I584,cfc,DATA!$B$1+1,FALSE)-G586</f>
        <v>8.5047785619826954E-2</v>
      </c>
      <c r="J586" s="171"/>
      <c r="K586" s="171"/>
      <c r="L586" s="170"/>
      <c r="M586" s="170"/>
      <c r="N586" s="172"/>
      <c r="O586" s="376"/>
      <c r="P586" s="9"/>
      <c r="Q586" s="17"/>
      <c r="R586" s="17"/>
      <c r="S586" s="228"/>
      <c r="T586" s="228"/>
      <c r="U586" s="10"/>
      <c r="V586" s="10"/>
      <c r="W586" s="10"/>
      <c r="X586" s="10"/>
      <c r="Y586" s="10"/>
      <c r="Z586" s="10"/>
      <c r="AA586" s="10"/>
      <c r="AB586" s="16"/>
      <c r="AC586" s="16"/>
      <c r="AD586" s="16"/>
      <c r="AE586" s="16"/>
      <c r="AF586" s="16"/>
      <c r="AG586" s="16"/>
      <c r="AH586" s="16"/>
    </row>
    <row r="587" spans="1:34" s="168" customFormat="1" ht="31.2" customHeight="1" x14ac:dyDescent="0.25">
      <c r="A587" s="375"/>
      <c r="B587" s="170"/>
      <c r="C587" s="171" t="s">
        <v>103</v>
      </c>
      <c r="D587" s="173">
        <f>L579</f>
        <v>0.52</v>
      </c>
      <c r="E587" s="173"/>
      <c r="F587" s="173"/>
      <c r="G587" s="173">
        <f>L583</f>
        <v>0.59</v>
      </c>
      <c r="H587" s="173"/>
      <c r="I587" s="173"/>
      <c r="J587" s="171"/>
      <c r="K587" s="171"/>
      <c r="L587" s="170"/>
      <c r="M587" s="170"/>
      <c r="N587" s="172"/>
      <c r="O587" s="376"/>
      <c r="P587" s="9"/>
      <c r="Q587" s="17"/>
      <c r="R587" s="17"/>
      <c r="S587" s="228"/>
      <c r="T587" s="228"/>
      <c r="U587" s="10"/>
      <c r="V587" s="10"/>
      <c r="W587" s="10"/>
      <c r="X587" s="10"/>
      <c r="Y587" s="10"/>
      <c r="Z587" s="10"/>
      <c r="AA587" s="10"/>
      <c r="AB587" s="16"/>
      <c r="AC587" s="16"/>
      <c r="AD587" s="16"/>
      <c r="AE587" s="16"/>
      <c r="AF587" s="16"/>
      <c r="AG587" s="16"/>
      <c r="AH587" s="16"/>
    </row>
    <row r="588" spans="1:34" s="168" customFormat="1" ht="31.2" customHeight="1" x14ac:dyDescent="0.25">
      <c r="A588" s="375"/>
      <c r="B588" s="170"/>
      <c r="C588" s="171" t="s">
        <v>105</v>
      </c>
      <c r="D588" s="173">
        <f>N579</f>
        <v>0.52</v>
      </c>
      <c r="E588" s="173"/>
      <c r="F588" s="173"/>
      <c r="G588" s="173">
        <f>N583</f>
        <v>0.6</v>
      </c>
      <c r="H588" s="173"/>
      <c r="I588" s="173"/>
      <c r="J588" s="171"/>
      <c r="K588" s="171"/>
      <c r="L588" s="170"/>
      <c r="M588" s="170"/>
      <c r="N588" s="172"/>
      <c r="O588" s="376"/>
      <c r="P588" s="9"/>
      <c r="Q588" s="17"/>
      <c r="R588" s="17"/>
      <c r="S588" s="228"/>
      <c r="T588" s="228"/>
      <c r="U588" s="10"/>
      <c r="V588" s="10"/>
      <c r="W588" s="10"/>
      <c r="X588" s="10"/>
      <c r="Y588" s="10"/>
      <c r="Z588" s="10"/>
      <c r="AA588" s="10"/>
      <c r="AB588" s="16"/>
      <c r="AC588" s="16"/>
      <c r="AD588" s="16"/>
      <c r="AE588" s="16"/>
      <c r="AF588" s="16"/>
      <c r="AG588" s="16"/>
      <c r="AH588" s="16"/>
    </row>
    <row r="589" spans="1:34" s="168" customFormat="1" ht="31.2" customHeight="1" x14ac:dyDescent="0.25">
      <c r="A589" s="377"/>
      <c r="B589" s="378"/>
      <c r="C589" s="379"/>
      <c r="D589" s="379"/>
      <c r="E589" s="379"/>
      <c r="F589" s="379"/>
      <c r="G589" s="379"/>
      <c r="H589" s="379"/>
      <c r="I589" s="379"/>
      <c r="J589" s="379"/>
      <c r="K589" s="379"/>
      <c r="L589" s="378"/>
      <c r="M589" s="378"/>
      <c r="N589" s="380"/>
      <c r="O589" s="381"/>
      <c r="P589" s="9"/>
      <c r="Q589" s="17"/>
      <c r="R589" s="17"/>
      <c r="S589" s="228"/>
      <c r="T589" s="228"/>
      <c r="U589" s="10"/>
      <c r="V589" s="10"/>
      <c r="W589" s="10"/>
      <c r="X589" s="10"/>
      <c r="Y589" s="10"/>
      <c r="Z589" s="10"/>
      <c r="AA589" s="10"/>
      <c r="AB589" s="16"/>
      <c r="AC589" s="16"/>
      <c r="AD589" s="16"/>
      <c r="AE589" s="16"/>
      <c r="AF589" s="16"/>
      <c r="AG589" s="16"/>
      <c r="AH589" s="16"/>
    </row>
    <row r="590" spans="1:34" s="168" customFormat="1" ht="20.399999999999999" customHeight="1" x14ac:dyDescent="0.25">
      <c r="A590" s="475" t="s">
        <v>805</v>
      </c>
      <c r="B590" s="476"/>
      <c r="C590" s="476"/>
      <c r="D590" s="476"/>
      <c r="E590" s="476"/>
      <c r="F590" s="476"/>
      <c r="G590" s="476"/>
      <c r="H590" s="476"/>
      <c r="I590" s="476"/>
      <c r="J590" s="476"/>
      <c r="K590" s="476"/>
      <c r="L590" s="476"/>
      <c r="M590" s="476"/>
      <c r="N590" s="476"/>
      <c r="O590" s="247" t="s">
        <v>600</v>
      </c>
      <c r="P590" s="9"/>
      <c r="Q590" s="17"/>
      <c r="R590" s="17"/>
      <c r="S590" s="228"/>
      <c r="T590" s="228"/>
      <c r="U590" s="10"/>
      <c r="V590" s="10"/>
      <c r="W590" s="10"/>
      <c r="X590" s="10"/>
      <c r="Y590" s="10"/>
      <c r="Z590" s="10"/>
      <c r="AA590" s="10"/>
      <c r="AB590" s="16"/>
      <c r="AC590" s="16"/>
      <c r="AD590" s="16"/>
      <c r="AE590" s="16"/>
      <c r="AF590" s="16"/>
      <c r="AG590" s="16"/>
      <c r="AH590" s="16"/>
    </row>
    <row r="591" spans="1:34" s="168" customFormat="1" ht="25.2" customHeight="1" x14ac:dyDescent="0.25">
      <c r="A591" s="1482" t="s">
        <v>802</v>
      </c>
      <c r="B591" s="1483"/>
      <c r="C591" s="1483"/>
      <c r="D591" s="1483"/>
      <c r="E591" s="1483"/>
      <c r="F591" s="1483"/>
      <c r="G591" s="1483"/>
      <c r="H591" s="1483"/>
      <c r="I591" s="1483"/>
      <c r="J591" s="1483"/>
      <c r="K591" s="1483"/>
      <c r="L591" s="1483"/>
      <c r="M591" s="1483"/>
      <c r="N591" s="1483"/>
      <c r="O591" s="1484"/>
      <c r="P591" s="9"/>
      <c r="Q591" s="17"/>
      <c r="R591" s="17"/>
      <c r="S591" s="228"/>
      <c r="T591" s="228"/>
      <c r="U591" s="10"/>
      <c r="V591" s="10"/>
      <c r="W591" s="10"/>
      <c r="X591" s="10"/>
      <c r="Y591" s="10"/>
      <c r="Z591" s="10"/>
      <c r="AA591" s="10"/>
      <c r="AB591" s="16"/>
      <c r="AC591" s="16"/>
      <c r="AD591" s="16"/>
      <c r="AE591" s="16"/>
      <c r="AF591" s="16"/>
      <c r="AG591" s="16"/>
      <c r="AH591" s="16"/>
    </row>
    <row r="592" spans="1:34" s="168" customFormat="1" ht="31.2" customHeight="1" x14ac:dyDescent="0.25">
      <c r="A592" s="1788" t="s">
        <v>813</v>
      </c>
      <c r="B592" s="1789"/>
      <c r="C592" s="1789"/>
      <c r="D592" s="1789"/>
      <c r="E592" s="1790"/>
      <c r="F592" s="1790"/>
      <c r="G592" s="1791"/>
      <c r="H592" s="1504" t="str">
        <f>$D$71</f>
        <v>Kingston Buci</v>
      </c>
      <c r="I592" s="1505"/>
      <c r="J592" s="1502" t="str">
        <f>$J$71</f>
        <v>Stepping Stones</v>
      </c>
      <c r="K592" s="1503"/>
      <c r="L592" s="1494" t="s">
        <v>103</v>
      </c>
      <c r="M592" s="1495"/>
      <c r="N592" s="1480" t="s">
        <v>105</v>
      </c>
      <c r="O592" s="1481"/>
      <c r="P592" s="9"/>
      <c r="Q592" s="17"/>
      <c r="R592" s="17"/>
      <c r="S592" s="228"/>
      <c r="T592" s="228"/>
      <c r="U592" s="10"/>
      <c r="V592" s="10"/>
      <c r="W592" s="10"/>
      <c r="X592" s="10"/>
      <c r="Y592" s="10"/>
      <c r="Z592" s="10"/>
      <c r="AA592" s="10"/>
      <c r="AB592" s="16"/>
      <c r="AC592" s="16"/>
      <c r="AD592" s="16"/>
      <c r="AE592" s="16"/>
      <c r="AF592" s="16"/>
      <c r="AG592" s="16"/>
      <c r="AH592" s="16"/>
    </row>
    <row r="593" spans="1:34" s="168" customFormat="1" ht="27.6" customHeight="1" x14ac:dyDescent="0.25">
      <c r="A593" s="1499" t="s">
        <v>671</v>
      </c>
      <c r="B593" s="1500"/>
      <c r="C593" s="1500"/>
      <c r="D593" s="1500"/>
      <c r="E593" s="1501"/>
      <c r="F593" s="1501"/>
      <c r="G593" s="1501"/>
      <c r="H593" s="1533">
        <f>HLOOKUP(A593,cfc,DATA!$A$1+1,FALSE)</f>
        <v>179</v>
      </c>
      <c r="I593" s="1792"/>
      <c r="J593" s="1533">
        <f>HLOOKUP(A593,cfc,DATA!$B$1+1,FALSE)</f>
        <v>135</v>
      </c>
      <c r="K593" s="1792"/>
      <c r="L593" s="1534"/>
      <c r="M593" s="1793"/>
      <c r="N593" s="1534"/>
      <c r="O593" s="1794"/>
      <c r="P593" s="9"/>
      <c r="Q593" s="17"/>
      <c r="R593" s="17"/>
      <c r="S593" s="228"/>
      <c r="T593" s="228"/>
      <c r="U593" s="10"/>
      <c r="V593" s="10"/>
      <c r="W593" s="10"/>
      <c r="X593" s="10"/>
      <c r="Y593" s="10"/>
      <c r="Z593" s="10"/>
      <c r="AA593" s="10"/>
      <c r="AB593" s="16"/>
      <c r="AC593" s="16"/>
      <c r="AD593" s="16"/>
      <c r="AE593" s="16"/>
      <c r="AF593" s="16"/>
      <c r="AG593" s="16"/>
      <c r="AH593" s="16"/>
    </row>
    <row r="594" spans="1:34" s="168" customFormat="1" ht="27.6" customHeight="1" x14ac:dyDescent="0.25">
      <c r="A594" s="1499" t="s">
        <v>812</v>
      </c>
      <c r="B594" s="1500"/>
      <c r="C594" s="1500"/>
      <c r="D594" s="1500"/>
      <c r="E594" s="1501"/>
      <c r="F594" s="1501"/>
      <c r="G594" s="1501"/>
      <c r="H594" s="1535">
        <f>HLOOKUP(A594,cfc,DATA!$A$1+1,FALSE)</f>
        <v>34</v>
      </c>
      <c r="I594" s="1795"/>
      <c r="J594" s="1535">
        <f>HLOOKUP(A594,cfc,DATA!$B$1+1,FALSE)</f>
        <v>34</v>
      </c>
      <c r="K594" s="1795"/>
      <c r="L594" s="1510">
        <v>34</v>
      </c>
      <c r="M594" s="1796"/>
      <c r="N594" s="1510">
        <v>34</v>
      </c>
      <c r="O594" s="1797"/>
      <c r="P594" s="9"/>
      <c r="Q594" s="17"/>
      <c r="R594" s="17"/>
      <c r="S594" s="228"/>
      <c r="T594" s="228"/>
      <c r="U594" s="10"/>
      <c r="V594" s="10"/>
      <c r="W594" s="10"/>
      <c r="X594" s="10"/>
      <c r="Y594" s="10"/>
      <c r="Z594" s="10"/>
      <c r="AA594" s="10"/>
      <c r="AB594" s="16"/>
      <c r="AC594" s="16"/>
      <c r="AD594" s="16"/>
      <c r="AE594" s="16"/>
      <c r="AF594" s="16"/>
      <c r="AG594" s="16"/>
      <c r="AH594" s="16"/>
    </row>
    <row r="595" spans="1:34" s="168" customFormat="1" ht="27.6" customHeight="1" x14ac:dyDescent="0.25">
      <c r="A595" s="1499" t="s">
        <v>809</v>
      </c>
      <c r="B595" s="1500"/>
      <c r="C595" s="1500"/>
      <c r="D595" s="1500"/>
      <c r="E595" s="1501"/>
      <c r="F595" s="1501"/>
      <c r="G595" s="1501"/>
      <c r="H595" s="1530">
        <f>HLOOKUP(A595,cfc,DATA!$A$1+1,FALSE)</f>
        <v>35</v>
      </c>
      <c r="I595" s="1531"/>
      <c r="J595" s="1530"/>
      <c r="K595" s="1531"/>
      <c r="L595" s="1527"/>
      <c r="M595" s="1528"/>
      <c r="N595" s="1527"/>
      <c r="O595" s="1529"/>
      <c r="P595" s="9"/>
      <c r="Q595" s="17"/>
      <c r="R595" s="17"/>
      <c r="S595" s="228"/>
      <c r="T595" s="228"/>
      <c r="U595" s="10"/>
      <c r="V595" s="10"/>
      <c r="W595" s="10"/>
      <c r="X595" s="10"/>
      <c r="Y595" s="10"/>
      <c r="Z595" s="10"/>
      <c r="AA595" s="10"/>
      <c r="AB595" s="16"/>
      <c r="AC595" s="16"/>
      <c r="AD595" s="16"/>
      <c r="AE595" s="16"/>
      <c r="AF595" s="16"/>
      <c r="AG595" s="16"/>
      <c r="AH595" s="16"/>
    </row>
    <row r="596" spans="1:34" s="168" customFormat="1" ht="27.6" customHeight="1" x14ac:dyDescent="0.25">
      <c r="A596" s="1499" t="s">
        <v>810</v>
      </c>
      <c r="B596" s="1500"/>
      <c r="C596" s="1500"/>
      <c r="D596" s="1500"/>
      <c r="E596" s="1501"/>
      <c r="F596" s="1501"/>
      <c r="G596" s="1501"/>
      <c r="H596" s="1536">
        <f>HLOOKUP(A596,cfc,DATA!$A$1+1,FALSE)</f>
        <v>23.971428571428568</v>
      </c>
      <c r="I596" s="1537"/>
      <c r="J596" s="1536">
        <f>HLOOKUP(A596,cfc,DATA!$B$1+1,FALSE)</f>
        <v>21.518518518518519</v>
      </c>
      <c r="K596" s="1537"/>
      <c r="L596" s="1536">
        <v>23.7</v>
      </c>
      <c r="M596" s="1537"/>
      <c r="N596" s="1536">
        <v>21.6</v>
      </c>
      <c r="O596" s="1538"/>
      <c r="P596" s="9"/>
      <c r="Q596" s="17"/>
      <c r="R596" s="17"/>
      <c r="S596" s="228"/>
      <c r="T596" s="228"/>
      <c r="U596" s="10"/>
      <c r="V596" s="10"/>
      <c r="W596" s="10"/>
      <c r="X596" s="10"/>
      <c r="Y596" s="10"/>
      <c r="Z596" s="10"/>
      <c r="AA596" s="10"/>
      <c r="AB596" s="16"/>
      <c r="AC596" s="16"/>
      <c r="AD596" s="16"/>
      <c r="AE596" s="16"/>
      <c r="AF596" s="16"/>
      <c r="AG596" s="16"/>
      <c r="AH596" s="16"/>
    </row>
    <row r="597" spans="1:34" s="168" customFormat="1" ht="27.6" customHeight="1" x14ac:dyDescent="0.25">
      <c r="A597" s="1499" t="s">
        <v>811</v>
      </c>
      <c r="B597" s="1500"/>
      <c r="C597" s="1500"/>
      <c r="D597" s="1500"/>
      <c r="E597" s="1501"/>
      <c r="F597" s="1501"/>
      <c r="G597" s="1501"/>
      <c r="H597" s="1519">
        <f>HLOOKUP(A597,cfc,DATA!$A$1+1,FALSE)</f>
        <v>0.29495798319327743</v>
      </c>
      <c r="I597" s="1520"/>
      <c r="J597" s="1519">
        <f>HLOOKUP(A597,cfc,DATA!$B$1+1,FALSE)</f>
        <v>0.36710239651416121</v>
      </c>
      <c r="K597" s="1520"/>
      <c r="L597" s="1519">
        <v>0.30399999999999999</v>
      </c>
      <c r="M597" s="1520"/>
      <c r="N597" s="1519">
        <v>0.36599999999999999</v>
      </c>
      <c r="O597" s="1532"/>
      <c r="P597" s="9"/>
      <c r="Q597" s="17"/>
      <c r="R597" s="17"/>
      <c r="S597" s="228"/>
      <c r="T597" s="228"/>
      <c r="U597" s="10"/>
      <c r="V597" s="10"/>
      <c r="W597" s="10"/>
      <c r="X597" s="10"/>
      <c r="Y597" s="10"/>
      <c r="Z597" s="10"/>
      <c r="AA597" s="10"/>
      <c r="AB597" s="16"/>
      <c r="AC597" s="16"/>
      <c r="AD597" s="16"/>
      <c r="AE597" s="16"/>
      <c r="AF597" s="16"/>
      <c r="AG597" s="16"/>
      <c r="AH597" s="16"/>
    </row>
    <row r="598" spans="1:34" s="168" customFormat="1" ht="31.2" customHeight="1" x14ac:dyDescent="0.25">
      <c r="A598" s="1788" t="s">
        <v>814</v>
      </c>
      <c r="B598" s="1789"/>
      <c r="C598" s="1789"/>
      <c r="D598" s="1789"/>
      <c r="E598" s="1790"/>
      <c r="F598" s="1790"/>
      <c r="G598" s="1791"/>
      <c r="H598" s="1504" t="str">
        <f>$D$71</f>
        <v>Kingston Buci</v>
      </c>
      <c r="I598" s="1505"/>
      <c r="J598" s="1502" t="str">
        <f>$J$71</f>
        <v>Stepping Stones</v>
      </c>
      <c r="K598" s="1503"/>
      <c r="L598" s="625" t="s">
        <v>103</v>
      </c>
      <c r="M598" s="1493"/>
      <c r="N598" s="1480" t="s">
        <v>105</v>
      </c>
      <c r="O598" s="1481"/>
      <c r="P598" s="9"/>
      <c r="Q598" s="17"/>
      <c r="R598" s="17"/>
      <c r="S598" s="228"/>
      <c r="T598" s="228"/>
      <c r="U598" s="10"/>
      <c r="V598" s="10"/>
      <c r="W598" s="10"/>
      <c r="X598" s="10"/>
      <c r="Y598" s="10"/>
      <c r="Z598" s="10"/>
      <c r="AA598" s="10"/>
      <c r="AB598" s="16"/>
      <c r="AC598" s="16"/>
      <c r="AD598" s="16"/>
      <c r="AE598" s="16"/>
      <c r="AF598" s="16"/>
      <c r="AG598" s="16"/>
      <c r="AH598" s="16"/>
    </row>
    <row r="599" spans="1:34" s="168" customFormat="1" ht="27.6" customHeight="1" x14ac:dyDescent="0.25">
      <c r="A599" s="1499" t="s">
        <v>773</v>
      </c>
      <c r="B599" s="1500"/>
      <c r="C599" s="1500"/>
      <c r="D599" s="1500"/>
      <c r="E599" s="1501"/>
      <c r="F599" s="1501"/>
      <c r="G599" s="1501"/>
      <c r="H599" s="1533">
        <f>HLOOKUP(A599,cfc,DATA!$A$1+1,FALSE)</f>
        <v>172</v>
      </c>
      <c r="I599" s="1792"/>
      <c r="J599" s="1533">
        <f>HLOOKUP(A599,cfc,DATA!$B$1+1,FALSE)</f>
        <v>122</v>
      </c>
      <c r="K599" s="1792"/>
      <c r="L599" s="1534"/>
      <c r="M599" s="1798"/>
      <c r="N599" s="1534"/>
      <c r="O599" s="1794"/>
      <c r="P599" s="9"/>
      <c r="Q599" s="17"/>
      <c r="R599" s="17"/>
      <c r="S599" s="228"/>
      <c r="T599" s="228"/>
      <c r="U599" s="10"/>
      <c r="V599" s="10"/>
      <c r="W599" s="10"/>
      <c r="X599" s="10"/>
      <c r="Y599" s="10"/>
      <c r="Z599" s="10"/>
      <c r="AA599" s="10"/>
      <c r="AB599" s="16"/>
      <c r="AC599" s="16"/>
      <c r="AD599" s="16"/>
      <c r="AE599" s="16"/>
      <c r="AF599" s="16"/>
      <c r="AG599" s="16"/>
      <c r="AH599" s="16"/>
    </row>
    <row r="600" spans="1:34" s="168" customFormat="1" ht="27.6" customHeight="1" x14ac:dyDescent="0.25">
      <c r="A600" s="1499" t="s">
        <v>808</v>
      </c>
      <c r="B600" s="1500"/>
      <c r="C600" s="1500"/>
      <c r="D600" s="1500"/>
      <c r="E600" s="1501"/>
      <c r="F600" s="1501"/>
      <c r="G600" s="1501"/>
      <c r="H600" s="1535">
        <f>HLOOKUP(A600,cfc,DATA!$A$1+1,FALSE)</f>
        <v>34</v>
      </c>
      <c r="I600" s="1795"/>
      <c r="J600" s="1535">
        <f>HLOOKUP(A600,cfc,DATA!$B$1+1,FALSE)</f>
        <v>34</v>
      </c>
      <c r="K600" s="1795"/>
      <c r="L600" s="1506">
        <v>34</v>
      </c>
      <c r="M600" s="1507"/>
      <c r="N600" s="1506">
        <v>34</v>
      </c>
      <c r="O600" s="1554"/>
      <c r="P600" s="9"/>
      <c r="Q600" s="17"/>
      <c r="R600" s="17"/>
      <c r="S600" s="228"/>
      <c r="T600" s="228"/>
      <c r="U600" s="10"/>
      <c r="V600" s="10"/>
      <c r="W600" s="10"/>
      <c r="X600" s="10"/>
      <c r="Y600" s="10"/>
      <c r="Z600" s="10"/>
      <c r="AA600" s="10"/>
      <c r="AB600" s="16"/>
      <c r="AC600" s="16"/>
      <c r="AD600" s="16"/>
      <c r="AE600" s="16"/>
      <c r="AF600" s="16"/>
      <c r="AG600" s="16"/>
      <c r="AH600" s="16"/>
    </row>
    <row r="601" spans="1:34" s="168" customFormat="1" ht="27.6" customHeight="1" x14ac:dyDescent="0.25">
      <c r="A601" s="1499" t="s">
        <v>807</v>
      </c>
      <c r="B601" s="1500"/>
      <c r="C601" s="1500"/>
      <c r="D601" s="1500"/>
      <c r="E601" s="1501"/>
      <c r="F601" s="1501"/>
      <c r="G601" s="1501"/>
      <c r="H601" s="1530">
        <f>HLOOKUP(A601,cfc,DATA!$A$1+1,FALSE)</f>
        <v>34</v>
      </c>
      <c r="I601" s="1531"/>
      <c r="J601" s="1530">
        <f>HLOOKUP(A601,cfc,DATA!$B$1+1,FALSE)</f>
        <v>24</v>
      </c>
      <c r="K601" s="1531"/>
      <c r="L601" s="1527"/>
      <c r="M601" s="1528"/>
      <c r="N601" s="1527"/>
      <c r="O601" s="1529"/>
      <c r="P601" s="9"/>
      <c r="Q601" s="17"/>
      <c r="R601" s="17"/>
      <c r="S601" s="228"/>
      <c r="T601" s="228"/>
      <c r="U601" s="10"/>
      <c r="V601" s="10"/>
      <c r="W601" s="10"/>
      <c r="X601" s="10"/>
      <c r="Y601" s="10"/>
      <c r="Z601" s="10"/>
      <c r="AA601" s="10"/>
      <c r="AB601" s="16"/>
      <c r="AC601" s="16"/>
      <c r="AD601" s="16"/>
      <c r="AE601" s="16"/>
      <c r="AF601" s="16"/>
      <c r="AG601" s="16"/>
      <c r="AH601" s="16"/>
    </row>
    <row r="602" spans="1:34" s="168" customFormat="1" ht="27.6" customHeight="1" x14ac:dyDescent="0.25">
      <c r="A602" s="1499" t="s">
        <v>800</v>
      </c>
      <c r="B602" s="1500"/>
      <c r="C602" s="1500"/>
      <c r="D602" s="1500"/>
      <c r="E602" s="1501"/>
      <c r="F602" s="1501"/>
      <c r="G602" s="1501"/>
      <c r="H602" s="1536">
        <f>HLOOKUP(A602,cfc,DATA!$A$1+1,FALSE)</f>
        <v>26.941176470588232</v>
      </c>
      <c r="I602" s="1537"/>
      <c r="J602" s="1536">
        <f>HLOOKUP(A602,cfc,DATA!$B$1+1,FALSE)</f>
        <v>23.166666666666668</v>
      </c>
      <c r="K602" s="1537"/>
      <c r="L602" s="1536">
        <v>24.5</v>
      </c>
      <c r="M602" s="1537"/>
      <c r="N602" s="1536">
        <v>22.5</v>
      </c>
      <c r="O602" s="1538"/>
      <c r="P602" s="9"/>
      <c r="Q602" s="17"/>
      <c r="R602" s="17"/>
      <c r="S602" s="228"/>
      <c r="T602" s="228"/>
      <c r="U602" s="10"/>
      <c r="V602" s="10"/>
      <c r="W602" s="10"/>
      <c r="X602" s="10"/>
      <c r="Y602" s="10"/>
      <c r="Z602" s="10"/>
      <c r="AA602" s="10"/>
      <c r="AB602" s="16"/>
      <c r="AC602" s="16"/>
      <c r="AD602" s="16"/>
      <c r="AE602" s="16"/>
      <c r="AF602" s="16"/>
      <c r="AG602" s="16"/>
      <c r="AH602" s="16"/>
    </row>
    <row r="603" spans="1:34" s="168" customFormat="1" ht="27.6" customHeight="1" x14ac:dyDescent="0.25">
      <c r="A603" s="1832" t="s">
        <v>801</v>
      </c>
      <c r="B603" s="1833"/>
      <c r="C603" s="1833"/>
      <c r="D603" s="1833"/>
      <c r="E603" s="1834"/>
      <c r="F603" s="1834"/>
      <c r="G603" s="1834"/>
      <c r="H603" s="1835">
        <f>(H600-H602)/H600</f>
        <v>0.20761245674740494</v>
      </c>
      <c r="I603" s="1836"/>
      <c r="J603" s="1835">
        <f>HLOOKUP(A603,cfc,DATA!$B$1+1,FALSE)</f>
        <v>0.31862745098039214</v>
      </c>
      <c r="K603" s="1836"/>
      <c r="L603" s="1835">
        <v>0.27900000000000003</v>
      </c>
      <c r="M603" s="1836"/>
      <c r="N603" s="1835">
        <v>0.33900000000000002</v>
      </c>
      <c r="O603" s="1837"/>
      <c r="P603" s="9"/>
      <c r="Q603" s="17"/>
      <c r="R603" s="17"/>
      <c r="S603" s="228"/>
      <c r="T603" s="228"/>
      <c r="U603" s="10"/>
      <c r="V603" s="10"/>
      <c r="W603" s="10"/>
      <c r="X603" s="10"/>
      <c r="Y603" s="10"/>
      <c r="Z603" s="10"/>
      <c r="AA603" s="10"/>
      <c r="AB603" s="16"/>
      <c r="AC603" s="16"/>
      <c r="AD603" s="16"/>
      <c r="AE603" s="16"/>
      <c r="AF603" s="16"/>
      <c r="AG603" s="16"/>
      <c r="AH603" s="16"/>
    </row>
    <row r="604" spans="1:34" s="168" customFormat="1" ht="31.2" customHeight="1" x14ac:dyDescent="0.25">
      <c r="A604" s="1822"/>
      <c r="B604" s="1816"/>
      <c r="C604" s="1817">
        <v>2013</v>
      </c>
      <c r="D604" s="1817">
        <v>2014</v>
      </c>
      <c r="E604" s="1817"/>
      <c r="F604" s="1818"/>
      <c r="G604" s="1817"/>
      <c r="H604" s="1817"/>
      <c r="I604" s="1819"/>
      <c r="J604" s="1820"/>
      <c r="K604" s="1819"/>
      <c r="L604" s="228"/>
      <c r="M604" s="255"/>
      <c r="N604" s="228"/>
      <c r="O604" s="1723"/>
      <c r="P604" s="9"/>
      <c r="Q604" s="17"/>
      <c r="R604" s="17"/>
      <c r="S604" s="228"/>
      <c r="T604" s="228"/>
      <c r="U604" s="10"/>
      <c r="V604" s="10"/>
      <c r="W604" s="10"/>
      <c r="X604" s="10"/>
      <c r="Y604" s="10"/>
      <c r="Z604" s="10"/>
      <c r="AA604" s="10"/>
      <c r="AB604" s="16"/>
      <c r="AC604" s="16"/>
      <c r="AD604" s="16"/>
      <c r="AE604" s="16"/>
      <c r="AF604" s="16"/>
      <c r="AG604" s="16"/>
      <c r="AH604" s="16"/>
    </row>
    <row r="605" spans="1:34" s="168" customFormat="1" ht="62.4" customHeight="1" x14ac:dyDescent="0.25">
      <c r="A605" s="1822"/>
      <c r="B605" s="1816" t="str">
        <f>H592</f>
        <v>Kingston Buci</v>
      </c>
      <c r="C605" s="1821">
        <f>H597</f>
        <v>0.29495798319327743</v>
      </c>
      <c r="D605" s="1821">
        <f>H603</f>
        <v>0.20761245674740494</v>
      </c>
      <c r="E605" s="1817"/>
      <c r="F605" s="1818"/>
      <c r="G605" s="1817"/>
      <c r="H605" s="1817"/>
      <c r="I605" s="1819"/>
      <c r="J605" s="1820"/>
      <c r="K605" s="1819"/>
      <c r="L605" s="228"/>
      <c r="M605" s="255"/>
      <c r="N605" s="228"/>
      <c r="O605" s="1723"/>
      <c r="P605" s="9"/>
      <c r="Q605" s="17"/>
      <c r="R605" s="17"/>
      <c r="S605" s="228"/>
      <c r="T605" s="228"/>
      <c r="U605" s="10"/>
      <c r="V605" s="10"/>
      <c r="W605" s="10"/>
      <c r="X605" s="10"/>
      <c r="Y605" s="10"/>
      <c r="Z605" s="10"/>
      <c r="AA605" s="10"/>
      <c r="AB605" s="16"/>
      <c r="AC605" s="16"/>
      <c r="AD605" s="16"/>
      <c r="AE605" s="16"/>
      <c r="AF605" s="16"/>
      <c r="AG605" s="16"/>
      <c r="AH605" s="16"/>
    </row>
    <row r="606" spans="1:34" s="168" customFormat="1" ht="62.4" customHeight="1" x14ac:dyDescent="0.25">
      <c r="A606" s="1822"/>
      <c r="B606" s="1816" t="str">
        <f>J592</f>
        <v>Stepping Stones</v>
      </c>
      <c r="C606" s="1821">
        <f>J597</f>
        <v>0.36710239651416121</v>
      </c>
      <c r="D606" s="1821">
        <f>J603</f>
        <v>0.31862745098039214</v>
      </c>
      <c r="E606" s="1817"/>
      <c r="F606" s="1818"/>
      <c r="G606" s="1817"/>
      <c r="H606" s="1817"/>
      <c r="I606" s="1819"/>
      <c r="J606" s="1820"/>
      <c r="K606" s="1819"/>
      <c r="L606" s="228"/>
      <c r="M606" s="255"/>
      <c r="N606" s="228"/>
      <c r="O606" s="1723"/>
      <c r="P606" s="9"/>
      <c r="Q606" s="17"/>
      <c r="R606" s="17"/>
      <c r="S606" s="228"/>
      <c r="T606" s="228"/>
      <c r="U606" s="10"/>
      <c r="V606" s="10"/>
      <c r="W606" s="10"/>
      <c r="X606" s="10"/>
      <c r="Y606" s="10"/>
      <c r="Z606" s="10"/>
      <c r="AA606" s="10"/>
      <c r="AB606" s="16"/>
      <c r="AC606" s="16"/>
      <c r="AD606" s="16"/>
      <c r="AE606" s="16"/>
      <c r="AF606" s="16"/>
      <c r="AG606" s="16"/>
      <c r="AH606" s="16"/>
    </row>
    <row r="607" spans="1:34" s="168" customFormat="1" ht="49.2" customHeight="1" x14ac:dyDescent="0.25">
      <c r="A607" s="1822"/>
      <c r="B607" s="1816" t="str">
        <f>L592</f>
        <v>West Sussex</v>
      </c>
      <c r="C607" s="1821">
        <f>L597</f>
        <v>0.30399999999999999</v>
      </c>
      <c r="D607" s="1821">
        <f>L603</f>
        <v>0.27900000000000003</v>
      </c>
      <c r="E607" s="1817"/>
      <c r="F607" s="1818"/>
      <c r="G607" s="1817"/>
      <c r="H607" s="1817"/>
      <c r="I607" s="1819"/>
      <c r="J607" s="1820"/>
      <c r="K607" s="1819"/>
      <c r="L607" s="228"/>
      <c r="M607" s="255"/>
      <c r="N607" s="228"/>
      <c r="O607" s="1723"/>
      <c r="P607" s="9"/>
      <c r="Q607" s="17"/>
      <c r="R607" s="17"/>
      <c r="S607" s="228"/>
      <c r="T607" s="228"/>
      <c r="U607" s="10"/>
      <c r="V607" s="10"/>
      <c r="W607" s="10"/>
      <c r="X607" s="10"/>
      <c r="Y607" s="10"/>
      <c r="Z607" s="10"/>
      <c r="AA607" s="10"/>
      <c r="AB607" s="16"/>
      <c r="AC607" s="16"/>
      <c r="AD607" s="16"/>
      <c r="AE607" s="16"/>
      <c r="AF607" s="16"/>
      <c r="AG607" s="16"/>
      <c r="AH607" s="16"/>
    </row>
    <row r="608" spans="1:34" ht="10.199999999999999" customHeight="1" x14ac:dyDescent="0.25">
      <c r="A608" s="1823"/>
      <c r="B608" s="1824" t="str">
        <f>N592</f>
        <v>England</v>
      </c>
      <c r="C608" s="1825">
        <f>N597</f>
        <v>0.36599999999999999</v>
      </c>
      <c r="D608" s="1825">
        <f>N603</f>
        <v>0.33900000000000002</v>
      </c>
      <c r="E608" s="1826"/>
      <c r="F608" s="1827"/>
      <c r="G608" s="1826"/>
      <c r="H608" s="1826"/>
      <c r="I608" s="1828"/>
      <c r="J608" s="1829"/>
      <c r="K608" s="1828"/>
      <c r="L608" s="229"/>
      <c r="M608" s="1830"/>
      <c r="N608" s="229"/>
      <c r="O608" s="1831"/>
      <c r="S608" s="61"/>
      <c r="T608" s="61"/>
    </row>
    <row r="609" spans="11:15" x14ac:dyDescent="0.25">
      <c r="K609" s="168"/>
      <c r="L609" s="169"/>
      <c r="M609" s="169"/>
      <c r="N609" s="169"/>
      <c r="O609" s="169"/>
    </row>
    <row r="610" spans="11:15" x14ac:dyDescent="0.25">
      <c r="K610" s="168"/>
      <c r="L610" s="169"/>
      <c r="M610" s="168"/>
      <c r="N610" s="168"/>
      <c r="O610" s="168"/>
    </row>
  </sheetData>
  <mergeCells count="1412">
    <mergeCell ref="L218:M218"/>
    <mergeCell ref="L220:M220"/>
    <mergeCell ref="N218:O218"/>
    <mergeCell ref="N220:O220"/>
    <mergeCell ref="F219:G219"/>
    <mergeCell ref="H219:I219"/>
    <mergeCell ref="J219:K219"/>
    <mergeCell ref="L219:M219"/>
    <mergeCell ref="N219:O219"/>
    <mergeCell ref="A218:E218"/>
    <mergeCell ref="A219:E219"/>
    <mergeCell ref="A220:E220"/>
    <mergeCell ref="J240:K240"/>
    <mergeCell ref="H240:I240"/>
    <mergeCell ref="F240:G240"/>
    <mergeCell ref="F241:G241"/>
    <mergeCell ref="H241:I241"/>
    <mergeCell ref="J241:K241"/>
    <mergeCell ref="L241:M241"/>
    <mergeCell ref="N241:O241"/>
    <mergeCell ref="A240:E240"/>
    <mergeCell ref="A241:E241"/>
    <mergeCell ref="B212:E212"/>
    <mergeCell ref="B213:E213"/>
    <mergeCell ref="N217:O217"/>
    <mergeCell ref="L217:M217"/>
    <mergeCell ref="J217:K217"/>
    <mergeCell ref="J221:K221"/>
    <mergeCell ref="L221:M221"/>
    <mergeCell ref="N221:O221"/>
    <mergeCell ref="C216:O216"/>
    <mergeCell ref="F218:G218"/>
    <mergeCell ref="F220:G220"/>
    <mergeCell ref="H218:I218"/>
    <mergeCell ref="H220:I220"/>
    <mergeCell ref="J218:K218"/>
    <mergeCell ref="J220:K220"/>
    <mergeCell ref="C54:E54"/>
    <mergeCell ref="C59:E59"/>
    <mergeCell ref="G51:J51"/>
    <mergeCell ref="L52:O52"/>
    <mergeCell ref="L55:O55"/>
    <mergeCell ref="C60:E60"/>
    <mergeCell ref="K59:O59"/>
    <mergeCell ref="B56:E56"/>
    <mergeCell ref="L60:O60"/>
    <mergeCell ref="L61:O61"/>
    <mergeCell ref="A46:O47"/>
    <mergeCell ref="A401:O403"/>
    <mergeCell ref="L231:M231"/>
    <mergeCell ref="N231:O231"/>
    <mergeCell ref="J232:K232"/>
    <mergeCell ref="J231:K231"/>
    <mergeCell ref="L232:M232"/>
    <mergeCell ref="N232:O232"/>
    <mergeCell ref="A233:O233"/>
    <mergeCell ref="A234:O234"/>
    <mergeCell ref="B235:O237"/>
    <mergeCell ref="A235:A237"/>
    <mergeCell ref="A238:O238"/>
    <mergeCell ref="N239:O239"/>
    <mergeCell ref="L239:M239"/>
    <mergeCell ref="A602:G602"/>
    <mergeCell ref="A603:G603"/>
    <mergeCell ref="H602:I602"/>
    <mergeCell ref="J602:K602"/>
    <mergeCell ref="L602:M602"/>
    <mergeCell ref="N602:O602"/>
    <mergeCell ref="H603:I603"/>
    <mergeCell ref="J603:K603"/>
    <mergeCell ref="L603:M603"/>
    <mergeCell ref="N603:O603"/>
    <mergeCell ref="H505:K505"/>
    <mergeCell ref="H506:K506"/>
    <mergeCell ref="A293:J293"/>
    <mergeCell ref="A294:J294"/>
    <mergeCell ref="A295:J295"/>
    <mergeCell ref="K291:O291"/>
    <mergeCell ref="A291:J292"/>
    <mergeCell ref="A296:J296"/>
    <mergeCell ref="A297:J297"/>
    <mergeCell ref="A599:G599"/>
    <mergeCell ref="H599:I599"/>
    <mergeCell ref="J599:K599"/>
    <mergeCell ref="L599:M599"/>
    <mergeCell ref="N599:O599"/>
    <mergeCell ref="A600:G600"/>
    <mergeCell ref="H600:I600"/>
    <mergeCell ref="J600:K600"/>
    <mergeCell ref="L600:M600"/>
    <mergeCell ref="N600:O600"/>
    <mergeCell ref="A601:G601"/>
    <mergeCell ref="H601:I601"/>
    <mergeCell ref="J601:K601"/>
    <mergeCell ref="N601:O601"/>
    <mergeCell ref="A595:G595"/>
    <mergeCell ref="H595:I595"/>
    <mergeCell ref="J595:K595"/>
    <mergeCell ref="L595:M595"/>
    <mergeCell ref="N595:O595"/>
    <mergeCell ref="A597:G597"/>
    <mergeCell ref="H597:I597"/>
    <mergeCell ref="J597:K597"/>
    <mergeCell ref="L597:M597"/>
    <mergeCell ref="N597:O597"/>
    <mergeCell ref="A593:G593"/>
    <mergeCell ref="H593:I593"/>
    <mergeCell ref="J593:K593"/>
    <mergeCell ref="L593:M593"/>
    <mergeCell ref="N593:O593"/>
    <mergeCell ref="A594:G594"/>
    <mergeCell ref="H594:I594"/>
    <mergeCell ref="J594:K594"/>
    <mergeCell ref="L594:M594"/>
    <mergeCell ref="N594:O594"/>
    <mergeCell ref="A596:G596"/>
    <mergeCell ref="H596:I596"/>
    <mergeCell ref="J596:K596"/>
    <mergeCell ref="L596:M596"/>
    <mergeCell ref="N596:O596"/>
    <mergeCell ref="A598:G598"/>
    <mergeCell ref="H598:I598"/>
    <mergeCell ref="J598:K598"/>
    <mergeCell ref="L598:M598"/>
    <mergeCell ref="N598:O598"/>
    <mergeCell ref="H580:I580"/>
    <mergeCell ref="A580:G580"/>
    <mergeCell ref="A581:G581"/>
    <mergeCell ref="A582:G582"/>
    <mergeCell ref="A583:G583"/>
    <mergeCell ref="H581:I581"/>
    <mergeCell ref="H582:I582"/>
    <mergeCell ref="H583:I583"/>
    <mergeCell ref="J582:K582"/>
    <mergeCell ref="J583:K583"/>
    <mergeCell ref="L583:M583"/>
    <mergeCell ref="A573:B573"/>
    <mergeCell ref="A592:G592"/>
    <mergeCell ref="H592:I592"/>
    <mergeCell ref="J592:K592"/>
    <mergeCell ref="L592:M592"/>
    <mergeCell ref="L601:M601"/>
    <mergeCell ref="N592:O592"/>
    <mergeCell ref="A591:O591"/>
    <mergeCell ref="N576:O576"/>
    <mergeCell ref="N577:O577"/>
    <mergeCell ref="N578:O578"/>
    <mergeCell ref="N579:O579"/>
    <mergeCell ref="N580:O580"/>
    <mergeCell ref="N581:O581"/>
    <mergeCell ref="N582:O582"/>
    <mergeCell ref="N583:O583"/>
    <mergeCell ref="L578:M578"/>
    <mergeCell ref="L579:M579"/>
    <mergeCell ref="L580:M580"/>
    <mergeCell ref="L581:M581"/>
    <mergeCell ref="L576:M576"/>
    <mergeCell ref="L577:M577"/>
    <mergeCell ref="L582:M582"/>
    <mergeCell ref="A576:G576"/>
    <mergeCell ref="A577:G577"/>
    <mergeCell ref="J576:K576"/>
    <mergeCell ref="H576:I576"/>
    <mergeCell ref="J577:K577"/>
    <mergeCell ref="J578:K578"/>
    <mergeCell ref="J579:K579"/>
    <mergeCell ref="J580:K580"/>
    <mergeCell ref="J581:K581"/>
    <mergeCell ref="H577:I577"/>
    <mergeCell ref="A578:G578"/>
    <mergeCell ref="A590:N590"/>
    <mergeCell ref="A579:G579"/>
    <mergeCell ref="H578:I578"/>
    <mergeCell ref="H579:I579"/>
    <mergeCell ref="M380:O380"/>
    <mergeCell ref="M381:O381"/>
    <mergeCell ref="C405:O405"/>
    <mergeCell ref="J350:K350"/>
    <mergeCell ref="L350:M350"/>
    <mergeCell ref="N350:O350"/>
    <mergeCell ref="A351:E351"/>
    <mergeCell ref="A352:G352"/>
    <mergeCell ref="H352:I352"/>
    <mergeCell ref="J352:K352"/>
    <mergeCell ref="L352:M352"/>
    <mergeCell ref="N352:O352"/>
    <mergeCell ref="N373:O373"/>
    <mergeCell ref="A374:G374"/>
    <mergeCell ref="H374:I374"/>
    <mergeCell ref="J374:K374"/>
    <mergeCell ref="L374:M374"/>
    <mergeCell ref="N374:O374"/>
    <mergeCell ref="J354:K354"/>
    <mergeCell ref="L366:M366"/>
    <mergeCell ref="A559:O560"/>
    <mergeCell ref="A176:C177"/>
    <mergeCell ref="H368:I368"/>
    <mergeCell ref="J368:K368"/>
    <mergeCell ref="L368:M368"/>
    <mergeCell ref="H369:I369"/>
    <mergeCell ref="N332:O332"/>
    <mergeCell ref="H214:I214"/>
    <mergeCell ref="L346:M346"/>
    <mergeCell ref="N346:O346"/>
    <mergeCell ref="N335:O335"/>
    <mergeCell ref="A131:O131"/>
    <mergeCell ref="F56:J56"/>
    <mergeCell ref="G57:J57"/>
    <mergeCell ref="A395:B400"/>
    <mergeCell ref="N348:O348"/>
    <mergeCell ref="A349:G349"/>
    <mergeCell ref="H349:I349"/>
    <mergeCell ref="J349:K349"/>
    <mergeCell ref="L349:M349"/>
    <mergeCell ref="A376:E376"/>
    <mergeCell ref="A377:G377"/>
    <mergeCell ref="H377:I377"/>
    <mergeCell ref="J377:K377"/>
    <mergeCell ref="L377:M377"/>
    <mergeCell ref="N377:O377"/>
    <mergeCell ref="A406:B406"/>
    <mergeCell ref="G58:J58"/>
    <mergeCell ref="A202:E202"/>
    <mergeCell ref="A168:C168"/>
    <mergeCell ref="F165:G165"/>
    <mergeCell ref="D166:E166"/>
    <mergeCell ref="G60:J60"/>
    <mergeCell ref="C62:E62"/>
    <mergeCell ref="D274:J274"/>
    <mergeCell ref="D275:J275"/>
    <mergeCell ref="D276:J276"/>
    <mergeCell ref="A229:M229"/>
    <mergeCell ref="N229:O229"/>
    <mergeCell ref="L367:M367"/>
    <mergeCell ref="A140:B140"/>
    <mergeCell ref="C140:I140"/>
    <mergeCell ref="J140:K140"/>
    <mergeCell ref="L140:M140"/>
    <mergeCell ref="N140:O140"/>
    <mergeCell ref="A231:B231"/>
    <mergeCell ref="C232:I232"/>
    <mergeCell ref="A302:B302"/>
    <mergeCell ref="D270:J270"/>
    <mergeCell ref="J362:K362"/>
    <mergeCell ref="N342:O342"/>
    <mergeCell ref="N343:O343"/>
    <mergeCell ref="L365:M365"/>
    <mergeCell ref="A347:G347"/>
    <mergeCell ref="H347:I347"/>
    <mergeCell ref="J347:K347"/>
    <mergeCell ref="L347:M347"/>
    <mergeCell ref="N349:O349"/>
    <mergeCell ref="F48:J48"/>
    <mergeCell ref="B48:E48"/>
    <mergeCell ref="C49:E49"/>
    <mergeCell ref="C208:I209"/>
    <mergeCell ref="H211:I211"/>
    <mergeCell ref="H212:I212"/>
    <mergeCell ref="A207:O207"/>
    <mergeCell ref="A210:E210"/>
    <mergeCell ref="L49:O49"/>
    <mergeCell ref="L50:O50"/>
    <mergeCell ref="L51:O51"/>
    <mergeCell ref="C61:E61"/>
    <mergeCell ref="G49:J49"/>
    <mergeCell ref="C63:E63"/>
    <mergeCell ref="G59:J59"/>
    <mergeCell ref="G61:J61"/>
    <mergeCell ref="F204:G204"/>
    <mergeCell ref="D167:E167"/>
    <mergeCell ref="F205:G205"/>
    <mergeCell ref="A198:M198"/>
    <mergeCell ref="C55:E55"/>
    <mergeCell ref="C53:E53"/>
    <mergeCell ref="A215:N215"/>
    <mergeCell ref="J72:K72"/>
    <mergeCell ref="N73:O73"/>
    <mergeCell ref="L73:M73"/>
    <mergeCell ref="G50:J50"/>
    <mergeCell ref="F217:G217"/>
    <mergeCell ref="A227:E227"/>
    <mergeCell ref="H228:I228"/>
    <mergeCell ref="H227:I227"/>
    <mergeCell ref="A206:D206"/>
    <mergeCell ref="F221:G221"/>
    <mergeCell ref="F167:G167"/>
    <mergeCell ref="D168:E168"/>
    <mergeCell ref="C51:E51"/>
    <mergeCell ref="C52:E52"/>
    <mergeCell ref="G52:J52"/>
    <mergeCell ref="A226:E226"/>
    <mergeCell ref="F226:G226"/>
    <mergeCell ref="A221:E221"/>
    <mergeCell ref="F53:K55"/>
    <mergeCell ref="D510:G510"/>
    <mergeCell ref="D100:E100"/>
    <mergeCell ref="A509:G509"/>
    <mergeCell ref="H509:K509"/>
    <mergeCell ref="C460:O460"/>
    <mergeCell ref="C461:O461"/>
    <mergeCell ref="F462:O462"/>
    <mergeCell ref="L473:O473"/>
    <mergeCell ref="C465:E465"/>
    <mergeCell ref="C466:E466"/>
    <mergeCell ref="F465:O465"/>
    <mergeCell ref="H477:K477"/>
    <mergeCell ref="C462:E462"/>
    <mergeCell ref="C463:E463"/>
    <mergeCell ref="H474:K474"/>
    <mergeCell ref="D472:G472"/>
    <mergeCell ref="H510:K510"/>
    <mergeCell ref="L481:O481"/>
    <mergeCell ref="H365:I365"/>
    <mergeCell ref="N334:O334"/>
    <mergeCell ref="L276:M276"/>
    <mergeCell ref="C173:O173"/>
    <mergeCell ref="N340:O340"/>
    <mergeCell ref="N357:O357"/>
    <mergeCell ref="N337:O337"/>
    <mergeCell ref="H202:I202"/>
    <mergeCell ref="H338:I338"/>
    <mergeCell ref="N148:O148"/>
    <mergeCell ref="C231:I231"/>
    <mergeCell ref="J366:K366"/>
    <mergeCell ref="D73:E73"/>
    <mergeCell ref="A372:G372"/>
    <mergeCell ref="H372:I372"/>
    <mergeCell ref="J372:K372"/>
    <mergeCell ref="J361:K361"/>
    <mergeCell ref="L361:M361"/>
    <mergeCell ref="H360:I360"/>
    <mergeCell ref="J338:K338"/>
    <mergeCell ref="L338:M338"/>
    <mergeCell ref="N356:O356"/>
    <mergeCell ref="L342:M342"/>
    <mergeCell ref="D93:E93"/>
    <mergeCell ref="F92:G92"/>
    <mergeCell ref="A105:I105"/>
    <mergeCell ref="C265:O265"/>
    <mergeCell ref="L273:M273"/>
    <mergeCell ref="J76:O76"/>
    <mergeCell ref="D76:I76"/>
    <mergeCell ref="D115:E115"/>
    <mergeCell ref="A74:C74"/>
    <mergeCell ref="N255:O256"/>
    <mergeCell ref="A265:B265"/>
    <mergeCell ref="C268:O268"/>
    <mergeCell ref="J340:K340"/>
    <mergeCell ref="A337:G337"/>
    <mergeCell ref="H337:I337"/>
    <mergeCell ref="J337:K337"/>
    <mergeCell ref="L337:M337"/>
    <mergeCell ref="A336:G336"/>
    <mergeCell ref="A214:E214"/>
    <mergeCell ref="J239:K239"/>
    <mergeCell ref="L270:M270"/>
    <mergeCell ref="L334:M334"/>
    <mergeCell ref="N331:O331"/>
    <mergeCell ref="L331:M331"/>
    <mergeCell ref="C304:O304"/>
    <mergeCell ref="H336:I336"/>
    <mergeCell ref="A286:O286"/>
    <mergeCell ref="A300:B300"/>
    <mergeCell ref="F168:G168"/>
    <mergeCell ref="A167:C167"/>
    <mergeCell ref="A204:D204"/>
    <mergeCell ref="N273:O273"/>
    <mergeCell ref="A574:B574"/>
    <mergeCell ref="C411:O411"/>
    <mergeCell ref="L372:M372"/>
    <mergeCell ref="A572:B572"/>
    <mergeCell ref="A411:B411"/>
    <mergeCell ref="A407:B410"/>
    <mergeCell ref="A413:B413"/>
    <mergeCell ref="C408:L408"/>
    <mergeCell ref="C406:O406"/>
    <mergeCell ref="C573:O573"/>
    <mergeCell ref="H371:I371"/>
    <mergeCell ref="J371:K371"/>
    <mergeCell ref="L371:M371"/>
    <mergeCell ref="N371:O371"/>
    <mergeCell ref="D390:O390"/>
    <mergeCell ref="A415:B419"/>
    <mergeCell ref="C415:O415"/>
    <mergeCell ref="J391:O391"/>
    <mergeCell ref="D389:H389"/>
    <mergeCell ref="C383:L383"/>
    <mergeCell ref="L53:O53"/>
    <mergeCell ref="L54:O54"/>
    <mergeCell ref="C57:E57"/>
    <mergeCell ref="L56:O56"/>
    <mergeCell ref="J81:K81"/>
    <mergeCell ref="A75:C75"/>
    <mergeCell ref="A31:O31"/>
    <mergeCell ref="A39:O39"/>
    <mergeCell ref="A45:O45"/>
    <mergeCell ref="C50:E50"/>
    <mergeCell ref="A30:O30"/>
    <mergeCell ref="K48:O48"/>
    <mergeCell ref="L57:O57"/>
    <mergeCell ref="L58:O58"/>
    <mergeCell ref="A38:O38"/>
    <mergeCell ref="H516:K516"/>
    <mergeCell ref="A571:O571"/>
    <mergeCell ref="C174:O174"/>
    <mergeCell ref="A175:B175"/>
    <mergeCell ref="A164:C164"/>
    <mergeCell ref="A404:O404"/>
    <mergeCell ref="J342:K342"/>
    <mergeCell ref="J360:K360"/>
    <mergeCell ref="N367:O367"/>
    <mergeCell ref="N368:O368"/>
    <mergeCell ref="J369:K369"/>
    <mergeCell ref="L369:M369"/>
    <mergeCell ref="N369:O369"/>
    <mergeCell ref="A405:B405"/>
    <mergeCell ref="C172:O172"/>
    <mergeCell ref="A172:B172"/>
    <mergeCell ref="C175:O175"/>
    <mergeCell ref="J115:O116"/>
    <mergeCell ref="J117:K117"/>
    <mergeCell ref="A83:C84"/>
    <mergeCell ref="A81:E81"/>
    <mergeCell ref="J73:K73"/>
    <mergeCell ref="D94:E94"/>
    <mergeCell ref="A33:O33"/>
    <mergeCell ref="A34:O34"/>
    <mergeCell ref="A36:O36"/>
    <mergeCell ref="A37:O37"/>
    <mergeCell ref="A40:O40"/>
    <mergeCell ref="D97:E97"/>
    <mergeCell ref="A80:E80"/>
    <mergeCell ref="N79:O79"/>
    <mergeCell ref="D89:E89"/>
    <mergeCell ref="B6:E6"/>
    <mergeCell ref="A66:O66"/>
    <mergeCell ref="L6:O6"/>
    <mergeCell ref="L7:O7"/>
    <mergeCell ref="A42:O42"/>
    <mergeCell ref="A89:C89"/>
    <mergeCell ref="N72:O72"/>
    <mergeCell ref="H84:O93"/>
    <mergeCell ref="H81:I81"/>
    <mergeCell ref="F6:K6"/>
    <mergeCell ref="F7:K7"/>
    <mergeCell ref="A17:O17"/>
    <mergeCell ref="B7:E7"/>
    <mergeCell ref="A8:O16"/>
    <mergeCell ref="A18:O18"/>
    <mergeCell ref="A24:O24"/>
    <mergeCell ref="D75:I75"/>
    <mergeCell ref="F213:G213"/>
    <mergeCell ref="L119:M119"/>
    <mergeCell ref="A141:O141"/>
    <mergeCell ref="J97:O105"/>
    <mergeCell ref="F104:G104"/>
    <mergeCell ref="A100:C100"/>
    <mergeCell ref="A98:C98"/>
    <mergeCell ref="A101:C101"/>
    <mergeCell ref="H97:I97"/>
    <mergeCell ref="A133:B134"/>
    <mergeCell ref="A230:O230"/>
    <mergeCell ref="A338:G338"/>
    <mergeCell ref="L360:M360"/>
    <mergeCell ref="H354:I354"/>
    <mergeCell ref="A25:O25"/>
    <mergeCell ref="A26:O26"/>
    <mergeCell ref="A64:N64"/>
    <mergeCell ref="C58:E58"/>
    <mergeCell ref="A71:C73"/>
    <mergeCell ref="J75:O75"/>
    <mergeCell ref="L79:M79"/>
    <mergeCell ref="A119:C119"/>
    <mergeCell ref="G116:H116"/>
    <mergeCell ref="J79:K79"/>
    <mergeCell ref="A139:B139"/>
    <mergeCell ref="C139:I139"/>
    <mergeCell ref="A90:C90"/>
    <mergeCell ref="A93:C93"/>
    <mergeCell ref="L117:M117"/>
    <mergeCell ref="L146:M146"/>
    <mergeCell ref="A120:O120"/>
    <mergeCell ref="J137:K137"/>
    <mergeCell ref="D99:E99"/>
    <mergeCell ref="F99:G99"/>
    <mergeCell ref="F101:G101"/>
    <mergeCell ref="F103:G103"/>
    <mergeCell ref="C147:I147"/>
    <mergeCell ref="N117:O117"/>
    <mergeCell ref="L118:M118"/>
    <mergeCell ref="N143:O143"/>
    <mergeCell ref="A132:O132"/>
    <mergeCell ref="C133:O133"/>
    <mergeCell ref="A143:I143"/>
    <mergeCell ref="C150:E150"/>
    <mergeCell ref="N372:O372"/>
    <mergeCell ref="H101:I101"/>
    <mergeCell ref="C136:I136"/>
    <mergeCell ref="A146:B146"/>
    <mergeCell ref="A211:E211"/>
    <mergeCell ref="L272:M272"/>
    <mergeCell ref="L271:M271"/>
    <mergeCell ref="L138:M138"/>
    <mergeCell ref="J143:K143"/>
    <mergeCell ref="J138:K138"/>
    <mergeCell ref="H205:I205"/>
    <mergeCell ref="G117:I117"/>
    <mergeCell ref="C142:O142"/>
    <mergeCell ref="F249:G249"/>
    <mergeCell ref="J139:K139"/>
    <mergeCell ref="J145:K145"/>
    <mergeCell ref="A104:C104"/>
    <mergeCell ref="D104:E104"/>
    <mergeCell ref="A102:C102"/>
    <mergeCell ref="D102:E102"/>
    <mergeCell ref="D103:E103"/>
    <mergeCell ref="A117:C117"/>
    <mergeCell ref="C146:I146"/>
    <mergeCell ref="J146:K146"/>
    <mergeCell ref="L145:M145"/>
    <mergeCell ref="A225:E225"/>
    <mergeCell ref="H206:I206"/>
    <mergeCell ref="N118:O118"/>
    <mergeCell ref="A166:C166"/>
    <mergeCell ref="J150:M150"/>
    <mergeCell ref="A228:E228"/>
    <mergeCell ref="D116:E116"/>
    <mergeCell ref="N196:O196"/>
    <mergeCell ref="H203:I203"/>
    <mergeCell ref="F228:G228"/>
    <mergeCell ref="A109:F109"/>
    <mergeCell ref="A108:F108"/>
    <mergeCell ref="C148:I148"/>
    <mergeCell ref="J148:K148"/>
    <mergeCell ref="L148:M148"/>
    <mergeCell ref="H107:I107"/>
    <mergeCell ref="H108:I108"/>
    <mergeCell ref="A159:O159"/>
    <mergeCell ref="D118:F118"/>
    <mergeCell ref="L139:M139"/>
    <mergeCell ref="N139:O139"/>
    <mergeCell ref="A96:O96"/>
    <mergeCell ref="F100:G100"/>
    <mergeCell ref="A138:B138"/>
    <mergeCell ref="H100:I100"/>
    <mergeCell ref="J118:K118"/>
    <mergeCell ref="N138:O138"/>
    <mergeCell ref="A135:I135"/>
    <mergeCell ref="F210:G210"/>
    <mergeCell ref="A223:B224"/>
    <mergeCell ref="N136:O136"/>
    <mergeCell ref="F97:G97"/>
    <mergeCell ref="L136:M136"/>
    <mergeCell ref="D165:E165"/>
    <mergeCell ref="J121:O121"/>
    <mergeCell ref="L135:M135"/>
    <mergeCell ref="H226:I226"/>
    <mergeCell ref="A114:C115"/>
    <mergeCell ref="A126:D129"/>
    <mergeCell ref="C134:O134"/>
    <mergeCell ref="H225:I225"/>
    <mergeCell ref="C223:I223"/>
    <mergeCell ref="A199:O199"/>
    <mergeCell ref="F201:G201"/>
    <mergeCell ref="A118:C118"/>
    <mergeCell ref="J147:K147"/>
    <mergeCell ref="A165:C165"/>
    <mergeCell ref="H213:I213"/>
    <mergeCell ref="A208:B209"/>
    <mergeCell ref="H210:I210"/>
    <mergeCell ref="F212:G212"/>
    <mergeCell ref="A205:D205"/>
    <mergeCell ref="A250:E250"/>
    <mergeCell ref="F250:G250"/>
    <mergeCell ref="H250:I250"/>
    <mergeCell ref="A277:O277"/>
    <mergeCell ref="L269:M269"/>
    <mergeCell ref="J119:K119"/>
    <mergeCell ref="A99:C99"/>
    <mergeCell ref="A130:M130"/>
    <mergeCell ref="N130:O130"/>
    <mergeCell ref="F166:G166"/>
    <mergeCell ref="D164:E164"/>
    <mergeCell ref="F102:G102"/>
    <mergeCell ref="H103:I103"/>
    <mergeCell ref="D98:E98"/>
    <mergeCell ref="A91:C91"/>
    <mergeCell ref="F79:G79"/>
    <mergeCell ref="F91:G91"/>
    <mergeCell ref="A201:E201"/>
    <mergeCell ref="A121:E121"/>
    <mergeCell ref="L137:M137"/>
    <mergeCell ref="C137:I137"/>
    <mergeCell ref="J144:K144"/>
    <mergeCell ref="A149:O149"/>
    <mergeCell ref="D101:E101"/>
    <mergeCell ref="H104:I104"/>
    <mergeCell ref="L143:M143"/>
    <mergeCell ref="L144:M144"/>
    <mergeCell ref="H102:I102"/>
    <mergeCell ref="A144:B144"/>
    <mergeCell ref="A148:B148"/>
    <mergeCell ref="C145:I145"/>
    <mergeCell ref="N144:O144"/>
    <mergeCell ref="H72:I72"/>
    <mergeCell ref="D74:I74"/>
    <mergeCell ref="H73:I73"/>
    <mergeCell ref="F73:G73"/>
    <mergeCell ref="F72:G72"/>
    <mergeCell ref="D72:E72"/>
    <mergeCell ref="A76:C76"/>
    <mergeCell ref="A77:C77"/>
    <mergeCell ref="L80:M80"/>
    <mergeCell ref="H99:I99"/>
    <mergeCell ref="D77:I77"/>
    <mergeCell ref="A68:O68"/>
    <mergeCell ref="A69:O69"/>
    <mergeCell ref="J74:O74"/>
    <mergeCell ref="N80:O80"/>
    <mergeCell ref="L81:M81"/>
    <mergeCell ref="A67:O67"/>
    <mergeCell ref="F90:G90"/>
    <mergeCell ref="H98:I98"/>
    <mergeCell ref="A70:O70"/>
    <mergeCell ref="F89:G89"/>
    <mergeCell ref="H79:I79"/>
    <mergeCell ref="A82:O82"/>
    <mergeCell ref="H80:I80"/>
    <mergeCell ref="D83:E84"/>
    <mergeCell ref="H83:O83"/>
    <mergeCell ref="F83:G84"/>
    <mergeCell ref="L72:M72"/>
    <mergeCell ref="F81:G81"/>
    <mergeCell ref="D90:E90"/>
    <mergeCell ref="D91:E91"/>
    <mergeCell ref="A88:C88"/>
    <mergeCell ref="A1:O1"/>
    <mergeCell ref="A332:G332"/>
    <mergeCell ref="H332:I332"/>
    <mergeCell ref="H331:I331"/>
    <mergeCell ref="J331:K331"/>
    <mergeCell ref="J329:K329"/>
    <mergeCell ref="N329:O329"/>
    <mergeCell ref="A243:C245"/>
    <mergeCell ref="F214:G214"/>
    <mergeCell ref="A137:B137"/>
    <mergeCell ref="C144:I144"/>
    <mergeCell ref="L114:M114"/>
    <mergeCell ref="D114:F114"/>
    <mergeCell ref="A116:C116"/>
    <mergeCell ref="A125:D125"/>
    <mergeCell ref="A136:B136"/>
    <mergeCell ref="G118:I118"/>
    <mergeCell ref="G119:I119"/>
    <mergeCell ref="G115:H115"/>
    <mergeCell ref="A252:B252"/>
    <mergeCell ref="L147:M147"/>
    <mergeCell ref="A43:O43"/>
    <mergeCell ref="N271:O271"/>
    <mergeCell ref="A255:E256"/>
    <mergeCell ref="J255:K256"/>
    <mergeCell ref="N260:O260"/>
    <mergeCell ref="N257:O257"/>
    <mergeCell ref="L255:M256"/>
    <mergeCell ref="L261:M261"/>
    <mergeCell ref="N270:O270"/>
    <mergeCell ref="A92:C92"/>
    <mergeCell ref="D92:E92"/>
    <mergeCell ref="A21:A23"/>
    <mergeCell ref="B21:O21"/>
    <mergeCell ref="D2:O3"/>
    <mergeCell ref="D4:O4"/>
    <mergeCell ref="A2:C5"/>
    <mergeCell ref="D5:O5"/>
    <mergeCell ref="C288:O288"/>
    <mergeCell ref="C289:O289"/>
    <mergeCell ref="J261:K261"/>
    <mergeCell ref="L260:M260"/>
    <mergeCell ref="A41:O41"/>
    <mergeCell ref="A20:O20"/>
    <mergeCell ref="C303:O303"/>
    <mergeCell ref="A328:O328"/>
    <mergeCell ref="A303:B306"/>
    <mergeCell ref="C306:O306"/>
    <mergeCell ref="D117:F117"/>
    <mergeCell ref="A161:E161"/>
    <mergeCell ref="A160:E160"/>
    <mergeCell ref="F160:H160"/>
    <mergeCell ref="F161:H161"/>
    <mergeCell ref="I160:K160"/>
    <mergeCell ref="I161:K161"/>
    <mergeCell ref="L160:O161"/>
    <mergeCell ref="B23:O23"/>
    <mergeCell ref="B22:O22"/>
    <mergeCell ref="F164:G164"/>
    <mergeCell ref="C138:I138"/>
    <mergeCell ref="A113:O113"/>
    <mergeCell ref="N119:O119"/>
    <mergeCell ref="A103:C103"/>
    <mergeCell ref="A142:B142"/>
    <mergeCell ref="A44:O44"/>
    <mergeCell ref="N81:O81"/>
    <mergeCell ref="J77:O77"/>
    <mergeCell ref="J71:O71"/>
    <mergeCell ref="A267:B267"/>
    <mergeCell ref="N145:O145"/>
    <mergeCell ref="H204:I204"/>
    <mergeCell ref="J135:K135"/>
    <mergeCell ref="N137:O137"/>
    <mergeCell ref="H249:I249"/>
    <mergeCell ref="N147:O147"/>
    <mergeCell ref="F227:G227"/>
    <mergeCell ref="H248:I248"/>
    <mergeCell ref="F247:G247"/>
    <mergeCell ref="A247:E247"/>
    <mergeCell ref="J114:K114"/>
    <mergeCell ref="N114:O114"/>
    <mergeCell ref="A79:E79"/>
    <mergeCell ref="F94:G94"/>
    <mergeCell ref="F93:G93"/>
    <mergeCell ref="F80:G80"/>
    <mergeCell ref="J80:K80"/>
    <mergeCell ref="D71:I71"/>
    <mergeCell ref="F98:G98"/>
    <mergeCell ref="A97:C97"/>
    <mergeCell ref="F225:G225"/>
    <mergeCell ref="G114:I114"/>
    <mergeCell ref="A217:E217"/>
    <mergeCell ref="A94:C94"/>
    <mergeCell ref="A145:B145"/>
    <mergeCell ref="A65:O65"/>
    <mergeCell ref="F202:G202"/>
    <mergeCell ref="J19:O19"/>
    <mergeCell ref="L355:M355"/>
    <mergeCell ref="N354:O354"/>
    <mergeCell ref="N355:O355"/>
    <mergeCell ref="C224:I224"/>
    <mergeCell ref="F203:G203"/>
    <mergeCell ref="D243:I244"/>
    <mergeCell ref="H344:I344"/>
    <mergeCell ref="J344:K344"/>
    <mergeCell ref="F246:G246"/>
    <mergeCell ref="H19:I19"/>
    <mergeCell ref="B19:G19"/>
    <mergeCell ref="D245:I245"/>
    <mergeCell ref="J343:K343"/>
    <mergeCell ref="A249:E249"/>
    <mergeCell ref="A242:O242"/>
    <mergeCell ref="C200:I200"/>
    <mergeCell ref="N135:O135"/>
    <mergeCell ref="D271:J271"/>
    <mergeCell ref="A266:B266"/>
    <mergeCell ref="A27:O27"/>
    <mergeCell ref="A28:O28"/>
    <mergeCell ref="A29:O29"/>
    <mergeCell ref="A35:O35"/>
    <mergeCell ref="N259:O259"/>
    <mergeCell ref="N258:O258"/>
    <mergeCell ref="L257:M257"/>
    <mergeCell ref="A32:O32"/>
    <mergeCell ref="D273:J273"/>
    <mergeCell ref="A340:G340"/>
    <mergeCell ref="A334:G334"/>
    <mergeCell ref="A341:G341"/>
    <mergeCell ref="C301:L301"/>
    <mergeCell ref="M301:O301"/>
    <mergeCell ref="H341:I341"/>
    <mergeCell ref="N330:O330"/>
    <mergeCell ref="L356:M356"/>
    <mergeCell ref="L357:M357"/>
    <mergeCell ref="L354:M354"/>
    <mergeCell ref="J356:K356"/>
    <mergeCell ref="J357:K357"/>
    <mergeCell ref="C302:O302"/>
    <mergeCell ref="H357:I357"/>
    <mergeCell ref="J341:K341"/>
    <mergeCell ref="A307:O307"/>
    <mergeCell ref="A326:O327"/>
    <mergeCell ref="L335:M335"/>
    <mergeCell ref="H340:I340"/>
    <mergeCell ref="N347:O347"/>
    <mergeCell ref="N336:O336"/>
    <mergeCell ref="A350:G350"/>
    <mergeCell ref="H350:I350"/>
    <mergeCell ref="H330:I330"/>
    <mergeCell ref="A365:G365"/>
    <mergeCell ref="A333:E333"/>
    <mergeCell ref="A329:G329"/>
    <mergeCell ref="H343:I343"/>
    <mergeCell ref="J332:K332"/>
    <mergeCell ref="J346:K346"/>
    <mergeCell ref="H346:I346"/>
    <mergeCell ref="H359:I359"/>
    <mergeCell ref="J359:K359"/>
    <mergeCell ref="H356:I356"/>
    <mergeCell ref="A355:G355"/>
    <mergeCell ref="N360:O360"/>
    <mergeCell ref="N361:O361"/>
    <mergeCell ref="A346:G346"/>
    <mergeCell ref="A331:G331"/>
    <mergeCell ref="H348:I348"/>
    <mergeCell ref="A330:G330"/>
    <mergeCell ref="C287:O287"/>
    <mergeCell ref="H246:I246"/>
    <mergeCell ref="J257:K257"/>
    <mergeCell ref="N269:O269"/>
    <mergeCell ref="J258:K258"/>
    <mergeCell ref="N274:O274"/>
    <mergeCell ref="A270:C276"/>
    <mergeCell ref="D272:J272"/>
    <mergeCell ref="A345:E345"/>
    <mergeCell ref="A342:G342"/>
    <mergeCell ref="A359:G359"/>
    <mergeCell ref="A335:G335"/>
    <mergeCell ref="A261:D261"/>
    <mergeCell ref="A257:D257"/>
    <mergeCell ref="A348:G348"/>
    <mergeCell ref="A358:E358"/>
    <mergeCell ref="J348:K348"/>
    <mergeCell ref="L348:M348"/>
    <mergeCell ref="L341:M341"/>
    <mergeCell ref="L274:M274"/>
    <mergeCell ref="L259:M259"/>
    <mergeCell ref="J259:K259"/>
    <mergeCell ref="C305:O305"/>
    <mergeCell ref="L258:M258"/>
    <mergeCell ref="A268:B268"/>
    <mergeCell ref="A269:K269"/>
    <mergeCell ref="N275:O275"/>
    <mergeCell ref="N276:O276"/>
    <mergeCell ref="L275:M275"/>
    <mergeCell ref="N338:O338"/>
    <mergeCell ref="M409:O409"/>
    <mergeCell ref="F211:G211"/>
    <mergeCell ref="H355:I355"/>
    <mergeCell ref="J355:K355"/>
    <mergeCell ref="A162:O162"/>
    <mergeCell ref="A163:B163"/>
    <mergeCell ref="C163:O163"/>
    <mergeCell ref="E391:I391"/>
    <mergeCell ref="E392:G392"/>
    <mergeCell ref="E393:G393"/>
    <mergeCell ref="E394:G394"/>
    <mergeCell ref="E395:G395"/>
    <mergeCell ref="C393:D393"/>
    <mergeCell ref="C394:D394"/>
    <mergeCell ref="A339:E339"/>
    <mergeCell ref="C413:O413"/>
    <mergeCell ref="A414:B414"/>
    <mergeCell ref="C414:O414"/>
    <mergeCell ref="M382:O382"/>
    <mergeCell ref="A385:B385"/>
    <mergeCell ref="F248:G248"/>
    <mergeCell ref="A343:G343"/>
    <mergeCell ref="A344:G344"/>
    <mergeCell ref="A354:G354"/>
    <mergeCell ref="A248:E248"/>
    <mergeCell ref="A203:D203"/>
    <mergeCell ref="H329:I329"/>
    <mergeCell ref="H247:I247"/>
    <mergeCell ref="H217:I217"/>
    <mergeCell ref="H221:I221"/>
    <mergeCell ref="A216:B216"/>
    <mergeCell ref="H342:I342"/>
    <mergeCell ref="H438:O439"/>
    <mergeCell ref="A431:B433"/>
    <mergeCell ref="C431:O431"/>
    <mergeCell ref="A174:B174"/>
    <mergeCell ref="A173:B173"/>
    <mergeCell ref="F464:O464"/>
    <mergeCell ref="C464:E464"/>
    <mergeCell ref="F466:O466"/>
    <mergeCell ref="A438:G439"/>
    <mergeCell ref="C428:O428"/>
    <mergeCell ref="A427:N427"/>
    <mergeCell ref="C433:O433"/>
    <mergeCell ref="A186:O186"/>
    <mergeCell ref="A429:B429"/>
    <mergeCell ref="A430:B430"/>
    <mergeCell ref="C432:O432"/>
    <mergeCell ref="A434:G434"/>
    <mergeCell ref="A428:B428"/>
    <mergeCell ref="C430:O430"/>
    <mergeCell ref="A435:G436"/>
    <mergeCell ref="H437:O437"/>
    <mergeCell ref="H435:O436"/>
    <mergeCell ref="A454:O454"/>
    <mergeCell ref="C455:O455"/>
    <mergeCell ref="A455:B455"/>
    <mergeCell ref="D176:G177"/>
    <mergeCell ref="H239:I239"/>
    <mergeCell ref="F239:G239"/>
    <mergeCell ref="A239:E239"/>
    <mergeCell ref="N240:O240"/>
    <mergeCell ref="L240:M240"/>
    <mergeCell ref="E536:G536"/>
    <mergeCell ref="E537:G537"/>
    <mergeCell ref="J196:K196"/>
    <mergeCell ref="L196:M196"/>
    <mergeCell ref="L484:O484"/>
    <mergeCell ref="L482:O482"/>
    <mergeCell ref="L483:O483"/>
    <mergeCell ref="L496:O496"/>
    <mergeCell ref="H494:K494"/>
    <mergeCell ref="H473:K473"/>
    <mergeCell ref="F467:O467"/>
    <mergeCell ref="E473:G473"/>
    <mergeCell ref="H475:K475"/>
    <mergeCell ref="H476:K476"/>
    <mergeCell ref="L471:O471"/>
    <mergeCell ref="H478:K478"/>
    <mergeCell ref="L474:O474"/>
    <mergeCell ref="C467:E467"/>
    <mergeCell ref="A468:O469"/>
    <mergeCell ref="L480:O480"/>
    <mergeCell ref="L485:O485"/>
    <mergeCell ref="L486:O486"/>
    <mergeCell ref="L487:O487"/>
    <mergeCell ref="L494:O494"/>
    <mergeCell ref="L495:O495"/>
    <mergeCell ref="A470:O470"/>
    <mergeCell ref="A471:G471"/>
    <mergeCell ref="H471:K471"/>
    <mergeCell ref="L472:O472"/>
    <mergeCell ref="F463:O463"/>
    <mergeCell ref="H434:O434"/>
    <mergeCell ref="A437:G437"/>
    <mergeCell ref="H535:K535"/>
    <mergeCell ref="H536:K536"/>
    <mergeCell ref="H537:K537"/>
    <mergeCell ref="A193:O193"/>
    <mergeCell ref="A535:C537"/>
    <mergeCell ref="H519:K519"/>
    <mergeCell ref="H517:K517"/>
    <mergeCell ref="L517:O517"/>
    <mergeCell ref="L518:O518"/>
    <mergeCell ref="L526:O526"/>
    <mergeCell ref="A540:B540"/>
    <mergeCell ref="E535:G535"/>
    <mergeCell ref="E526:G526"/>
    <mergeCell ref="E527:G527"/>
    <mergeCell ref="A526:C528"/>
    <mergeCell ref="A539:O539"/>
    <mergeCell ref="H196:I196"/>
    <mergeCell ref="N195:O195"/>
    <mergeCell ref="A197:E197"/>
    <mergeCell ref="H197:I197"/>
    <mergeCell ref="J197:K197"/>
    <mergeCell ref="L195:M195"/>
    <mergeCell ref="A194:O194"/>
    <mergeCell ref="N197:O197"/>
    <mergeCell ref="L197:M197"/>
    <mergeCell ref="A195:G195"/>
    <mergeCell ref="H195:I195"/>
    <mergeCell ref="E528:G528"/>
    <mergeCell ref="E534:G534"/>
    <mergeCell ref="A529:C531"/>
    <mergeCell ref="E529:G529"/>
    <mergeCell ref="E530:G530"/>
    <mergeCell ref="H530:K530"/>
    <mergeCell ref="H533:K533"/>
    <mergeCell ref="H534:K534"/>
    <mergeCell ref="E523:G523"/>
    <mergeCell ref="E524:G524"/>
    <mergeCell ref="E525:G525"/>
    <mergeCell ref="A523:C525"/>
    <mergeCell ref="E521:G521"/>
    <mergeCell ref="A520:C522"/>
    <mergeCell ref="E517:G517"/>
    <mergeCell ref="E518:G518"/>
    <mergeCell ref="A517:C519"/>
    <mergeCell ref="E522:G522"/>
    <mergeCell ref="H521:K521"/>
    <mergeCell ref="E519:G519"/>
    <mergeCell ref="H525:K525"/>
    <mergeCell ref="E520:G520"/>
    <mergeCell ref="E531:G531"/>
    <mergeCell ref="E532:G532"/>
    <mergeCell ref="A555:B555"/>
    <mergeCell ref="D548:E548"/>
    <mergeCell ref="D558:E558"/>
    <mergeCell ref="D557:E557"/>
    <mergeCell ref="D556:E556"/>
    <mergeCell ref="D549:E549"/>
    <mergeCell ref="A549:B549"/>
    <mergeCell ref="A550:B550"/>
    <mergeCell ref="A551:B551"/>
    <mergeCell ref="A552:B552"/>
    <mergeCell ref="A553:B553"/>
    <mergeCell ref="D553:E553"/>
    <mergeCell ref="D550:E550"/>
    <mergeCell ref="D551:E551"/>
    <mergeCell ref="D552:E552"/>
    <mergeCell ref="A548:B548"/>
    <mergeCell ref="A558:B558"/>
    <mergeCell ref="A557:B557"/>
    <mergeCell ref="A556:B556"/>
    <mergeCell ref="D554:E554"/>
    <mergeCell ref="D555:E555"/>
    <mergeCell ref="A554:B554"/>
    <mergeCell ref="F558:G558"/>
    <mergeCell ref="F557:G557"/>
    <mergeCell ref="F556:G556"/>
    <mergeCell ref="F549:G549"/>
    <mergeCell ref="F550:G550"/>
    <mergeCell ref="F551:G551"/>
    <mergeCell ref="F552:G552"/>
    <mergeCell ref="F553:G553"/>
    <mergeCell ref="N555:O555"/>
    <mergeCell ref="L557:M557"/>
    <mergeCell ref="L556:M556"/>
    <mergeCell ref="F555:G555"/>
    <mergeCell ref="H548:I548"/>
    <mergeCell ref="N553:O553"/>
    <mergeCell ref="N554:O554"/>
    <mergeCell ref="L550:M550"/>
    <mergeCell ref="L551:M551"/>
    <mergeCell ref="L552:M552"/>
    <mergeCell ref="L553:M553"/>
    <mergeCell ref="L554:M554"/>
    <mergeCell ref="N548:O548"/>
    <mergeCell ref="L555:M555"/>
    <mergeCell ref="N558:O558"/>
    <mergeCell ref="N557:O557"/>
    <mergeCell ref="N556:O556"/>
    <mergeCell ref="L548:M548"/>
    <mergeCell ref="L558:M558"/>
    <mergeCell ref="F554:G554"/>
    <mergeCell ref="A543:B543"/>
    <mergeCell ref="C545:O545"/>
    <mergeCell ref="C546:O546"/>
    <mergeCell ref="N549:O549"/>
    <mergeCell ref="N550:O550"/>
    <mergeCell ref="N551:O551"/>
    <mergeCell ref="N552:O552"/>
    <mergeCell ref="J548:K548"/>
    <mergeCell ref="A493:C495"/>
    <mergeCell ref="A496:C498"/>
    <mergeCell ref="E490:G490"/>
    <mergeCell ref="E491:G491"/>
    <mergeCell ref="E492:G492"/>
    <mergeCell ref="E493:G493"/>
    <mergeCell ref="L499:O499"/>
    <mergeCell ref="L500:O500"/>
    <mergeCell ref="L501:O501"/>
    <mergeCell ref="L502:O502"/>
    <mergeCell ref="E515:G515"/>
    <mergeCell ref="F548:G548"/>
    <mergeCell ref="A490:C492"/>
    <mergeCell ref="H495:K495"/>
    <mergeCell ref="H490:K490"/>
    <mergeCell ref="H491:K491"/>
    <mergeCell ref="L491:O491"/>
    <mergeCell ref="L492:O492"/>
    <mergeCell ref="L493:O493"/>
    <mergeCell ref="L523:O523"/>
    <mergeCell ref="L524:O524"/>
    <mergeCell ref="L525:O525"/>
    <mergeCell ref="L549:M549"/>
    <mergeCell ref="E494:G494"/>
    <mergeCell ref="C544:O544"/>
    <mergeCell ref="C459:O459"/>
    <mergeCell ref="E499:G499"/>
    <mergeCell ref="E500:G500"/>
    <mergeCell ref="E501:G501"/>
    <mergeCell ref="H511:K511"/>
    <mergeCell ref="H507:K507"/>
    <mergeCell ref="H502:K502"/>
    <mergeCell ref="L519:O519"/>
    <mergeCell ref="L520:O520"/>
    <mergeCell ref="L521:O521"/>
    <mergeCell ref="L522:O522"/>
    <mergeCell ref="H520:K520"/>
    <mergeCell ref="A499:C501"/>
    <mergeCell ref="L537:O537"/>
    <mergeCell ref="H523:K523"/>
    <mergeCell ref="H524:K524"/>
    <mergeCell ref="L533:O533"/>
    <mergeCell ref="A459:B461"/>
    <mergeCell ref="A505:C507"/>
    <mergeCell ref="E502:G502"/>
    <mergeCell ref="A502:C504"/>
    <mergeCell ref="E516:G516"/>
    <mergeCell ref="L490:O490"/>
    <mergeCell ref="A514:C516"/>
    <mergeCell ref="E512:G512"/>
    <mergeCell ref="E513:G513"/>
    <mergeCell ref="A479:C481"/>
    <mergeCell ref="E474:G474"/>
    <mergeCell ref="E475:G475"/>
    <mergeCell ref="A511:C513"/>
    <mergeCell ref="E511:G511"/>
    <mergeCell ref="L536:O536"/>
    <mergeCell ref="L530:O530"/>
    <mergeCell ref="L531:O531"/>
    <mergeCell ref="L532:O532"/>
    <mergeCell ref="H529:K529"/>
    <mergeCell ref="L527:O527"/>
    <mergeCell ref="L528:O528"/>
    <mergeCell ref="H492:K492"/>
    <mergeCell ref="H493:K493"/>
    <mergeCell ref="E506:G506"/>
    <mergeCell ref="H482:K482"/>
    <mergeCell ref="H481:K481"/>
    <mergeCell ref="H488:K488"/>
    <mergeCell ref="E498:G498"/>
    <mergeCell ref="E505:G505"/>
    <mergeCell ref="H484:K484"/>
    <mergeCell ref="E507:G507"/>
    <mergeCell ref="H503:K503"/>
    <mergeCell ref="L503:O503"/>
    <mergeCell ref="L504:O504"/>
    <mergeCell ref="L505:O505"/>
    <mergeCell ref="L506:O506"/>
    <mergeCell ref="L507:O507"/>
    <mergeCell ref="L514:O514"/>
    <mergeCell ref="L513:O513"/>
    <mergeCell ref="L497:O497"/>
    <mergeCell ref="L498:O498"/>
    <mergeCell ref="L515:O515"/>
    <mergeCell ref="L516:O516"/>
    <mergeCell ref="L511:O511"/>
    <mergeCell ref="L512:O512"/>
    <mergeCell ref="E533:G533"/>
    <mergeCell ref="E478:G478"/>
    <mergeCell ref="H512:K512"/>
    <mergeCell ref="A482:C484"/>
    <mergeCell ref="E482:G482"/>
    <mergeCell ref="D486:G486"/>
    <mergeCell ref="A487:C489"/>
    <mergeCell ref="E487:G487"/>
    <mergeCell ref="E488:G488"/>
    <mergeCell ref="E489:G489"/>
    <mergeCell ref="E483:G483"/>
    <mergeCell ref="E484:G484"/>
    <mergeCell ref="A485:G485"/>
    <mergeCell ref="A473:C475"/>
    <mergeCell ref="A476:C478"/>
    <mergeCell ref="A462:B467"/>
    <mergeCell ref="H480:K480"/>
    <mergeCell ref="L535:O535"/>
    <mergeCell ref="A532:C534"/>
    <mergeCell ref="E503:G503"/>
    <mergeCell ref="E504:G504"/>
    <mergeCell ref="A508:O508"/>
    <mergeCell ref="H515:K515"/>
    <mergeCell ref="L509:O509"/>
    <mergeCell ref="L510:O510"/>
    <mergeCell ref="H513:K513"/>
    <mergeCell ref="E514:G514"/>
    <mergeCell ref="E497:G497"/>
    <mergeCell ref="H504:K504"/>
    <mergeCell ref="L534:O534"/>
    <mergeCell ref="H531:K531"/>
    <mergeCell ref="H532:K532"/>
    <mergeCell ref="L529:O529"/>
    <mergeCell ref="L477:O477"/>
    <mergeCell ref="E495:G495"/>
    <mergeCell ref="E476:G476"/>
    <mergeCell ref="A457:B457"/>
    <mergeCell ref="C456:O456"/>
    <mergeCell ref="A456:B456"/>
    <mergeCell ref="C457:O457"/>
    <mergeCell ref="A458:B458"/>
    <mergeCell ref="C458:O458"/>
    <mergeCell ref="L178:O178"/>
    <mergeCell ref="H527:K527"/>
    <mergeCell ref="H528:K528"/>
    <mergeCell ref="E496:G496"/>
    <mergeCell ref="N109:O109"/>
    <mergeCell ref="H483:K483"/>
    <mergeCell ref="H489:K489"/>
    <mergeCell ref="L488:O488"/>
    <mergeCell ref="L489:O489"/>
    <mergeCell ref="H501:K501"/>
    <mergeCell ref="E479:G479"/>
    <mergeCell ref="H176:O177"/>
    <mergeCell ref="H178:K178"/>
    <mergeCell ref="D178:G178"/>
    <mergeCell ref="H479:K479"/>
    <mergeCell ref="E480:G480"/>
    <mergeCell ref="E481:G481"/>
    <mergeCell ref="E400:G400"/>
    <mergeCell ref="H110:I110"/>
    <mergeCell ref="C429:O429"/>
    <mergeCell ref="H500:K500"/>
    <mergeCell ref="H499:K499"/>
    <mergeCell ref="E477:G477"/>
    <mergeCell ref="A575:N575"/>
    <mergeCell ref="C418:O418"/>
    <mergeCell ref="C419:O419"/>
    <mergeCell ref="C416:O416"/>
    <mergeCell ref="A107:G107"/>
    <mergeCell ref="A171:O171"/>
    <mergeCell ref="A112:F112"/>
    <mergeCell ref="B538:O538"/>
    <mergeCell ref="H518:K518"/>
    <mergeCell ref="H514:K514"/>
    <mergeCell ref="H498:K498"/>
    <mergeCell ref="H497:K497"/>
    <mergeCell ref="H496:K496"/>
    <mergeCell ref="H487:K487"/>
    <mergeCell ref="H486:K486"/>
    <mergeCell ref="H485:K485"/>
    <mergeCell ref="J108:K108"/>
    <mergeCell ref="L108:M108"/>
    <mergeCell ref="N108:O108"/>
    <mergeCell ref="N110:O110"/>
    <mergeCell ref="N111:O111"/>
    <mergeCell ref="N112:O112"/>
    <mergeCell ref="L109:M109"/>
    <mergeCell ref="L475:O475"/>
    <mergeCell ref="L110:M110"/>
    <mergeCell ref="J112:K112"/>
    <mergeCell ref="L478:O478"/>
    <mergeCell ref="L479:O479"/>
    <mergeCell ref="H472:K472"/>
    <mergeCell ref="J111:K111"/>
    <mergeCell ref="L111:M111"/>
    <mergeCell ref="L476:O476"/>
    <mergeCell ref="H522:K522"/>
    <mergeCell ref="H526:K526"/>
    <mergeCell ref="A387:B387"/>
    <mergeCell ref="C385:O385"/>
    <mergeCell ref="C381:L381"/>
    <mergeCell ref="A389:C390"/>
    <mergeCell ref="H109:I109"/>
    <mergeCell ref="J109:K109"/>
    <mergeCell ref="C386:O386"/>
    <mergeCell ref="A388:C388"/>
    <mergeCell ref="I389:O389"/>
    <mergeCell ref="D388:O388"/>
    <mergeCell ref="L112:M112"/>
    <mergeCell ref="J107:K107"/>
    <mergeCell ref="L107:M107"/>
    <mergeCell ref="N107:O107"/>
    <mergeCell ref="C407:L407"/>
    <mergeCell ref="C400:D400"/>
    <mergeCell ref="J392:M392"/>
    <mergeCell ref="J393:M393"/>
    <mergeCell ref="J394:M394"/>
    <mergeCell ref="C387:O387"/>
    <mergeCell ref="J110:K110"/>
    <mergeCell ref="A111:F111"/>
    <mergeCell ref="H112:I112"/>
    <mergeCell ref="A426:O426"/>
    <mergeCell ref="L375:M375"/>
    <mergeCell ref="N375:O375"/>
    <mergeCell ref="L373:M373"/>
    <mergeCell ref="H111:I111"/>
    <mergeCell ref="A110:F110"/>
    <mergeCell ref="A384:O384"/>
    <mergeCell ref="J367:K367"/>
    <mergeCell ref="A386:B386"/>
    <mergeCell ref="A368:G368"/>
    <mergeCell ref="M410:O410"/>
    <mergeCell ref="C574:O574"/>
    <mergeCell ref="C417:O417"/>
    <mergeCell ref="J395:M395"/>
    <mergeCell ref="J396:M396"/>
    <mergeCell ref="J400:M400"/>
    <mergeCell ref="M407:O407"/>
    <mergeCell ref="C396:D396"/>
    <mergeCell ref="C397:D397"/>
    <mergeCell ref="C398:D398"/>
    <mergeCell ref="A373:G373"/>
    <mergeCell ref="H373:I373"/>
    <mergeCell ref="J373:K373"/>
    <mergeCell ref="C382:L382"/>
    <mergeCell ref="C395:D395"/>
    <mergeCell ref="E398:G398"/>
    <mergeCell ref="A570:M570"/>
    <mergeCell ref="E396:G396"/>
    <mergeCell ref="E397:G397"/>
    <mergeCell ref="J397:M397"/>
    <mergeCell ref="J398:M398"/>
    <mergeCell ref="C410:L410"/>
    <mergeCell ref="C409:L409"/>
    <mergeCell ref="A422:O422"/>
    <mergeCell ref="A423:O423"/>
    <mergeCell ref="A420:O420"/>
    <mergeCell ref="A421:O421"/>
    <mergeCell ref="M408:O408"/>
    <mergeCell ref="C399:D399"/>
    <mergeCell ref="A547:N547"/>
    <mergeCell ref="A299:O299"/>
    <mergeCell ref="A78:N78"/>
    <mergeCell ref="A95:N95"/>
    <mergeCell ref="A222:N222"/>
    <mergeCell ref="A251:N251"/>
    <mergeCell ref="A285:N285"/>
    <mergeCell ref="A378:N378"/>
    <mergeCell ref="A412:N412"/>
    <mergeCell ref="M572:O572"/>
    <mergeCell ref="A196:E196"/>
    <mergeCell ref="J330:K330"/>
    <mergeCell ref="A353:O353"/>
    <mergeCell ref="J336:K336"/>
    <mergeCell ref="A544:B546"/>
    <mergeCell ref="C540:L540"/>
    <mergeCell ref="M540:O540"/>
    <mergeCell ref="A366:G366"/>
    <mergeCell ref="A370:E370"/>
    <mergeCell ref="A371:G371"/>
    <mergeCell ref="C543:O543"/>
    <mergeCell ref="C542:O542"/>
    <mergeCell ref="C541:O541"/>
    <mergeCell ref="A542:B542"/>
    <mergeCell ref="A541:B541"/>
    <mergeCell ref="M383:O383"/>
    <mergeCell ref="N366:O366"/>
    <mergeCell ref="H366:I366"/>
    <mergeCell ref="L362:M362"/>
    <mergeCell ref="J365:K365"/>
    <mergeCell ref="H362:I362"/>
    <mergeCell ref="H363:I363"/>
    <mergeCell ref="A170:M170"/>
    <mergeCell ref="N170:O170"/>
    <mergeCell ref="A453:M453"/>
    <mergeCell ref="N453:O453"/>
    <mergeCell ref="A264:M264"/>
    <mergeCell ref="N264:O264"/>
    <mergeCell ref="A298:M298"/>
    <mergeCell ref="N298:O298"/>
    <mergeCell ref="A287:B290"/>
    <mergeCell ref="A260:D260"/>
    <mergeCell ref="A363:G363"/>
    <mergeCell ref="C267:O267"/>
    <mergeCell ref="A263:O263"/>
    <mergeCell ref="H334:I334"/>
    <mergeCell ref="C266:L266"/>
    <mergeCell ref="M266:O266"/>
    <mergeCell ref="C290:O290"/>
    <mergeCell ref="N262:O262"/>
    <mergeCell ref="N272:O272"/>
    <mergeCell ref="J335:K335"/>
    <mergeCell ref="A301:B301"/>
    <mergeCell ref="A364:E364"/>
    <mergeCell ref="A361:G361"/>
    <mergeCell ref="A380:B383"/>
    <mergeCell ref="L359:M359"/>
    <mergeCell ref="C380:L380"/>
    <mergeCell ref="J363:K363"/>
    <mergeCell ref="L363:M363"/>
    <mergeCell ref="N365:O365"/>
    <mergeCell ref="J334:K334"/>
    <mergeCell ref="L330:M330"/>
    <mergeCell ref="L329:M329"/>
    <mergeCell ref="A362:G362"/>
    <mergeCell ref="A357:G357"/>
    <mergeCell ref="A356:G356"/>
    <mergeCell ref="N344:O344"/>
    <mergeCell ref="L343:M343"/>
    <mergeCell ref="L336:M336"/>
    <mergeCell ref="L340:M340"/>
    <mergeCell ref="N341:O341"/>
    <mergeCell ref="L332:M332"/>
    <mergeCell ref="H335:I335"/>
    <mergeCell ref="L344:M344"/>
    <mergeCell ref="C572:L572"/>
    <mergeCell ref="C252:O252"/>
    <mergeCell ref="A258:D258"/>
    <mergeCell ref="N570:O570"/>
    <mergeCell ref="C253:O253"/>
    <mergeCell ref="A259:D259"/>
    <mergeCell ref="J260:K260"/>
    <mergeCell ref="C300:O300"/>
    <mergeCell ref="N359:O359"/>
    <mergeCell ref="N362:O362"/>
    <mergeCell ref="N363:O363"/>
    <mergeCell ref="A367:G367"/>
    <mergeCell ref="A360:G360"/>
    <mergeCell ref="H361:I361"/>
    <mergeCell ref="A375:G375"/>
    <mergeCell ref="H375:I375"/>
    <mergeCell ref="J375:K375"/>
    <mergeCell ref="A379:B379"/>
    <mergeCell ref="C379:O379"/>
    <mergeCell ref="A369:G369"/>
    <mergeCell ref="H367:I367"/>
    <mergeCell ref="D88:E88"/>
    <mergeCell ref="F88:G88"/>
    <mergeCell ref="A85:C85"/>
    <mergeCell ref="D85:E85"/>
    <mergeCell ref="F85:G85"/>
    <mergeCell ref="A86:C86"/>
    <mergeCell ref="D86:E86"/>
    <mergeCell ref="F86:G86"/>
    <mergeCell ref="A87:C87"/>
    <mergeCell ref="D87:E87"/>
    <mergeCell ref="F87:G87"/>
    <mergeCell ref="A262:D262"/>
    <mergeCell ref="J262:K262"/>
    <mergeCell ref="L262:M262"/>
    <mergeCell ref="N261:O261"/>
    <mergeCell ref="F255:G255"/>
    <mergeCell ref="H255:I255"/>
    <mergeCell ref="A254:O254"/>
    <mergeCell ref="A246:E246"/>
    <mergeCell ref="A147:B147"/>
    <mergeCell ref="N198:O198"/>
    <mergeCell ref="D119:F119"/>
    <mergeCell ref="N146:O146"/>
    <mergeCell ref="J136:K136"/>
    <mergeCell ref="A200:B200"/>
    <mergeCell ref="H201:I201"/>
    <mergeCell ref="F206:G206"/>
    <mergeCell ref="A253:B253"/>
    <mergeCell ref="A157:O157"/>
    <mergeCell ref="A158:O158"/>
    <mergeCell ref="A106:O106"/>
    <mergeCell ref="J195:K195"/>
  </mergeCells>
  <phoneticPr fontId="0" type="noConversion"/>
  <conditionalFormatting sqref="H475:O475 H484:O484 H478:O478 H481:O481 H489:O489 H501:O501 H504:O504 H495:O495 H498:O498 H492:O492 H507:O507 H528:O528 H513:O513 H516:O516 H519:O519 H534:O534 H531:O531 H537:O537 H522:O522">
    <cfRule type="cellIs" dxfId="1" priority="2" stopIfTrue="1" operator="equal">
      <formula>"Lower than required coverage"</formula>
    </cfRule>
  </conditionalFormatting>
  <conditionalFormatting sqref="H525:O525">
    <cfRule type="cellIs" dxfId="0" priority="1" stopIfTrue="1" operator="equal">
      <formula>"Lower than required coverage"</formula>
    </cfRule>
  </conditionalFormatting>
  <hyperlinks>
    <hyperlink ref="A33:O33" location="Profile!A531" display="• Improving cover rate for all childhood immunisations"/>
    <hyperlink ref="A32:O32" location="Profile!A509" display="• Increasing smoking cessation"/>
    <hyperlink ref="A30:O30" location="Profile!A485" display="• Reducing teenage pregnancy rates and supporting teenage parents"/>
    <hyperlink ref="A29:O29" location="Profile!A418" display="• Improving children’s speech, language and communication"/>
    <hyperlink ref="A28:O28" location="Profile!A390" display="• Improving children’s emotional health and well-being and adult mental health"/>
    <hyperlink ref="A27:O27" location="Profile!A369" display="• Improving the oral health of children"/>
    <hyperlink ref="A26:O26" location="Profile!A277" display="• Healthy weight, healthy lives (breastfeeding, healthy eating and physical activity)"/>
    <hyperlink ref="A36:O36" location="Profile!A232" display="• Percentage of children being breastfed at six to eight weeks "/>
    <hyperlink ref="A37:O37" location="Profile!A275" display="• Percentage of children in reception year who are obese "/>
    <hyperlink ref="A39:O39" location="Profile!A420" display="•  The achievement of children who have accessed services provided or commissioned by the centre, shown by the percentage of children gaining at least 78 points across the Early Years Foundation Stage Profile scales with at least six points in each of the"/>
    <hyperlink ref="A40:O40" location="Profile!A206" display="• Percentage of children aged 0–4 living in households dependent on workless benefits"/>
    <hyperlink ref="A41:O41" location="Profile!A216" display="• Percentage of eligible families benefiting from the childcare element of Working Tax Credit "/>
    <hyperlink ref="A38:O38" location="Profile!A632" display="• Rate of emergency hospital admissions caused by unintentional and deliberate injuries to children and young people "/>
    <hyperlink ref="A34:O34" location="Profile!A632" display="• Reducing unintentional injuries to children and risk of sudden infant death."/>
    <hyperlink ref="O64" location="Profile!A1" display="back to top"/>
    <hyperlink ref="N130" location="Profile!A1" display="back to top"/>
    <hyperlink ref="N198" location="Profile!A1" display="back to top"/>
    <hyperlink ref="N229" location="Profile!A1" display="back to top"/>
    <hyperlink ref="N264" location="Profile!A1" display="back to top"/>
    <hyperlink ref="N298" location="Profile!A1" display="back to top"/>
    <hyperlink ref="N570" location="Profile!A1" display="back to top"/>
    <hyperlink ref="N170" location="Profile!A1" display="back to top"/>
    <hyperlink ref="N453" location="Profile!A1" display="back to top"/>
    <hyperlink ref="O547" location="Profile!A1" display="back to top"/>
    <hyperlink ref="O78" location="Profile!A1" display="back to top"/>
    <hyperlink ref="O95" location="Profile!A1" display="back to top"/>
    <hyperlink ref="O222" location="Profile!A1" display="back to top"/>
    <hyperlink ref="O251" location="Profile!A1" display="back to top"/>
    <hyperlink ref="O285" location="Profile!A1" display="back to top"/>
    <hyperlink ref="O378" location="Profile!A1" display="back to top"/>
    <hyperlink ref="O412" location="Profile!A1" display="back to top"/>
    <hyperlink ref="O575" location="Profile!A1" display="back to top"/>
    <hyperlink ref="O427" location="Profile!A1" display="back to top"/>
    <hyperlink ref="O590" location="Profile!A1" display="back to top"/>
  </hyperlinks>
  <pageMargins left="0.51181102362204722" right="0.23622047244094488" top="0.43307086614173229" bottom="0.27559055118110237" header="0.3543307086614173" footer="0.31496062992125984"/>
  <pageSetup paperSize="9" scale="94" fitToHeight="0" orientation="landscape" r:id="rId1"/>
  <headerFooter alignWithMargins="0">
    <oddFooter>&amp;R&amp;"Calibri,Regular"&amp;P</oddFooter>
  </headerFooter>
  <rowBreaks count="24" manualBreakCount="24">
    <brk id="19" max="14" man="1"/>
    <brk id="44" max="14" man="1"/>
    <brk id="63" max="14" man="1"/>
    <brk id="81" max="14" man="1"/>
    <brk id="105" max="14" man="1"/>
    <brk id="129" max="14" man="1"/>
    <brk id="169" max="14" man="1"/>
    <brk id="192" max="14" man="1"/>
    <brk id="206" max="14" man="1"/>
    <brk id="228" max="14" man="1"/>
    <brk id="250" max="14" man="1"/>
    <brk id="263" max="14" man="1"/>
    <brk id="297" max="14" man="1"/>
    <brk id="352" max="14" man="1"/>
    <brk id="377" max="14" man="1"/>
    <brk id="403" max="14" man="1"/>
    <brk id="419" max="14" man="1"/>
    <brk id="426" max="14" man="1"/>
    <brk id="452" max="14" man="1"/>
    <brk id="469" max="14" man="1"/>
    <brk id="507" max="14" man="1"/>
    <brk id="538" max="14" man="1"/>
    <brk id="569" max="14" man="1"/>
    <brk id="589" max="14" man="1"/>
  </rowBreaks>
  <ignoredErrors>
    <ignoredError sqref="J341 J366 J37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6" r:id="rId4" name="Drop Down 2">
              <controlPr defaultSize="0" autoLine="0" autoPict="0">
                <anchor moveWithCells="1">
                  <from>
                    <xdr:col>5</xdr:col>
                    <xdr:colOff>45720</xdr:colOff>
                    <xdr:row>5</xdr:row>
                    <xdr:rowOff>53340</xdr:rowOff>
                  </from>
                  <to>
                    <xdr:col>10</xdr:col>
                    <xdr:colOff>434340</xdr:colOff>
                    <xdr:row>5</xdr:row>
                    <xdr:rowOff>350520</xdr:rowOff>
                  </to>
                </anchor>
              </controlPr>
            </control>
          </mc:Choice>
        </mc:AlternateContent>
        <mc:AlternateContent xmlns:mc="http://schemas.openxmlformats.org/markup-compatibility/2006">
          <mc:Choice Requires="x14">
            <control shapeId="1027" r:id="rId5" name="Drop Down 3">
              <controlPr defaultSize="0" autoLine="0" autoPict="0">
                <anchor moveWithCells="1">
                  <from>
                    <xdr:col>5</xdr:col>
                    <xdr:colOff>45720</xdr:colOff>
                    <xdr:row>6</xdr:row>
                    <xdr:rowOff>60960</xdr:rowOff>
                  </from>
                  <to>
                    <xdr:col>10</xdr:col>
                    <xdr:colOff>434340</xdr:colOff>
                    <xdr:row>6</xdr:row>
                    <xdr:rowOff>358140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D104"/>
  <sheetViews>
    <sheetView zoomScale="70" zoomScaleNormal="70" workbookViewId="0">
      <pane xSplit="1" topLeftCell="M1" activePane="topRight" state="frozen"/>
      <selection pane="topRight" sqref="A1:XFD1048576"/>
    </sheetView>
  </sheetViews>
  <sheetFormatPr defaultRowHeight="13.8" customHeight="1" x14ac:dyDescent="0.25"/>
  <cols>
    <col min="1" max="1" width="27.6640625" style="216" customWidth="1"/>
    <col min="2" max="2" width="7" style="216" customWidth="1"/>
    <col min="3" max="3" width="13.6640625" style="216" customWidth="1"/>
    <col min="4" max="4" width="23.88671875" style="216" customWidth="1"/>
    <col min="5" max="5" width="8.88671875" style="216" customWidth="1"/>
    <col min="6" max="6" width="10.109375" style="216" customWidth="1"/>
    <col min="7" max="7" width="21.88671875" style="216" customWidth="1"/>
    <col min="8" max="9" width="8.88671875" style="216" customWidth="1"/>
    <col min="10" max="10" width="23.44140625" style="216" customWidth="1"/>
    <col min="11" max="11" width="22.44140625" style="216" customWidth="1"/>
    <col min="12" max="21" width="9" style="219" customWidth="1"/>
    <col min="22" max="31" width="8.33203125" style="219" customWidth="1"/>
    <col min="32" max="38" width="7.44140625" style="219" customWidth="1"/>
    <col min="39" max="56" width="9" style="219" customWidth="1"/>
    <col min="57" max="57" width="16.6640625" style="220" customWidth="1"/>
    <col min="58" max="64" width="9" style="219" customWidth="1"/>
    <col min="65" max="69" width="11.109375" style="219" customWidth="1"/>
    <col min="70" max="72" width="9" style="220" customWidth="1"/>
    <col min="73" max="76" width="8.88671875" style="1721"/>
    <col min="77" max="79" width="9" style="220" customWidth="1"/>
    <col min="80" max="83" width="9" style="216" customWidth="1"/>
    <col min="84" max="107" width="9" style="219" customWidth="1"/>
    <col min="108" max="112" width="9" style="216" customWidth="1"/>
    <col min="113" max="113" width="8.88671875" style="216" customWidth="1"/>
    <col min="114" max="118" width="9" style="216" customWidth="1"/>
    <col min="119" max="119" width="17.33203125" style="216" customWidth="1"/>
    <col min="120" max="124" width="9" style="216" customWidth="1"/>
    <col min="125" max="131" width="10.6640625" style="216" customWidth="1"/>
    <col min="132" max="136" width="9" style="216" customWidth="1"/>
    <col min="137" max="137" width="8.88671875" style="216" customWidth="1"/>
    <col min="138" max="142" width="9" style="216" customWidth="1"/>
    <col min="143" max="143" width="8.88671875" style="216" customWidth="1"/>
    <col min="144" max="146" width="9" style="216" customWidth="1"/>
    <col min="147" max="148" width="10.21875" style="216" customWidth="1"/>
    <col min="149" max="149" width="13.33203125" style="216" customWidth="1"/>
    <col min="150" max="155" width="8.88671875" style="216" customWidth="1"/>
    <col min="156" max="180" width="9" style="216" customWidth="1"/>
    <col min="181" max="182" width="9" style="219" customWidth="1"/>
    <col min="183" max="198" width="9" style="216" customWidth="1"/>
    <col min="199" max="199" width="9" style="219" customWidth="1"/>
    <col min="200" max="200" width="12.109375" style="219" customWidth="1"/>
    <col min="201" max="201" width="14.44140625" style="221" customWidth="1"/>
    <col min="202" max="202" width="13.6640625" style="221" customWidth="1"/>
    <col min="203" max="203" width="12.109375" style="221" customWidth="1"/>
    <col min="204" max="221" width="9" style="221" customWidth="1"/>
    <col min="222" max="223" width="9" style="219" customWidth="1"/>
    <col min="224" max="227" width="8.88671875" style="219"/>
    <col min="228" max="16384" width="8.88671875" style="216"/>
  </cols>
  <sheetData>
    <row r="1" spans="1:227" ht="63.6" customHeight="1" x14ac:dyDescent="0.25">
      <c r="A1" s="188">
        <v>18</v>
      </c>
      <c r="B1" s="188">
        <v>37</v>
      </c>
      <c r="C1" s="183"/>
      <c r="D1" s="183"/>
      <c r="E1" s="188"/>
      <c r="F1" s="188"/>
      <c r="G1" s="188"/>
      <c r="H1" s="188"/>
      <c r="I1" s="188"/>
      <c r="J1" s="188"/>
      <c r="K1" s="188"/>
      <c r="L1" s="1559" t="s">
        <v>370</v>
      </c>
      <c r="M1" s="1560"/>
      <c r="N1" s="1560"/>
      <c r="O1" s="1560"/>
      <c r="P1" s="1560"/>
      <c r="Q1" s="1560"/>
      <c r="R1" s="1560"/>
      <c r="S1" s="1560"/>
      <c r="T1" s="1560"/>
      <c r="U1" s="1560"/>
      <c r="V1" s="1555" t="s">
        <v>371</v>
      </c>
      <c r="W1" s="1561"/>
      <c r="X1" s="1561"/>
      <c r="Y1" s="1561"/>
      <c r="Z1" s="1561"/>
      <c r="AA1" s="1561"/>
      <c r="AB1" s="1561"/>
      <c r="AC1" s="1561"/>
      <c r="AD1" s="1561"/>
      <c r="AE1" s="1561"/>
      <c r="AF1" s="1555" t="s">
        <v>693</v>
      </c>
      <c r="AG1" s="1555"/>
      <c r="AH1" s="1555"/>
      <c r="AI1" s="1555"/>
      <c r="AJ1" s="1555"/>
      <c r="AK1" s="1555"/>
      <c r="AL1" s="1561"/>
      <c r="AM1" s="1555" t="s">
        <v>782</v>
      </c>
      <c r="AN1" s="1555"/>
      <c r="AO1" s="1555"/>
      <c r="AP1" s="1555"/>
      <c r="AQ1" s="1555" t="s">
        <v>161</v>
      </c>
      <c r="AR1" s="1556"/>
      <c r="AS1" s="1556"/>
      <c r="AT1" s="1556"/>
      <c r="AU1" s="1556"/>
      <c r="AV1" s="1555" t="s">
        <v>781</v>
      </c>
      <c r="AW1" s="1556"/>
      <c r="AX1" s="1556"/>
      <c r="AY1" s="1556"/>
      <c r="AZ1" s="1556"/>
      <c r="BA1" s="1555" t="s">
        <v>369</v>
      </c>
      <c r="BB1" s="1556"/>
      <c r="BC1" s="1556"/>
      <c r="BD1" s="1556"/>
      <c r="BE1" s="189" t="s">
        <v>783</v>
      </c>
      <c r="BF1" s="1564" t="s">
        <v>528</v>
      </c>
      <c r="BG1" s="1564"/>
      <c r="BH1" s="1564"/>
      <c r="BI1" s="1564"/>
      <c r="BJ1" s="1564"/>
      <c r="BK1" s="1564"/>
      <c r="BL1" s="1564" t="s">
        <v>210</v>
      </c>
      <c r="BM1" s="1564"/>
      <c r="BN1" s="1564"/>
      <c r="BO1" s="1564"/>
      <c r="BP1" s="1564"/>
      <c r="BQ1" s="1564"/>
      <c r="BR1" s="1564" t="s">
        <v>373</v>
      </c>
      <c r="BS1" s="1564"/>
      <c r="BT1" s="1564"/>
      <c r="BU1" s="1722" t="s">
        <v>893</v>
      </c>
      <c r="BV1" s="1722"/>
      <c r="BW1" s="1722"/>
      <c r="BX1" s="1691"/>
      <c r="BY1" s="1564" t="s">
        <v>317</v>
      </c>
      <c r="BZ1" s="1564"/>
      <c r="CA1" s="1568"/>
      <c r="CB1" s="1564"/>
      <c r="CC1" s="1564"/>
      <c r="CD1" s="1564"/>
      <c r="CE1" s="1565"/>
      <c r="CF1" s="1557" t="s">
        <v>374</v>
      </c>
      <c r="CG1" s="1557"/>
      <c r="CH1" s="1557"/>
      <c r="CI1" s="1557"/>
      <c r="CJ1" s="1557"/>
      <c r="CK1" s="1557"/>
      <c r="CL1" s="1557"/>
      <c r="CM1" s="1557"/>
      <c r="CN1" s="1557"/>
      <c r="CO1" s="1557"/>
      <c r="CP1" s="1558"/>
      <c r="CQ1" s="1558"/>
      <c r="CR1" s="1557" t="s">
        <v>375</v>
      </c>
      <c r="CS1" s="1557"/>
      <c r="CT1" s="1557"/>
      <c r="CU1" s="1557"/>
      <c r="CV1" s="1557"/>
      <c r="CW1" s="1557"/>
      <c r="CX1" s="1557"/>
      <c r="CY1" s="1557"/>
      <c r="CZ1" s="1557"/>
      <c r="DA1" s="1557"/>
      <c r="DB1" s="1557"/>
      <c r="DC1" s="1558"/>
      <c r="DD1" s="190"/>
      <c r="DE1" s="190"/>
      <c r="DF1" s="190"/>
      <c r="DG1" s="190"/>
      <c r="DH1" s="190"/>
      <c r="DI1" s="190"/>
      <c r="DJ1" s="190"/>
      <c r="DK1" s="190"/>
      <c r="DL1" s="190"/>
      <c r="DM1" s="190"/>
      <c r="DN1" s="190"/>
      <c r="DO1" s="190"/>
      <c r="DP1" s="190"/>
      <c r="DQ1" s="190"/>
      <c r="DR1" s="190"/>
      <c r="DS1" s="190"/>
      <c r="DT1" s="190"/>
      <c r="DU1" s="190"/>
      <c r="DV1" s="190"/>
      <c r="DW1" s="190"/>
      <c r="DX1" s="190"/>
      <c r="DY1" s="190"/>
      <c r="DZ1" s="190"/>
      <c r="EA1" s="190"/>
      <c r="EB1" s="190"/>
      <c r="EC1" s="190"/>
      <c r="ED1" s="190"/>
      <c r="EE1" s="190"/>
      <c r="EF1" s="190"/>
      <c r="EG1" s="190"/>
      <c r="EH1" s="190"/>
      <c r="EI1" s="190"/>
      <c r="EJ1" s="190"/>
      <c r="EK1" s="190"/>
      <c r="EL1" s="190"/>
      <c r="EM1" s="190"/>
      <c r="EN1" s="190"/>
      <c r="EO1" s="190"/>
      <c r="EP1" s="190"/>
      <c r="EQ1" s="190"/>
      <c r="ER1" s="190"/>
      <c r="ES1" s="190"/>
      <c r="ET1" s="190"/>
      <c r="EU1" s="190"/>
      <c r="EV1" s="190"/>
      <c r="EW1" s="190"/>
      <c r="EX1" s="190"/>
      <c r="EY1" s="190"/>
      <c r="EZ1" s="1562" t="s">
        <v>376</v>
      </c>
      <c r="FA1" s="1562"/>
      <c r="FB1" s="1562"/>
      <c r="FC1" s="191"/>
      <c r="FD1" s="191"/>
      <c r="FE1" s="191"/>
      <c r="FF1" s="191"/>
      <c r="FG1" s="191"/>
      <c r="FH1" s="191"/>
      <c r="FI1" s="191"/>
      <c r="FJ1" s="1566" t="s">
        <v>376</v>
      </c>
      <c r="FK1" s="1566"/>
      <c r="FL1" s="1566"/>
      <c r="FM1" s="191"/>
      <c r="FN1" s="191"/>
      <c r="FO1" s="191"/>
      <c r="FP1" s="191"/>
      <c r="FQ1" s="191"/>
      <c r="FR1" s="191"/>
      <c r="FS1" s="191"/>
      <c r="FT1" s="1562" t="s">
        <v>316</v>
      </c>
      <c r="FU1" s="1562"/>
      <c r="FV1" s="1562"/>
      <c r="FW1" s="1562"/>
      <c r="FX1" s="1562"/>
      <c r="FY1" s="191"/>
      <c r="FZ1" s="191"/>
      <c r="GA1" s="1564" t="s">
        <v>816</v>
      </c>
      <c r="GB1" s="1567"/>
      <c r="GC1" s="1567"/>
      <c r="GD1" s="1567"/>
      <c r="GE1" s="1567"/>
      <c r="GF1" s="1567"/>
      <c r="GG1" s="1567"/>
      <c r="GH1" s="1567"/>
      <c r="GI1" s="1567"/>
      <c r="GJ1" s="1567"/>
      <c r="GK1" s="1567"/>
      <c r="GL1" s="1567"/>
      <c r="GM1" s="1567"/>
      <c r="GN1" s="1567"/>
      <c r="GO1" s="1567"/>
      <c r="GP1" s="190"/>
      <c r="GQ1" s="1564" t="s">
        <v>377</v>
      </c>
      <c r="GR1" s="1564"/>
      <c r="GS1" s="1564"/>
      <c r="GT1" s="1564"/>
      <c r="GU1" s="1564"/>
      <c r="GV1" s="1564"/>
      <c r="GW1" s="1564"/>
      <c r="GX1" s="1564"/>
      <c r="GY1" s="1564"/>
      <c r="GZ1" s="1564"/>
      <c r="HA1" s="1564"/>
      <c r="HB1" s="1564"/>
      <c r="HC1" s="1564"/>
      <c r="HD1" s="1564"/>
      <c r="HE1" s="1564"/>
      <c r="HF1" s="1564"/>
      <c r="HG1" s="1564"/>
      <c r="HH1" s="1564"/>
      <c r="HI1" s="1564"/>
      <c r="HJ1" s="1564"/>
      <c r="HK1" s="1564"/>
      <c r="HL1" s="1564"/>
      <c r="HM1" s="1564"/>
      <c r="HN1" s="1562" t="s">
        <v>378</v>
      </c>
      <c r="HO1" s="1563"/>
      <c r="HP1" s="1690" t="s">
        <v>887</v>
      </c>
      <c r="HQ1" s="1691"/>
      <c r="HR1" s="1691"/>
      <c r="HS1" s="1691"/>
    </row>
    <row r="2" spans="1:227" ht="105" customHeight="1" x14ac:dyDescent="0.25">
      <c r="A2" s="183" t="s">
        <v>82</v>
      </c>
      <c r="B2" s="183" t="s">
        <v>682</v>
      </c>
      <c r="C2" s="183" t="s">
        <v>628</v>
      </c>
      <c r="D2" s="183" t="s">
        <v>610</v>
      </c>
      <c r="E2" s="183" t="s">
        <v>106</v>
      </c>
      <c r="F2" s="183" t="s">
        <v>443</v>
      </c>
      <c r="G2" s="183" t="s">
        <v>444</v>
      </c>
      <c r="H2" s="181" t="s">
        <v>498</v>
      </c>
      <c r="I2" s="181" t="s">
        <v>38</v>
      </c>
      <c r="J2" s="183" t="s">
        <v>83</v>
      </c>
      <c r="K2" s="192" t="s">
        <v>209</v>
      </c>
      <c r="L2" s="178" t="s">
        <v>683</v>
      </c>
      <c r="M2" s="178" t="s">
        <v>684</v>
      </c>
      <c r="N2" s="178" t="s">
        <v>685</v>
      </c>
      <c r="O2" s="178" t="s">
        <v>686</v>
      </c>
      <c r="P2" s="178" t="s">
        <v>687</v>
      </c>
      <c r="Q2" s="178" t="s">
        <v>688</v>
      </c>
      <c r="R2" s="178" t="s">
        <v>689</v>
      </c>
      <c r="S2" s="178" t="s">
        <v>690</v>
      </c>
      <c r="T2" s="178" t="s">
        <v>691</v>
      </c>
      <c r="U2" s="178" t="s">
        <v>692</v>
      </c>
      <c r="V2" s="178" t="s">
        <v>630</v>
      </c>
      <c r="W2" s="178" t="s">
        <v>631</v>
      </c>
      <c r="X2" s="178" t="s">
        <v>632</v>
      </c>
      <c r="Y2" s="178" t="s">
        <v>211</v>
      </c>
      <c r="Z2" s="178" t="s">
        <v>346</v>
      </c>
      <c r="AA2" s="178" t="s">
        <v>212</v>
      </c>
      <c r="AB2" s="178" t="s">
        <v>347</v>
      </c>
      <c r="AC2" s="178" t="s">
        <v>233</v>
      </c>
      <c r="AD2" s="178" t="s">
        <v>348</v>
      </c>
      <c r="AE2" s="178" t="s">
        <v>611</v>
      </c>
      <c r="AF2" s="178" t="s">
        <v>114</v>
      </c>
      <c r="AG2" s="178" t="s">
        <v>523</v>
      </c>
      <c r="AH2" s="178" t="s">
        <v>524</v>
      </c>
      <c r="AI2" s="178" t="s">
        <v>115</v>
      </c>
      <c r="AJ2" s="178" t="s">
        <v>116</v>
      </c>
      <c r="AK2" s="178" t="s">
        <v>349</v>
      </c>
      <c r="AL2" s="178" t="s">
        <v>694</v>
      </c>
      <c r="AM2" s="178" t="s">
        <v>695</v>
      </c>
      <c r="AN2" s="178" t="s">
        <v>197</v>
      </c>
      <c r="AO2" s="178" t="s">
        <v>696</v>
      </c>
      <c r="AP2" s="178" t="s">
        <v>697</v>
      </c>
      <c r="AQ2" s="178" t="s">
        <v>301</v>
      </c>
      <c r="AR2" s="178" t="s">
        <v>302</v>
      </c>
      <c r="AS2" s="178" t="s">
        <v>235</v>
      </c>
      <c r="AT2" s="178" t="s">
        <v>350</v>
      </c>
      <c r="AU2" s="178" t="s">
        <v>656</v>
      </c>
      <c r="AV2" s="178" t="s">
        <v>207</v>
      </c>
      <c r="AW2" s="178" t="s">
        <v>208</v>
      </c>
      <c r="AX2" s="178" t="s">
        <v>236</v>
      </c>
      <c r="AY2" s="178" t="s">
        <v>351</v>
      </c>
      <c r="AZ2" s="178" t="s">
        <v>657</v>
      </c>
      <c r="BA2" s="178" t="s">
        <v>525</v>
      </c>
      <c r="BB2" s="178" t="s">
        <v>788</v>
      </c>
      <c r="BC2" s="178" t="s">
        <v>196</v>
      </c>
      <c r="BD2" s="178" t="s">
        <v>195</v>
      </c>
      <c r="BE2" s="192" t="s">
        <v>786</v>
      </c>
      <c r="BF2" s="178" t="s">
        <v>379</v>
      </c>
      <c r="BG2" s="178" t="s">
        <v>380</v>
      </c>
      <c r="BH2" s="178" t="s">
        <v>381</v>
      </c>
      <c r="BI2" s="178" t="s">
        <v>529</v>
      </c>
      <c r="BJ2" s="178" t="s">
        <v>527</v>
      </c>
      <c r="BK2" s="178" t="s">
        <v>382</v>
      </c>
      <c r="BL2" s="178" t="s">
        <v>358</v>
      </c>
      <c r="BM2" s="178" t="s">
        <v>359</v>
      </c>
      <c r="BN2" s="178" t="s">
        <v>360</v>
      </c>
      <c r="BO2" s="178" t="s">
        <v>361</v>
      </c>
      <c r="BP2" s="178" t="s">
        <v>362</v>
      </c>
      <c r="BQ2" s="178" t="s">
        <v>363</v>
      </c>
      <c r="BR2" s="192" t="s">
        <v>352</v>
      </c>
      <c r="BS2" s="192" t="s">
        <v>353</v>
      </c>
      <c r="BT2" s="192" t="s">
        <v>354</v>
      </c>
      <c r="BU2" s="178" t="s">
        <v>892</v>
      </c>
      <c r="BV2" s="178" t="s">
        <v>894</v>
      </c>
      <c r="BW2" s="178" t="s">
        <v>891</v>
      </c>
      <c r="BX2" s="178" t="s">
        <v>890</v>
      </c>
      <c r="BY2" s="193" t="s">
        <v>558</v>
      </c>
      <c r="BZ2" s="192" t="s">
        <v>876</v>
      </c>
      <c r="CA2" s="192" t="s">
        <v>877</v>
      </c>
      <c r="CB2" s="178" t="s">
        <v>819</v>
      </c>
      <c r="CC2" s="178" t="s">
        <v>820</v>
      </c>
      <c r="CD2" s="178" t="s">
        <v>821</v>
      </c>
      <c r="CE2" s="178" t="s">
        <v>822</v>
      </c>
      <c r="CF2" s="178" t="s">
        <v>531</v>
      </c>
      <c r="CG2" s="178" t="s">
        <v>198</v>
      </c>
      <c r="CH2" s="178" t="s">
        <v>532</v>
      </c>
      <c r="CI2" s="178" t="s">
        <v>199</v>
      </c>
      <c r="CJ2" s="178" t="s">
        <v>533</v>
      </c>
      <c r="CK2" s="178" t="s">
        <v>206</v>
      </c>
      <c r="CL2" s="178" t="s">
        <v>534</v>
      </c>
      <c r="CM2" s="178" t="s">
        <v>234</v>
      </c>
      <c r="CN2" s="178" t="s">
        <v>535</v>
      </c>
      <c r="CO2" s="178" t="s">
        <v>364</v>
      </c>
      <c r="CP2" s="178" t="s">
        <v>658</v>
      </c>
      <c r="CQ2" s="178" t="s">
        <v>636</v>
      </c>
      <c r="CR2" s="178" t="s">
        <v>383</v>
      </c>
      <c r="CS2" s="178" t="s">
        <v>384</v>
      </c>
      <c r="CT2" s="178" t="s">
        <v>385</v>
      </c>
      <c r="CU2" s="178" t="s">
        <v>386</v>
      </c>
      <c r="CV2" s="178" t="s">
        <v>387</v>
      </c>
      <c r="CW2" s="178" t="s">
        <v>388</v>
      </c>
      <c r="CX2" s="178" t="s">
        <v>389</v>
      </c>
      <c r="CY2" s="178" t="s">
        <v>390</v>
      </c>
      <c r="CZ2" s="178" t="s">
        <v>541</v>
      </c>
      <c r="DA2" s="178" t="s">
        <v>538</v>
      </c>
      <c r="DB2" s="178" t="s">
        <v>539</v>
      </c>
      <c r="DC2" s="178" t="s">
        <v>540</v>
      </c>
      <c r="DD2" s="178" t="s">
        <v>178</v>
      </c>
      <c r="DE2" s="178" t="s">
        <v>179</v>
      </c>
      <c r="DF2" s="178" t="s">
        <v>183</v>
      </c>
      <c r="DG2" s="178" t="s">
        <v>190</v>
      </c>
      <c r="DH2" s="178" t="s">
        <v>180</v>
      </c>
      <c r="DI2" s="178" t="s">
        <v>185</v>
      </c>
      <c r="DJ2" s="178" t="s">
        <v>290</v>
      </c>
      <c r="DK2" s="178" t="s">
        <v>291</v>
      </c>
      <c r="DL2" s="178" t="s">
        <v>292</v>
      </c>
      <c r="DM2" s="178" t="s">
        <v>295</v>
      </c>
      <c r="DN2" s="178" t="s">
        <v>296</v>
      </c>
      <c r="DO2" s="178" t="s">
        <v>294</v>
      </c>
      <c r="DP2" s="178" t="s">
        <v>239</v>
      </c>
      <c r="DQ2" s="178" t="s">
        <v>240</v>
      </c>
      <c r="DR2" s="178" t="s">
        <v>241</v>
      </c>
      <c r="DS2" s="178" t="s">
        <v>61</v>
      </c>
      <c r="DT2" s="178" t="s">
        <v>62</v>
      </c>
      <c r="DU2" s="178" t="s">
        <v>243</v>
      </c>
      <c r="DV2" s="178" t="s">
        <v>670</v>
      </c>
      <c r="DW2" s="178" t="s">
        <v>663</v>
      </c>
      <c r="DX2" s="178" t="s">
        <v>659</v>
      </c>
      <c r="DY2" s="178" t="s">
        <v>660</v>
      </c>
      <c r="DZ2" s="178" t="s">
        <v>661</v>
      </c>
      <c r="EA2" s="178" t="s">
        <v>662</v>
      </c>
      <c r="EB2" s="178" t="s">
        <v>184</v>
      </c>
      <c r="EC2" s="178" t="s">
        <v>186</v>
      </c>
      <c r="ED2" s="178" t="s">
        <v>187</v>
      </c>
      <c r="EE2" s="178" t="s">
        <v>191</v>
      </c>
      <c r="EF2" s="178" t="s">
        <v>192</v>
      </c>
      <c r="EG2" s="178" t="s">
        <v>188</v>
      </c>
      <c r="EH2" s="178" t="s">
        <v>285</v>
      </c>
      <c r="EI2" s="178" t="s">
        <v>286</v>
      </c>
      <c r="EJ2" s="178" t="s">
        <v>289</v>
      </c>
      <c r="EK2" s="178" t="s">
        <v>297</v>
      </c>
      <c r="EL2" s="178" t="s">
        <v>298</v>
      </c>
      <c r="EM2" s="178" t="s">
        <v>288</v>
      </c>
      <c r="EN2" s="178" t="s">
        <v>56</v>
      </c>
      <c r="EO2" s="178" t="s">
        <v>244</v>
      </c>
      <c r="EP2" s="178" t="s">
        <v>57</v>
      </c>
      <c r="EQ2" s="178" t="s">
        <v>58</v>
      </c>
      <c r="ER2" s="178" t="s">
        <v>59</v>
      </c>
      <c r="ES2" s="178" t="s">
        <v>60</v>
      </c>
      <c r="ET2" s="178" t="s">
        <v>664</v>
      </c>
      <c r="EU2" s="178" t="s">
        <v>665</v>
      </c>
      <c r="EV2" s="178" t="s">
        <v>666</v>
      </c>
      <c r="EW2" s="178" t="s">
        <v>667</v>
      </c>
      <c r="EX2" s="178" t="s">
        <v>668</v>
      </c>
      <c r="EY2" s="178" t="s">
        <v>669</v>
      </c>
      <c r="EZ2" s="178" t="s">
        <v>671</v>
      </c>
      <c r="FA2" s="178" t="s">
        <v>796</v>
      </c>
      <c r="FB2" s="194" t="s">
        <v>797</v>
      </c>
      <c r="FC2" s="194" t="s">
        <v>672</v>
      </c>
      <c r="FD2" s="194" t="s">
        <v>673</v>
      </c>
      <c r="FE2" s="204" t="s">
        <v>815</v>
      </c>
      <c r="FF2" s="204" t="s">
        <v>812</v>
      </c>
      <c r="FG2" s="204" t="s">
        <v>809</v>
      </c>
      <c r="FH2" s="204" t="s">
        <v>810</v>
      </c>
      <c r="FI2" s="204" t="s">
        <v>811</v>
      </c>
      <c r="FJ2" s="178" t="s">
        <v>773</v>
      </c>
      <c r="FK2" s="178" t="s">
        <v>798</v>
      </c>
      <c r="FL2" s="194" t="s">
        <v>799</v>
      </c>
      <c r="FM2" s="194" t="s">
        <v>794</v>
      </c>
      <c r="FN2" s="194" t="s">
        <v>795</v>
      </c>
      <c r="FO2" s="195" t="s">
        <v>806</v>
      </c>
      <c r="FP2" s="195" t="s">
        <v>808</v>
      </c>
      <c r="FQ2" s="195" t="s">
        <v>807</v>
      </c>
      <c r="FR2" s="195" t="s">
        <v>800</v>
      </c>
      <c r="FS2" s="205" t="s">
        <v>801</v>
      </c>
      <c r="FT2" s="181" t="s">
        <v>391</v>
      </c>
      <c r="FU2" s="194" t="s">
        <v>392</v>
      </c>
      <c r="FV2" s="194" t="s">
        <v>393</v>
      </c>
      <c r="FW2" s="194" t="s">
        <v>394</v>
      </c>
      <c r="FX2" s="194" t="s">
        <v>395</v>
      </c>
      <c r="FY2" s="194" t="s">
        <v>543</v>
      </c>
      <c r="FZ2" s="194" t="s">
        <v>556</v>
      </c>
      <c r="GA2" s="196" t="s">
        <v>559</v>
      </c>
      <c r="GB2" s="196" t="s">
        <v>560</v>
      </c>
      <c r="GC2" s="196" t="s">
        <v>568</v>
      </c>
      <c r="GD2" s="196" t="s">
        <v>569</v>
      </c>
      <c r="GE2" s="196" t="s">
        <v>561</v>
      </c>
      <c r="GF2" s="196" t="s">
        <v>562</v>
      </c>
      <c r="GG2" s="196" t="s">
        <v>570</v>
      </c>
      <c r="GH2" s="196" t="s">
        <v>573</v>
      </c>
      <c r="GI2" s="196" t="s">
        <v>563</v>
      </c>
      <c r="GJ2" s="196" t="s">
        <v>564</v>
      </c>
      <c r="GK2" s="196" t="s">
        <v>571</v>
      </c>
      <c r="GL2" s="196" t="s">
        <v>572</v>
      </c>
      <c r="GM2" s="196" t="s">
        <v>565</v>
      </c>
      <c r="GN2" s="196" t="s">
        <v>566</v>
      </c>
      <c r="GO2" s="196" t="s">
        <v>574</v>
      </c>
      <c r="GP2" s="196" t="s">
        <v>575</v>
      </c>
      <c r="GQ2" s="178" t="s">
        <v>396</v>
      </c>
      <c r="GR2" s="178" t="s">
        <v>397</v>
      </c>
      <c r="GS2" s="178" t="s">
        <v>399</v>
      </c>
      <c r="GT2" s="178" t="s">
        <v>401</v>
      </c>
      <c r="GU2" s="178" t="s">
        <v>403</v>
      </c>
      <c r="GV2" s="178" t="s">
        <v>405</v>
      </c>
      <c r="GW2" s="178" t="s">
        <v>406</v>
      </c>
      <c r="GX2" s="178" t="s">
        <v>407</v>
      </c>
      <c r="GY2" s="178" t="s">
        <v>409</v>
      </c>
      <c r="GZ2" s="178" t="s">
        <v>410</v>
      </c>
      <c r="HA2" s="178" t="s">
        <v>412</v>
      </c>
      <c r="HB2" s="178" t="s">
        <v>414</v>
      </c>
      <c r="HC2" s="178" t="s">
        <v>415</v>
      </c>
      <c r="HD2" s="178" t="s">
        <v>417</v>
      </c>
      <c r="HE2" s="178" t="s">
        <v>418</v>
      </c>
      <c r="HF2" s="178" t="s">
        <v>419</v>
      </c>
      <c r="HG2" s="178" t="s">
        <v>420</v>
      </c>
      <c r="HH2" s="178" t="s">
        <v>421</v>
      </c>
      <c r="HI2" s="178" t="s">
        <v>422</v>
      </c>
      <c r="HJ2" s="178" t="s">
        <v>423</v>
      </c>
      <c r="HK2" s="178" t="s">
        <v>424</v>
      </c>
      <c r="HL2" s="178" t="s">
        <v>425</v>
      </c>
      <c r="HM2" s="178" t="s">
        <v>426</v>
      </c>
      <c r="HN2" s="178" t="s">
        <v>701</v>
      </c>
      <c r="HO2" s="178" t="s">
        <v>702</v>
      </c>
      <c r="HP2" s="221" t="s">
        <v>883</v>
      </c>
      <c r="HQ2" s="221" t="s">
        <v>884</v>
      </c>
      <c r="HR2" s="221" t="s">
        <v>885</v>
      </c>
      <c r="HS2" s="221" t="s">
        <v>886</v>
      </c>
    </row>
    <row r="3" spans="1:227" ht="13.8" customHeight="1" x14ac:dyDescent="0.25">
      <c r="A3" s="183" t="s">
        <v>31</v>
      </c>
      <c r="B3" s="183"/>
      <c r="C3" s="183" t="s">
        <v>427</v>
      </c>
      <c r="D3" s="183" t="s">
        <v>427</v>
      </c>
      <c r="E3" s="183" t="s">
        <v>100</v>
      </c>
      <c r="F3" s="183" t="s">
        <v>100</v>
      </c>
      <c r="G3" s="183" t="s">
        <v>449</v>
      </c>
      <c r="H3" s="183" t="s">
        <v>31</v>
      </c>
      <c r="I3" s="183" t="s">
        <v>127</v>
      </c>
      <c r="J3" s="183" t="s">
        <v>704</v>
      </c>
      <c r="K3" s="183" t="s">
        <v>126</v>
      </c>
      <c r="L3" s="184">
        <v>16620</v>
      </c>
      <c r="M3" s="184">
        <v>17065</v>
      </c>
      <c r="N3" s="184">
        <v>17415</v>
      </c>
      <c r="O3" s="184">
        <v>17650</v>
      </c>
      <c r="P3" s="184">
        <v>17770</v>
      </c>
      <c r="Q3" s="184">
        <v>17725</v>
      </c>
      <c r="R3" s="184">
        <v>17835</v>
      </c>
      <c r="S3" s="184">
        <v>17855</v>
      </c>
      <c r="T3" s="184">
        <v>18075</v>
      </c>
      <c r="U3" s="184">
        <v>18165</v>
      </c>
      <c r="V3" s="184">
        <v>1015</v>
      </c>
      <c r="W3" s="184">
        <v>1025</v>
      </c>
      <c r="X3" s="184">
        <v>1040</v>
      </c>
      <c r="Y3" s="184">
        <v>1025</v>
      </c>
      <c r="Z3" s="184">
        <v>1030</v>
      </c>
      <c r="AA3" s="184">
        <v>1005</v>
      </c>
      <c r="AB3" s="184">
        <v>1010</v>
      </c>
      <c r="AC3" s="184">
        <v>990</v>
      </c>
      <c r="AD3" s="184">
        <v>1020</v>
      </c>
      <c r="AE3" s="184">
        <v>1020</v>
      </c>
      <c r="AF3" s="187">
        <v>0.92871690427698572</v>
      </c>
      <c r="AG3" s="187">
        <v>2.7494908350305498E-2</v>
      </c>
      <c r="AH3" s="187">
        <v>3.4623217922606926E-2</v>
      </c>
      <c r="AI3" s="187">
        <v>8.1466395112016286E-3</v>
      </c>
      <c r="AJ3" s="187">
        <v>1.0183299389002036E-3</v>
      </c>
      <c r="AK3" s="187">
        <v>0</v>
      </c>
      <c r="AL3" s="187">
        <v>7.128309572301425E-2</v>
      </c>
      <c r="AM3" s="184">
        <v>2025</v>
      </c>
      <c r="AN3" s="187">
        <v>0.68083003952569165</v>
      </c>
      <c r="AO3" s="187">
        <v>9.3379446640316208E-2</v>
      </c>
      <c r="AP3" s="187">
        <v>0.2257905138339921</v>
      </c>
      <c r="AQ3" s="184">
        <v>184</v>
      </c>
      <c r="AR3" s="184">
        <v>179</v>
      </c>
      <c r="AS3" s="184">
        <v>203</v>
      </c>
      <c r="AT3" s="184">
        <v>195</v>
      </c>
      <c r="AU3" s="184">
        <v>163</v>
      </c>
      <c r="AV3" s="186">
        <v>8</v>
      </c>
      <c r="AW3" s="186">
        <v>4</v>
      </c>
      <c r="AX3" s="186">
        <v>12</v>
      </c>
      <c r="AY3" s="186">
        <v>8</v>
      </c>
      <c r="AZ3" s="186">
        <v>6</v>
      </c>
      <c r="BA3" s="186">
        <v>11</v>
      </c>
      <c r="BB3" s="187">
        <v>6.7484662576687116E-2</v>
      </c>
      <c r="BC3" s="187">
        <v>3.8096986536392215E-2</v>
      </c>
      <c r="BD3" s="187">
        <v>0.1167893289115334</v>
      </c>
      <c r="BE3" s="193">
        <v>13</v>
      </c>
      <c r="BF3" s="184">
        <v>308</v>
      </c>
      <c r="BG3" s="184">
        <v>333</v>
      </c>
      <c r="BH3" s="184">
        <v>133</v>
      </c>
      <c r="BI3" s="184">
        <v>0.13647543067212969</v>
      </c>
      <c r="BJ3" s="184">
        <v>2175</v>
      </c>
      <c r="BK3" s="184">
        <v>3804</v>
      </c>
      <c r="BL3" s="186">
        <v>2189</v>
      </c>
      <c r="BM3" s="186">
        <v>1276</v>
      </c>
      <c r="BN3" s="186">
        <v>1</v>
      </c>
      <c r="BO3" s="186">
        <v>284</v>
      </c>
      <c r="BP3" s="186">
        <v>480</v>
      </c>
      <c r="BQ3" s="186">
        <v>148</v>
      </c>
      <c r="BR3" s="193">
        <v>115</v>
      </c>
      <c r="BS3" s="193">
        <v>110</v>
      </c>
      <c r="BT3" s="193">
        <v>75</v>
      </c>
      <c r="BU3" s="186">
        <v>480</v>
      </c>
      <c r="BV3" s="186">
        <v>144</v>
      </c>
      <c r="BW3" s="222">
        <f>BV3/BU3</f>
        <v>0.3</v>
      </c>
      <c r="BX3" s="186">
        <v>46</v>
      </c>
      <c r="BY3" s="193">
        <v>5</v>
      </c>
      <c r="BZ3" s="1676">
        <v>230</v>
      </c>
      <c r="CA3" s="222">
        <v>3.0006523157208087E-2</v>
      </c>
      <c r="CB3" s="184">
        <v>140</v>
      </c>
      <c r="CC3" s="184">
        <v>115</v>
      </c>
      <c r="CD3" s="184">
        <v>130</v>
      </c>
      <c r="CE3" s="184">
        <v>145</v>
      </c>
      <c r="CF3" s="186">
        <v>410</v>
      </c>
      <c r="CG3" s="187">
        <v>0.1341</v>
      </c>
      <c r="CH3" s="186">
        <v>470</v>
      </c>
      <c r="CI3" s="187">
        <v>0.12959999999999999</v>
      </c>
      <c r="CJ3" s="186">
        <v>435</v>
      </c>
      <c r="CK3" s="187">
        <v>0.13210000000000002</v>
      </c>
      <c r="CL3" s="186">
        <v>440</v>
      </c>
      <c r="CM3" s="187">
        <v>0.14699999999999999</v>
      </c>
      <c r="CN3" s="186">
        <v>465</v>
      </c>
      <c r="CO3" s="187">
        <v>0.129</v>
      </c>
      <c r="CP3" s="186">
        <v>395</v>
      </c>
      <c r="CQ3" s="187">
        <v>0.11791044776119403</v>
      </c>
      <c r="CR3" s="184">
        <v>191</v>
      </c>
      <c r="CS3" s="184">
        <v>4</v>
      </c>
      <c r="CT3" s="184">
        <v>187</v>
      </c>
      <c r="CU3" s="187">
        <v>0.98280761579994336</v>
      </c>
      <c r="CV3" s="186">
        <v>84</v>
      </c>
      <c r="CW3" s="186">
        <v>99</v>
      </c>
      <c r="CX3" s="187">
        <v>0.46804208863032398</v>
      </c>
      <c r="CY3" s="187">
        <v>0.54348343649814235</v>
      </c>
      <c r="CZ3" s="187">
        <v>0.37964047544544022</v>
      </c>
      <c r="DA3" s="187">
        <v>0.52080051855167575</v>
      </c>
      <c r="DB3" s="187">
        <v>0.458000343620654</v>
      </c>
      <c r="DC3" s="187">
        <v>0.59963908090733153</v>
      </c>
      <c r="DD3" s="182">
        <v>161</v>
      </c>
      <c r="DE3" s="182">
        <v>10</v>
      </c>
      <c r="DF3" s="143">
        <v>6.2111801242236024E-2</v>
      </c>
      <c r="DG3" s="143">
        <v>3.4084412068514494E-2</v>
      </c>
      <c r="DH3" s="143">
        <v>0.11054824886072183</v>
      </c>
      <c r="DI3" s="178" t="str">
        <f t="shared" ref="DI3:DI34" si="0">IF(DG3&gt;$DH$77,"Sig worse than Eng.",(IF(DH3&lt;$DG$77,"Sig better than Eng.","No Sig diff")))</f>
        <v>No Sig diff</v>
      </c>
      <c r="DJ3" s="182">
        <v>163</v>
      </c>
      <c r="DK3" s="182">
        <v>9</v>
      </c>
      <c r="DL3" s="143">
        <v>5.5214723926380369E-2</v>
      </c>
      <c r="DM3" s="143">
        <v>2.9317368755345873E-2</v>
      </c>
      <c r="DN3" s="143">
        <v>0.10159409039323013</v>
      </c>
      <c r="DO3" s="178" t="str">
        <f t="shared" ref="DO3:DO34" si="1">IF(DM3&gt;$DN$77,"Sig worse than Eng.",(IF(DN3&lt;$DM$77,"Sig better than Eng.","No Sig diff")))</f>
        <v>No Sig diff</v>
      </c>
      <c r="DP3" s="183">
        <v>130</v>
      </c>
      <c r="DQ3" s="183">
        <v>9</v>
      </c>
      <c r="DR3" s="143">
        <v>6.9230769230769235E-2</v>
      </c>
      <c r="DS3" s="143">
        <v>3.6847119144994243E-2</v>
      </c>
      <c r="DT3" s="143">
        <v>0.12634191819174664</v>
      </c>
      <c r="DU3" s="178" t="str">
        <f>IF(DS3&gt;$DT$77,"Sig worse than Eng.",(IF(DT3&lt;$DS$77,"Sig better than Eng.","No Sig diff")))</f>
        <v>No Sig diff</v>
      </c>
      <c r="DV3" s="178">
        <v>165</v>
      </c>
      <c r="DW3" s="178">
        <v>16</v>
      </c>
      <c r="DX3" s="179">
        <v>9.696969696969697E-2</v>
      </c>
      <c r="DY3" s="179">
        <v>6.0572005169180751E-2</v>
      </c>
      <c r="DZ3" s="179">
        <v>0.15170677440922217</v>
      </c>
      <c r="EA3" s="178" t="str">
        <f t="shared" ref="EA3:EA34" si="2">IF(DY3&gt;$DZ$77,"Sig worse than Eng.",(IF(DZ3&lt;$DY$77,"Sig better than Eng.","No Sig diff")))</f>
        <v>No Sig diff</v>
      </c>
      <c r="EB3" s="178">
        <v>174</v>
      </c>
      <c r="EC3" s="178">
        <v>26</v>
      </c>
      <c r="ED3" s="143">
        <v>0.14942528735632185</v>
      </c>
      <c r="EE3" s="143">
        <v>0.10405726954201303</v>
      </c>
      <c r="EF3" s="143">
        <v>0.20993846121160956</v>
      </c>
      <c r="EG3" s="178" t="str">
        <f t="shared" ref="EG3:EG34" si="3">IF(EE3&gt;$EF$77,"Sig worse than Eng.",(IF(EF3&lt;$EE$77,"Sig better than Eng.","No Sig diff")))</f>
        <v>No Sig diff</v>
      </c>
      <c r="EH3" s="178">
        <v>171</v>
      </c>
      <c r="EI3" s="178">
        <v>30</v>
      </c>
      <c r="EJ3" s="143">
        <v>0.17543859649122806</v>
      </c>
      <c r="EK3" s="143">
        <v>0.12574362675464065</v>
      </c>
      <c r="EL3" s="143">
        <v>0.23939550701434556</v>
      </c>
      <c r="EM3" s="178" t="str">
        <f>IF(EK3&gt;$EL$77,"Sig worse than Eng.",(IF(EL3&lt;$EK$77,"Sig better than Eng.","No Sig diff")))</f>
        <v>No Sig diff</v>
      </c>
      <c r="EN3" s="183">
        <v>191</v>
      </c>
      <c r="EO3" s="183">
        <v>35</v>
      </c>
      <c r="EP3" s="197">
        <v>0.18324607329842932</v>
      </c>
      <c r="EQ3" s="179">
        <v>0.13481200656779935</v>
      </c>
      <c r="ER3" s="179">
        <v>0.24417026582756324</v>
      </c>
      <c r="ES3" s="178" t="str">
        <f>IF(EQ3&gt;$ER$77,"Sig worse than Eng.",(IF(ER3&lt;$EQ$77,"Sig better than Eng.","No Sig diff")))</f>
        <v>No Sig diff</v>
      </c>
      <c r="ET3" s="206">
        <v>186</v>
      </c>
      <c r="EU3" s="206">
        <v>18</v>
      </c>
      <c r="EV3" s="179">
        <v>9.6774193548387094E-2</v>
      </c>
      <c r="EW3" s="179">
        <v>6.2093076397520854E-2</v>
      </c>
      <c r="EX3" s="179">
        <v>0.14777393088419472</v>
      </c>
      <c r="EY3" s="178" t="str">
        <f>IF(EW3&gt;$EX$77,"Sig worse than Eng.",(IF(EX3&lt;$EW$77,"Sig better than Eng.","No Sig diff")))</f>
        <v>Sig better than Eng.</v>
      </c>
      <c r="EZ3" s="207">
        <v>180</v>
      </c>
      <c r="FA3" s="186">
        <v>99</v>
      </c>
      <c r="FB3" s="187">
        <v>0.55000000000000004</v>
      </c>
      <c r="FC3" s="187">
        <v>0.4770335504141382</v>
      </c>
      <c r="FD3" s="187">
        <v>0.62087689979370053</v>
      </c>
      <c r="FE3" s="208">
        <v>180</v>
      </c>
      <c r="FF3" s="209">
        <v>34</v>
      </c>
      <c r="FG3" s="208">
        <v>36</v>
      </c>
      <c r="FH3" s="209">
        <v>25.361111111111111</v>
      </c>
      <c r="FI3" s="187">
        <f>(FF3-FH3)/FF3</f>
        <v>0.25408496732026142</v>
      </c>
      <c r="FJ3" s="186">
        <v>219</v>
      </c>
      <c r="FK3" s="186">
        <v>132</v>
      </c>
      <c r="FL3" s="187">
        <v>0.60273972602739723</v>
      </c>
      <c r="FM3" s="187">
        <v>0.53669727911714793</v>
      </c>
      <c r="FN3" s="187">
        <v>0.66524000956398821</v>
      </c>
      <c r="FO3" s="198">
        <v>219</v>
      </c>
      <c r="FP3" s="199">
        <v>34</v>
      </c>
      <c r="FQ3" s="198">
        <v>43</v>
      </c>
      <c r="FR3" s="199">
        <v>24.883720930232553</v>
      </c>
      <c r="FS3" s="210">
        <v>0.26812585499316022</v>
      </c>
      <c r="FT3" s="200">
        <v>2763</v>
      </c>
      <c r="FU3" s="200">
        <v>2742</v>
      </c>
      <c r="FV3" s="200">
        <v>21</v>
      </c>
      <c r="FW3" s="200">
        <v>15</v>
      </c>
      <c r="FX3" s="200">
        <v>6</v>
      </c>
      <c r="FY3" s="187">
        <f t="shared" ref="FY3:FY47" si="4">FW3/FV3</f>
        <v>0.7142857142857143</v>
      </c>
      <c r="FZ3" s="187">
        <f t="shared" ref="FZ3:FZ47" si="5">FX3/FV3</f>
        <v>0.2857142857142857</v>
      </c>
      <c r="GA3" s="197">
        <v>0.9612962962962962</v>
      </c>
      <c r="GB3" s="197">
        <v>3.8703703703703699E-2</v>
      </c>
      <c r="GC3" s="197">
        <v>1.9930699774880899E-2</v>
      </c>
      <c r="GD3" s="197">
        <v>9.0972566500489863E-2</v>
      </c>
      <c r="GE3" s="197">
        <v>0.95129629629629631</v>
      </c>
      <c r="GF3" s="197">
        <v>4.8703703703703707E-2</v>
      </c>
      <c r="GG3" s="197">
        <v>1.9930699774880899E-2</v>
      </c>
      <c r="GH3" s="197">
        <v>9.0972566500489863E-2</v>
      </c>
      <c r="GI3" s="197">
        <v>0.95759259259259255</v>
      </c>
      <c r="GJ3" s="197">
        <v>4.2407407407407408E-2</v>
      </c>
      <c r="GK3" s="197">
        <v>2.4605238882088657E-2</v>
      </c>
      <c r="GL3" s="197">
        <v>0.1002995507590243</v>
      </c>
      <c r="GM3" s="197">
        <v>0.86300158175158193</v>
      </c>
      <c r="GN3" s="197">
        <v>0.13699841824841824</v>
      </c>
      <c r="GO3" s="197">
        <v>9.0616305858033777E-2</v>
      </c>
      <c r="GP3" s="197">
        <v>0.2064663742592043</v>
      </c>
      <c r="GQ3" s="186">
        <v>59</v>
      </c>
      <c r="GR3" s="186">
        <v>55</v>
      </c>
      <c r="GS3" s="178">
        <v>55</v>
      </c>
      <c r="GT3" s="178">
        <v>58</v>
      </c>
      <c r="GU3" s="178">
        <v>55</v>
      </c>
      <c r="GV3" s="178">
        <v>56</v>
      </c>
      <c r="GW3" s="178">
        <v>53</v>
      </c>
      <c r="GX3" s="178">
        <v>55</v>
      </c>
      <c r="GY3" s="178">
        <v>53</v>
      </c>
      <c r="GZ3" s="178">
        <v>55</v>
      </c>
      <c r="HA3" s="178">
        <v>55</v>
      </c>
      <c r="HB3" s="178">
        <v>51</v>
      </c>
      <c r="HC3" s="178">
        <v>55</v>
      </c>
      <c r="HD3" s="178">
        <v>56</v>
      </c>
      <c r="HE3" s="178">
        <v>56</v>
      </c>
      <c r="HF3" s="178">
        <v>55</v>
      </c>
      <c r="HG3" s="178">
        <v>54</v>
      </c>
      <c r="HH3" s="178">
        <v>56</v>
      </c>
      <c r="HI3" s="178">
        <v>56</v>
      </c>
      <c r="HJ3" s="178">
        <v>55</v>
      </c>
      <c r="HK3" s="178">
        <v>56</v>
      </c>
      <c r="HL3" s="178">
        <v>55</v>
      </c>
      <c r="HM3" s="178">
        <v>56</v>
      </c>
      <c r="HN3" s="186">
        <v>19</v>
      </c>
      <c r="HO3" s="187">
        <v>1.9348268839103868E-2</v>
      </c>
      <c r="HP3" s="217">
        <v>1542</v>
      </c>
      <c r="HQ3" s="217">
        <v>1390</v>
      </c>
      <c r="HR3" s="217">
        <v>152</v>
      </c>
      <c r="HS3" s="1704">
        <v>9.8573281452658881E-2</v>
      </c>
    </row>
    <row r="4" spans="1:227" ht="13.8" customHeight="1" x14ac:dyDescent="0.25">
      <c r="A4" s="183" t="s">
        <v>32</v>
      </c>
      <c r="B4" s="183"/>
      <c r="C4" s="183" t="s">
        <v>33</v>
      </c>
      <c r="D4" s="183" t="s">
        <v>33</v>
      </c>
      <c r="E4" s="183" t="s">
        <v>33</v>
      </c>
      <c r="F4" s="183" t="s">
        <v>33</v>
      </c>
      <c r="G4" s="183" t="s">
        <v>462</v>
      </c>
      <c r="H4" s="183" t="s">
        <v>131</v>
      </c>
      <c r="I4" s="183" t="s">
        <v>132</v>
      </c>
      <c r="J4" s="183" t="s">
        <v>33</v>
      </c>
      <c r="K4" s="181" t="s">
        <v>33</v>
      </c>
      <c r="L4" s="182">
        <v>13920</v>
      </c>
      <c r="M4" s="182">
        <v>13945</v>
      </c>
      <c r="N4" s="182">
        <v>14000</v>
      </c>
      <c r="O4" s="182">
        <v>13975</v>
      </c>
      <c r="P4" s="182">
        <v>14045</v>
      </c>
      <c r="Q4" s="182">
        <v>14080</v>
      </c>
      <c r="R4" s="182">
        <v>14005</v>
      </c>
      <c r="S4" s="182">
        <v>14160</v>
      </c>
      <c r="T4" s="182">
        <v>14250</v>
      </c>
      <c r="U4" s="184">
        <v>14270</v>
      </c>
      <c r="V4" s="184">
        <v>930</v>
      </c>
      <c r="W4" s="184">
        <v>950</v>
      </c>
      <c r="X4" s="184">
        <v>930</v>
      </c>
      <c r="Y4" s="184">
        <v>935</v>
      </c>
      <c r="Z4" s="184">
        <v>950</v>
      </c>
      <c r="AA4" s="184">
        <v>975</v>
      </c>
      <c r="AB4" s="184">
        <v>1040</v>
      </c>
      <c r="AC4" s="184">
        <v>1085</v>
      </c>
      <c r="AD4" s="184">
        <v>1120</v>
      </c>
      <c r="AE4" s="184">
        <v>1145</v>
      </c>
      <c r="AF4" s="187">
        <v>0.6158088235294118</v>
      </c>
      <c r="AG4" s="187">
        <v>7.6286764705882359E-2</v>
      </c>
      <c r="AH4" s="187">
        <v>7.6286764705882359E-2</v>
      </c>
      <c r="AI4" s="187">
        <v>0.13235294117647059</v>
      </c>
      <c r="AJ4" s="187">
        <v>8.2720588235294115E-2</v>
      </c>
      <c r="AK4" s="187">
        <v>1.6544117647058824E-2</v>
      </c>
      <c r="AL4" s="187">
        <v>0.38419117647058826</v>
      </c>
      <c r="AM4" s="184">
        <v>1980</v>
      </c>
      <c r="AN4" s="187">
        <v>0.4770085901970692</v>
      </c>
      <c r="AO4" s="187">
        <v>0.32491157150075795</v>
      </c>
      <c r="AP4" s="187">
        <v>0.19807983830217282</v>
      </c>
      <c r="AQ4" s="184">
        <v>228</v>
      </c>
      <c r="AR4" s="184">
        <v>218</v>
      </c>
      <c r="AS4" s="184">
        <v>200</v>
      </c>
      <c r="AT4" s="184">
        <v>196</v>
      </c>
      <c r="AU4" s="184">
        <v>236</v>
      </c>
      <c r="AV4" s="186">
        <v>17</v>
      </c>
      <c r="AW4" s="186">
        <v>13</v>
      </c>
      <c r="AX4" s="186">
        <v>8</v>
      </c>
      <c r="AY4" s="186">
        <v>14</v>
      </c>
      <c r="AZ4" s="186">
        <v>15</v>
      </c>
      <c r="BA4" s="186">
        <v>22</v>
      </c>
      <c r="BB4" s="187">
        <v>9.3220338983050849E-2</v>
      </c>
      <c r="BC4" s="187">
        <v>6.2367935694190454E-2</v>
      </c>
      <c r="BD4" s="187">
        <v>0.13710324437589275</v>
      </c>
      <c r="BE4" s="193">
        <v>26</v>
      </c>
      <c r="BF4" s="184">
        <v>337</v>
      </c>
      <c r="BG4" s="184">
        <v>306</v>
      </c>
      <c r="BH4" s="184">
        <v>203</v>
      </c>
      <c r="BI4" s="184">
        <v>0.16940932161849653</v>
      </c>
      <c r="BJ4" s="184">
        <v>1995</v>
      </c>
      <c r="BK4" s="184">
        <v>3572</v>
      </c>
      <c r="BL4" s="186">
        <v>1958</v>
      </c>
      <c r="BM4" s="186">
        <v>991</v>
      </c>
      <c r="BN4" s="186">
        <v>1</v>
      </c>
      <c r="BO4" s="186">
        <v>250</v>
      </c>
      <c r="BP4" s="186">
        <v>500</v>
      </c>
      <c r="BQ4" s="186">
        <v>216</v>
      </c>
      <c r="BR4" s="193">
        <v>215</v>
      </c>
      <c r="BS4" s="193">
        <v>180</v>
      </c>
      <c r="BT4" s="193">
        <v>165</v>
      </c>
      <c r="BU4" s="186">
        <v>519</v>
      </c>
      <c r="BV4" s="186">
        <v>232</v>
      </c>
      <c r="BW4" s="222">
        <f t="shared" ref="BW4:BW47" si="6">BV4/BU4</f>
        <v>0.44701348747591524</v>
      </c>
      <c r="BX4" s="186">
        <v>39</v>
      </c>
      <c r="BY4" s="193">
        <v>2</v>
      </c>
      <c r="BZ4" s="1676">
        <v>287</v>
      </c>
      <c r="CA4" s="222">
        <v>5.3524804177545689E-2</v>
      </c>
      <c r="CB4" s="200">
        <v>260</v>
      </c>
      <c r="CC4" s="200">
        <v>265</v>
      </c>
      <c r="CD4" s="200">
        <v>285</v>
      </c>
      <c r="CE4" s="200">
        <v>265</v>
      </c>
      <c r="CF4" s="186">
        <v>735</v>
      </c>
      <c r="CG4" s="187">
        <v>0.22277777777777777</v>
      </c>
      <c r="CH4" s="186">
        <v>705</v>
      </c>
      <c r="CI4" s="187">
        <v>0.20399999999999999</v>
      </c>
      <c r="CJ4" s="186">
        <v>665</v>
      </c>
      <c r="CK4" s="187">
        <v>0.21177777777777773</v>
      </c>
      <c r="CL4" s="186">
        <v>645</v>
      </c>
      <c r="CM4" s="187">
        <v>0.22133333333333327</v>
      </c>
      <c r="CN4" s="186">
        <v>710</v>
      </c>
      <c r="CO4" s="187">
        <v>0.22855555555555554</v>
      </c>
      <c r="CP4" s="186">
        <v>695</v>
      </c>
      <c r="CQ4" s="187">
        <v>0.22347266881028938</v>
      </c>
      <c r="CR4" s="184">
        <v>199</v>
      </c>
      <c r="CS4" s="184">
        <v>9</v>
      </c>
      <c r="CT4" s="184">
        <v>190</v>
      </c>
      <c r="CU4" s="187">
        <v>0.95615563530037218</v>
      </c>
      <c r="CV4" s="186">
        <v>63</v>
      </c>
      <c r="CW4" s="186">
        <v>90</v>
      </c>
      <c r="CX4" s="187">
        <v>0.31451973653586557</v>
      </c>
      <c r="CY4" s="187">
        <v>0.46319733432636662</v>
      </c>
      <c r="CZ4" s="187">
        <v>0.26855754915982444</v>
      </c>
      <c r="DA4" s="187">
        <v>0.40127596438938273</v>
      </c>
      <c r="DB4" s="187">
        <v>0.40391272589420474</v>
      </c>
      <c r="DC4" s="187">
        <v>0.54449876059785884</v>
      </c>
      <c r="DD4" s="182">
        <v>139</v>
      </c>
      <c r="DE4" s="182">
        <v>13</v>
      </c>
      <c r="DF4" s="143">
        <v>9.3525179856115109E-2</v>
      </c>
      <c r="DG4" s="143">
        <v>5.5472392932265871E-2</v>
      </c>
      <c r="DH4" s="143">
        <v>0.153440755022583</v>
      </c>
      <c r="DI4" s="178" t="str">
        <f t="shared" si="0"/>
        <v>No Sig diff</v>
      </c>
      <c r="DJ4" s="182">
        <v>167</v>
      </c>
      <c r="DK4" s="182">
        <v>17</v>
      </c>
      <c r="DL4" s="143">
        <v>0.10179640718562874</v>
      </c>
      <c r="DM4" s="143">
        <v>6.453215761708575E-2</v>
      </c>
      <c r="DN4" s="143">
        <v>0.15696828543643829</v>
      </c>
      <c r="DO4" s="178" t="str">
        <f t="shared" si="1"/>
        <v>No Sig diff</v>
      </c>
      <c r="DP4" s="183">
        <v>148</v>
      </c>
      <c r="DQ4" s="183">
        <v>15</v>
      </c>
      <c r="DR4" s="143">
        <v>0.10135135135135136</v>
      </c>
      <c r="DS4" s="143">
        <v>6.2386399530736276E-2</v>
      </c>
      <c r="DT4" s="143">
        <v>0.160487241723308</v>
      </c>
      <c r="DU4" s="178" t="str">
        <f t="shared" ref="DU4:DU67" si="7">IF(DS4&gt;$DT$77,"Sig worse than Eng.",(IF(DT4&lt;$DS$77,"Sig better than Eng.","No Sig diff")))</f>
        <v>No Sig diff</v>
      </c>
      <c r="DV4" s="178">
        <v>185</v>
      </c>
      <c r="DW4" s="178">
        <v>22</v>
      </c>
      <c r="DX4" s="179">
        <v>0.11891891891891893</v>
      </c>
      <c r="DY4" s="179">
        <v>7.9857528522488064E-2</v>
      </c>
      <c r="DZ4" s="179">
        <v>0.17348439713018241</v>
      </c>
      <c r="EA4" s="178" t="str">
        <f t="shared" si="2"/>
        <v>No Sig diff</v>
      </c>
      <c r="EB4" s="178">
        <v>133</v>
      </c>
      <c r="EC4" s="178">
        <v>30</v>
      </c>
      <c r="ED4" s="143">
        <v>0.22556390977443608</v>
      </c>
      <c r="EE4" s="143">
        <v>0.16281825028236413</v>
      </c>
      <c r="EF4" s="143">
        <v>0.30371769117048725</v>
      </c>
      <c r="EG4" s="178" t="str">
        <f t="shared" si="3"/>
        <v>No Sig diff</v>
      </c>
      <c r="EH4" s="178">
        <v>167</v>
      </c>
      <c r="EI4" s="178">
        <v>39</v>
      </c>
      <c r="EJ4" s="143">
        <v>0.23353293413173654</v>
      </c>
      <c r="EK4" s="143">
        <v>0.17580094582420591</v>
      </c>
      <c r="EL4" s="143">
        <v>0.30324822283567104</v>
      </c>
      <c r="EM4" s="178" t="str">
        <f t="shared" ref="EM4:EM67" si="8">IF(EK4&gt;$EL$77,"Sig worse than Eng.",(IF(EL4&lt;$EK$77,"Sig better than Eng.","No Sig diff")))</f>
        <v>No Sig diff</v>
      </c>
      <c r="EN4" s="183">
        <v>177</v>
      </c>
      <c r="EO4" s="183">
        <v>39</v>
      </c>
      <c r="EP4" s="197">
        <v>0.22033898305084745</v>
      </c>
      <c r="EQ4" s="179">
        <v>0.1655797355444994</v>
      </c>
      <c r="ER4" s="179">
        <v>0.28697942513911712</v>
      </c>
      <c r="ES4" s="178" t="str">
        <f t="shared" ref="ES4:ES67" si="9">IF(EQ4&gt;$ER$77,"Sig worse than Eng.",(IF(ER4&lt;$EQ$77,"Sig better than Eng.","No Sig diff")))</f>
        <v>No Sig diff</v>
      </c>
      <c r="ET4" s="206">
        <v>160</v>
      </c>
      <c r="EU4" s="206">
        <v>33</v>
      </c>
      <c r="EV4" s="179">
        <v>0.20624999999999999</v>
      </c>
      <c r="EW4" s="179">
        <v>0.15080086366994011</v>
      </c>
      <c r="EX4" s="179">
        <v>0.27547377599331924</v>
      </c>
      <c r="EY4" s="178" t="str">
        <f t="shared" ref="EY4:EY67" si="10">IF(EW4&gt;$EX$77,"Sig worse than Eng.",(IF(EX4&lt;$EW$77,"Sig better than Eng.","No Sig diff")))</f>
        <v>No Sig diff</v>
      </c>
      <c r="EZ4" s="207">
        <v>212</v>
      </c>
      <c r="FA4" s="186">
        <v>105</v>
      </c>
      <c r="FB4" s="187">
        <v>0.49528301886792453</v>
      </c>
      <c r="FC4" s="187">
        <v>0.42866607213368668</v>
      </c>
      <c r="FD4" s="187">
        <v>0.56206786743970427</v>
      </c>
      <c r="FE4" s="208">
        <v>212</v>
      </c>
      <c r="FF4" s="209">
        <v>34</v>
      </c>
      <c r="FG4" s="208">
        <v>42</v>
      </c>
      <c r="FH4" s="209">
        <v>21.976190476190471</v>
      </c>
      <c r="FI4" s="187">
        <f t="shared" ref="FI4:FI47" si="11">(FF4-FH4)/FF4</f>
        <v>0.35364145658263318</v>
      </c>
      <c r="FJ4" s="186">
        <v>193</v>
      </c>
      <c r="FK4" s="186">
        <v>109</v>
      </c>
      <c r="FL4" s="187">
        <v>0.56476683937823835</v>
      </c>
      <c r="FM4" s="187">
        <v>0.4942308877461517</v>
      </c>
      <c r="FN4" s="187">
        <v>0.63277487694274381</v>
      </c>
      <c r="FO4" s="198">
        <v>193</v>
      </c>
      <c r="FP4" s="199">
        <v>34</v>
      </c>
      <c r="FQ4" s="198">
        <v>38</v>
      </c>
      <c r="FR4" s="199">
        <v>21.552631578947373</v>
      </c>
      <c r="FS4" s="210">
        <v>0.36609907120743018</v>
      </c>
      <c r="FT4" s="200">
        <v>1852</v>
      </c>
      <c r="FU4" s="200">
        <v>1811</v>
      </c>
      <c r="FV4" s="200">
        <v>41</v>
      </c>
      <c r="FW4" s="200">
        <v>36</v>
      </c>
      <c r="FX4" s="200">
        <v>5</v>
      </c>
      <c r="FY4" s="187">
        <f t="shared" si="4"/>
        <v>0.87804878048780488</v>
      </c>
      <c r="FZ4" s="187">
        <f t="shared" si="5"/>
        <v>0.12195121951219512</v>
      </c>
      <c r="GA4" s="197">
        <v>0.83758648758648768</v>
      </c>
      <c r="GB4" s="197">
        <v>0.1624135124135124</v>
      </c>
      <c r="GC4" s="197">
        <v>0.11561771988481866</v>
      </c>
      <c r="GD4" s="197">
        <v>0.25849709964566014</v>
      </c>
      <c r="GE4" s="197">
        <v>0.87920227920227922</v>
      </c>
      <c r="GF4" s="197">
        <v>0.12079772079772079</v>
      </c>
      <c r="GG4" s="197">
        <v>7.8811990941745763E-2</v>
      </c>
      <c r="GH4" s="197">
        <v>0.20589065995023004</v>
      </c>
      <c r="GI4" s="197">
        <v>0.80054945054945059</v>
      </c>
      <c r="GJ4" s="197">
        <v>0.19945054945054946</v>
      </c>
      <c r="GK4" s="197">
        <v>0.14772120660505175</v>
      </c>
      <c r="GL4" s="197">
        <v>0.30194390108014951</v>
      </c>
      <c r="GM4" s="197">
        <v>0.64439017772351104</v>
      </c>
      <c r="GN4" s="197">
        <v>0.35560982227648902</v>
      </c>
      <c r="GO4" s="197">
        <v>0.27361966173474211</v>
      </c>
      <c r="GP4" s="197">
        <v>0.45325977192245154</v>
      </c>
      <c r="GQ4" s="186">
        <v>55</v>
      </c>
      <c r="GR4" s="186">
        <v>53</v>
      </c>
      <c r="GS4" s="178">
        <v>53</v>
      </c>
      <c r="GT4" s="178">
        <v>55</v>
      </c>
      <c r="GU4" s="178">
        <v>54</v>
      </c>
      <c r="GV4" s="178">
        <v>50</v>
      </c>
      <c r="GW4" s="178">
        <v>50</v>
      </c>
      <c r="GX4" s="178">
        <v>49</v>
      </c>
      <c r="GY4" s="178">
        <v>48</v>
      </c>
      <c r="GZ4" s="178">
        <v>49</v>
      </c>
      <c r="HA4" s="178">
        <v>48</v>
      </c>
      <c r="HB4" s="178">
        <v>49</v>
      </c>
      <c r="HC4" s="178">
        <v>50</v>
      </c>
      <c r="HD4" s="178">
        <v>62</v>
      </c>
      <c r="HE4" s="178">
        <v>59</v>
      </c>
      <c r="HF4" s="178">
        <v>57</v>
      </c>
      <c r="HG4" s="178">
        <v>53</v>
      </c>
      <c r="HH4" s="178">
        <v>57</v>
      </c>
      <c r="HI4" s="178">
        <v>57</v>
      </c>
      <c r="HJ4" s="178">
        <v>57</v>
      </c>
      <c r="HK4" s="178">
        <v>59</v>
      </c>
      <c r="HL4" s="178">
        <v>55</v>
      </c>
      <c r="HM4" s="178">
        <v>57</v>
      </c>
      <c r="HN4" s="186">
        <v>24</v>
      </c>
      <c r="HO4" s="187">
        <v>2.2058823529411766E-2</v>
      </c>
      <c r="HP4" s="217">
        <v>1737</v>
      </c>
      <c r="HQ4" s="217">
        <v>1485</v>
      </c>
      <c r="HR4" s="217">
        <v>252</v>
      </c>
      <c r="HS4" s="1704">
        <v>0.14507772020725387</v>
      </c>
    </row>
    <row r="5" spans="1:227" ht="13.8" customHeight="1" x14ac:dyDescent="0.25">
      <c r="A5" s="183" t="s">
        <v>428</v>
      </c>
      <c r="B5" s="183"/>
      <c r="C5" s="183" t="s">
        <v>101</v>
      </c>
      <c r="D5" s="183" t="s">
        <v>681</v>
      </c>
      <c r="E5" s="183" t="s">
        <v>101</v>
      </c>
      <c r="F5" s="183" t="s">
        <v>490</v>
      </c>
      <c r="G5" s="183" t="s">
        <v>473</v>
      </c>
      <c r="H5" s="183" t="s">
        <v>172</v>
      </c>
      <c r="I5" s="183" t="s">
        <v>144</v>
      </c>
      <c r="J5" s="183" t="s">
        <v>704</v>
      </c>
      <c r="K5" s="183" t="s">
        <v>101</v>
      </c>
      <c r="L5" s="184">
        <v>24270</v>
      </c>
      <c r="M5" s="184">
        <v>24350</v>
      </c>
      <c r="N5" s="184">
        <v>24640</v>
      </c>
      <c r="O5" s="184">
        <v>24855</v>
      </c>
      <c r="P5" s="184">
        <v>25020</v>
      </c>
      <c r="Q5" s="184">
        <v>25175</v>
      </c>
      <c r="R5" s="184">
        <v>25585</v>
      </c>
      <c r="S5" s="184">
        <v>25835</v>
      </c>
      <c r="T5" s="184">
        <v>25910</v>
      </c>
      <c r="U5" s="184">
        <v>26075</v>
      </c>
      <c r="V5" s="184">
        <v>1240</v>
      </c>
      <c r="W5" s="184">
        <v>1220</v>
      </c>
      <c r="X5" s="184">
        <v>1195</v>
      </c>
      <c r="Y5" s="184">
        <v>1235</v>
      </c>
      <c r="Z5" s="184">
        <v>1235</v>
      </c>
      <c r="AA5" s="184">
        <v>1235</v>
      </c>
      <c r="AB5" s="184">
        <v>1285</v>
      </c>
      <c r="AC5" s="184">
        <v>1290</v>
      </c>
      <c r="AD5" s="184">
        <v>1300</v>
      </c>
      <c r="AE5" s="184">
        <v>1295</v>
      </c>
      <c r="AF5" s="187">
        <v>0.92938496583143504</v>
      </c>
      <c r="AG5" s="187">
        <v>2.2779043280182234E-2</v>
      </c>
      <c r="AH5" s="187">
        <v>3.4927866362946092E-2</v>
      </c>
      <c r="AI5" s="187">
        <v>9.8709187547456334E-3</v>
      </c>
      <c r="AJ5" s="187">
        <v>2.2779043280182231E-3</v>
      </c>
      <c r="AK5" s="187">
        <v>7.5930144267274111E-4</v>
      </c>
      <c r="AL5" s="187">
        <v>7.0615034168564919E-2</v>
      </c>
      <c r="AM5" s="184">
        <v>2665</v>
      </c>
      <c r="AN5" s="187">
        <v>0.74652647390161475</v>
      </c>
      <c r="AO5" s="187">
        <v>0.13931656027037176</v>
      </c>
      <c r="AP5" s="187">
        <v>0.11415696582801352</v>
      </c>
      <c r="AQ5" s="184">
        <v>211</v>
      </c>
      <c r="AR5" s="184">
        <v>215</v>
      </c>
      <c r="AS5" s="184">
        <v>225</v>
      </c>
      <c r="AT5" s="184">
        <v>196</v>
      </c>
      <c r="AU5" s="184">
        <v>185</v>
      </c>
      <c r="AV5" s="186">
        <v>8</v>
      </c>
      <c r="AW5" s="186">
        <v>2</v>
      </c>
      <c r="AX5" s="186">
        <v>4</v>
      </c>
      <c r="AY5" s="186">
        <v>6</v>
      </c>
      <c r="AZ5" s="186">
        <v>3</v>
      </c>
      <c r="BA5" s="186">
        <v>17</v>
      </c>
      <c r="BB5" s="187">
        <v>9.1891891891891897E-2</v>
      </c>
      <c r="BC5" s="187">
        <v>5.8164744484854133E-2</v>
      </c>
      <c r="BD5" s="187">
        <v>0.14222270780984969</v>
      </c>
      <c r="BE5" s="193">
        <v>5</v>
      </c>
      <c r="BF5" s="184">
        <v>372</v>
      </c>
      <c r="BG5" s="184">
        <v>445</v>
      </c>
      <c r="BH5" s="184">
        <v>205</v>
      </c>
      <c r="BI5" s="184">
        <v>0.15210646167041827</v>
      </c>
      <c r="BJ5" s="184">
        <v>2831</v>
      </c>
      <c r="BK5" s="184">
        <v>5095</v>
      </c>
      <c r="BL5" s="186">
        <v>2877</v>
      </c>
      <c r="BM5" s="186">
        <v>1861</v>
      </c>
      <c r="BN5" s="186">
        <v>0</v>
      </c>
      <c r="BO5" s="186">
        <v>331</v>
      </c>
      <c r="BP5" s="186">
        <v>494</v>
      </c>
      <c r="BQ5" s="186">
        <v>191</v>
      </c>
      <c r="BR5" s="193">
        <v>85</v>
      </c>
      <c r="BS5" s="193">
        <v>75</v>
      </c>
      <c r="BT5" s="193">
        <v>70</v>
      </c>
      <c r="BU5" s="186">
        <v>383</v>
      </c>
      <c r="BV5" s="186">
        <v>109</v>
      </c>
      <c r="BW5" s="222">
        <f t="shared" si="6"/>
        <v>0.28459530026109658</v>
      </c>
      <c r="BX5" s="186">
        <v>46</v>
      </c>
      <c r="BY5" s="193">
        <v>8</v>
      </c>
      <c r="BZ5" s="1676">
        <v>209</v>
      </c>
      <c r="CA5" s="222">
        <v>1.9179590713040286E-2</v>
      </c>
      <c r="CB5" s="200">
        <v>140</v>
      </c>
      <c r="CC5" s="200">
        <v>140</v>
      </c>
      <c r="CD5" s="200">
        <v>110</v>
      </c>
      <c r="CE5" s="200">
        <v>120</v>
      </c>
      <c r="CF5" s="186">
        <v>385</v>
      </c>
      <c r="CG5" s="187">
        <v>7.7374999999999985E-2</v>
      </c>
      <c r="CH5" s="186">
        <v>410</v>
      </c>
      <c r="CI5" s="187">
        <v>8.0249999999999988E-2</v>
      </c>
      <c r="CJ5" s="186">
        <v>445</v>
      </c>
      <c r="CK5" s="187">
        <v>9.5125000000000015E-2</v>
      </c>
      <c r="CL5" s="186">
        <v>360</v>
      </c>
      <c r="CM5" s="187">
        <v>8.9999999999999983E-2</v>
      </c>
      <c r="CN5" s="186">
        <v>350</v>
      </c>
      <c r="CO5" s="187">
        <v>8.3000000000000004E-2</v>
      </c>
      <c r="CP5" s="186">
        <v>310</v>
      </c>
      <c r="CQ5" s="187">
        <v>7.0857142857142855E-2</v>
      </c>
      <c r="CR5" s="184">
        <v>188</v>
      </c>
      <c r="CS5" s="184">
        <v>6</v>
      </c>
      <c r="CT5" s="184">
        <v>182</v>
      </c>
      <c r="CU5" s="187">
        <v>0.96200284090909094</v>
      </c>
      <c r="CV5" s="186">
        <v>87</v>
      </c>
      <c r="CW5" s="186">
        <v>109</v>
      </c>
      <c r="CX5" s="187">
        <v>0.48906351001939236</v>
      </c>
      <c r="CY5" s="187">
        <v>0.62833997089511795</v>
      </c>
      <c r="CZ5" s="187">
        <v>0.40665663560429499</v>
      </c>
      <c r="DA5" s="187">
        <v>0.55029595197566561</v>
      </c>
      <c r="DB5" s="187">
        <v>0.52635968482548634</v>
      </c>
      <c r="DC5" s="187">
        <v>0.66735367106469112</v>
      </c>
      <c r="DD5" s="182">
        <v>208</v>
      </c>
      <c r="DE5" s="182">
        <v>14</v>
      </c>
      <c r="DF5" s="143">
        <v>6.7307692307692304E-2</v>
      </c>
      <c r="DG5" s="143">
        <v>4.0513731011622561E-2</v>
      </c>
      <c r="DH5" s="143">
        <v>0.1097942351341602</v>
      </c>
      <c r="DI5" s="178" t="str">
        <f t="shared" si="0"/>
        <v>No Sig diff</v>
      </c>
      <c r="DJ5" s="182">
        <v>258</v>
      </c>
      <c r="DK5" s="182">
        <v>21</v>
      </c>
      <c r="DL5" s="143">
        <v>8.1395348837209308E-2</v>
      </c>
      <c r="DM5" s="143">
        <v>5.3851900260729016E-2</v>
      </c>
      <c r="DN5" s="143">
        <v>0.12122144002372841</v>
      </c>
      <c r="DO5" s="178" t="str">
        <f t="shared" si="1"/>
        <v>No Sig diff</v>
      </c>
      <c r="DP5" s="183">
        <v>129</v>
      </c>
      <c r="DQ5" s="183">
        <v>7</v>
      </c>
      <c r="DR5" s="143">
        <v>5.4263565891472867E-2</v>
      </c>
      <c r="DS5" s="143">
        <v>2.6530955330892243E-2</v>
      </c>
      <c r="DT5" s="143">
        <v>0.10777545005702245</v>
      </c>
      <c r="DU5" s="178" t="str">
        <f t="shared" si="7"/>
        <v>No Sig diff</v>
      </c>
      <c r="DV5" s="178">
        <v>197</v>
      </c>
      <c r="DW5" s="178">
        <v>15</v>
      </c>
      <c r="DX5" s="179">
        <v>7.6142131979695438E-2</v>
      </c>
      <c r="DY5" s="179">
        <v>4.6683361087312907E-2</v>
      </c>
      <c r="DZ5" s="179">
        <v>0.12181501080963128</v>
      </c>
      <c r="EA5" s="178" t="str">
        <f t="shared" si="2"/>
        <v>No Sig diff</v>
      </c>
      <c r="EB5" s="178">
        <v>207</v>
      </c>
      <c r="EC5" s="178">
        <v>34</v>
      </c>
      <c r="ED5" s="143">
        <v>0.16400000000000001</v>
      </c>
      <c r="EE5" s="143">
        <v>0.12</v>
      </c>
      <c r="EF5" s="143">
        <v>0.221</v>
      </c>
      <c r="EG5" s="178" t="str">
        <f t="shared" si="3"/>
        <v>No Sig diff</v>
      </c>
      <c r="EH5" s="178">
        <v>213</v>
      </c>
      <c r="EI5" s="178">
        <v>31</v>
      </c>
      <c r="EJ5" s="143">
        <v>0.14599999999999999</v>
      </c>
      <c r="EK5" s="143">
        <v>0.104</v>
      </c>
      <c r="EL5" s="143">
        <v>0.19900000000000001</v>
      </c>
      <c r="EM5" s="178" t="str">
        <f t="shared" si="8"/>
        <v>No Sig diff</v>
      </c>
      <c r="EN5" s="183">
        <v>205</v>
      </c>
      <c r="EO5" s="183">
        <v>27</v>
      </c>
      <c r="EP5" s="197">
        <v>0.13170731707317074</v>
      </c>
      <c r="EQ5" s="179">
        <v>9.2119520186502241E-2</v>
      </c>
      <c r="ER5" s="179">
        <v>0.18484396755831045</v>
      </c>
      <c r="ES5" s="178" t="str">
        <f t="shared" si="9"/>
        <v>Sig better than Eng.</v>
      </c>
      <c r="ET5" s="206">
        <v>193</v>
      </c>
      <c r="EU5" s="206">
        <v>19</v>
      </c>
      <c r="EV5" s="179">
        <v>9.8445595854922283E-2</v>
      </c>
      <c r="EW5" s="179">
        <v>6.3932503429260476E-2</v>
      </c>
      <c r="EX5" s="179">
        <v>0.14863175549958713</v>
      </c>
      <c r="EY5" s="178" t="str">
        <f t="shared" si="10"/>
        <v>Sig better than Eng.</v>
      </c>
      <c r="EZ5" s="207">
        <v>243</v>
      </c>
      <c r="FA5" s="186">
        <v>152</v>
      </c>
      <c r="FB5" s="187">
        <v>0.62551440329218111</v>
      </c>
      <c r="FC5" s="187">
        <v>0.56315198511017772</v>
      </c>
      <c r="FD5" s="187">
        <v>0.68397019724700259</v>
      </c>
      <c r="FE5" s="208">
        <v>243</v>
      </c>
      <c r="FF5" s="209">
        <v>34</v>
      </c>
      <c r="FG5" s="208">
        <v>48</v>
      </c>
      <c r="FH5" s="209">
        <v>26.041666666666671</v>
      </c>
      <c r="FI5" s="187">
        <f t="shared" si="11"/>
        <v>0.23406862745098025</v>
      </c>
      <c r="FJ5" s="186">
        <v>294</v>
      </c>
      <c r="FK5" s="186">
        <v>196</v>
      </c>
      <c r="FL5" s="187">
        <v>0.66666666666666663</v>
      </c>
      <c r="FM5" s="187">
        <v>0.61093750591623186</v>
      </c>
      <c r="FN5" s="187">
        <v>0.71809660635286543</v>
      </c>
      <c r="FO5" s="198">
        <v>294</v>
      </c>
      <c r="FP5" s="199">
        <v>34</v>
      </c>
      <c r="FQ5" s="198">
        <v>58</v>
      </c>
      <c r="FR5" s="199">
        <v>26.586206896551726</v>
      </c>
      <c r="FS5" s="210">
        <v>0.21805273833671393</v>
      </c>
      <c r="FT5" s="200">
        <v>3760</v>
      </c>
      <c r="FU5" s="200">
        <v>3670</v>
      </c>
      <c r="FV5" s="200">
        <v>90</v>
      </c>
      <c r="FW5" s="200">
        <v>72</v>
      </c>
      <c r="FX5" s="200">
        <v>18</v>
      </c>
      <c r="FY5" s="187">
        <f t="shared" si="4"/>
        <v>0.8</v>
      </c>
      <c r="FZ5" s="187">
        <f t="shared" si="5"/>
        <v>0.2</v>
      </c>
      <c r="GA5" s="197">
        <v>0.94310290404040398</v>
      </c>
      <c r="GB5" s="197">
        <v>5.6897095959595953E-2</v>
      </c>
      <c r="GC5" s="197">
        <v>5.4117934063799819E-2</v>
      </c>
      <c r="GD5" s="197">
        <v>0.18113867504246287</v>
      </c>
      <c r="GE5" s="197">
        <v>0.96440972222222221</v>
      </c>
      <c r="GF5" s="197">
        <v>3.5590277777777776E-2</v>
      </c>
      <c r="GG5" s="197">
        <v>1.7614201033819141E-2</v>
      </c>
      <c r="GH5" s="197">
        <v>0.10993207132684676</v>
      </c>
      <c r="GI5" s="197">
        <v>0.9656723484848484</v>
      </c>
      <c r="GJ5" s="197">
        <v>3.4327651515151512E-2</v>
      </c>
      <c r="GK5" s="197">
        <v>1.7614201033819141E-2</v>
      </c>
      <c r="GL5" s="197">
        <v>0.10993207132684676</v>
      </c>
      <c r="GM5" s="197">
        <v>0.86806344696969695</v>
      </c>
      <c r="GN5" s="197">
        <v>0.13193655303030305</v>
      </c>
      <c r="GO5" s="197">
        <v>9.607722097921384E-2</v>
      </c>
      <c r="GP5" s="197">
        <v>0.24688972487264566</v>
      </c>
      <c r="GQ5" s="186">
        <v>58</v>
      </c>
      <c r="GR5" s="186">
        <v>56</v>
      </c>
      <c r="GS5" s="178">
        <v>56</v>
      </c>
      <c r="GT5" s="178">
        <v>56</v>
      </c>
      <c r="GU5" s="178">
        <v>56</v>
      </c>
      <c r="GV5" s="178">
        <v>62</v>
      </c>
      <c r="GW5" s="178">
        <v>58</v>
      </c>
      <c r="GX5" s="178">
        <v>57</v>
      </c>
      <c r="GY5" s="178">
        <v>58</v>
      </c>
      <c r="GZ5" s="178">
        <v>58</v>
      </c>
      <c r="HA5" s="178">
        <v>57</v>
      </c>
      <c r="HB5" s="178">
        <v>59</v>
      </c>
      <c r="HC5" s="178">
        <v>58</v>
      </c>
      <c r="HD5" s="178">
        <v>60</v>
      </c>
      <c r="HE5" s="178">
        <v>59</v>
      </c>
      <c r="HF5" s="178">
        <v>57</v>
      </c>
      <c r="HG5" s="178">
        <v>56</v>
      </c>
      <c r="HH5" s="178">
        <v>55</v>
      </c>
      <c r="HI5" s="178">
        <v>55</v>
      </c>
      <c r="HJ5" s="178">
        <v>55</v>
      </c>
      <c r="HK5" s="178">
        <v>58</v>
      </c>
      <c r="HL5" s="178">
        <v>54</v>
      </c>
      <c r="HM5" s="178">
        <v>59</v>
      </c>
      <c r="HN5" s="186">
        <v>14</v>
      </c>
      <c r="HO5" s="187">
        <v>1.0630220197418374E-2</v>
      </c>
      <c r="HP5" s="217">
        <v>2072</v>
      </c>
      <c r="HQ5" s="217">
        <v>1939</v>
      </c>
      <c r="HR5" s="217">
        <v>133</v>
      </c>
      <c r="HS5" s="1704">
        <v>6.4189189189189186E-2</v>
      </c>
    </row>
    <row r="6" spans="1:227" ht="13.8" customHeight="1" x14ac:dyDescent="0.25">
      <c r="A6" s="183" t="s">
        <v>617</v>
      </c>
      <c r="B6" s="183"/>
      <c r="C6" s="183" t="s">
        <v>429</v>
      </c>
      <c r="D6" s="183" t="s">
        <v>676</v>
      </c>
      <c r="E6" s="183" t="s">
        <v>100</v>
      </c>
      <c r="F6" s="183" t="s">
        <v>489</v>
      </c>
      <c r="G6" s="183" t="s">
        <v>453</v>
      </c>
      <c r="H6" s="183" t="s">
        <v>129</v>
      </c>
      <c r="I6" s="183" t="s">
        <v>130</v>
      </c>
      <c r="J6" s="183" t="s">
        <v>704</v>
      </c>
      <c r="K6" s="183" t="s">
        <v>128</v>
      </c>
      <c r="L6" s="184">
        <v>30475</v>
      </c>
      <c r="M6" s="184">
        <v>30680</v>
      </c>
      <c r="N6" s="184">
        <v>30925</v>
      </c>
      <c r="O6" s="184">
        <v>31290</v>
      </c>
      <c r="P6" s="184">
        <v>31455</v>
      </c>
      <c r="Q6" s="184">
        <v>31615</v>
      </c>
      <c r="R6" s="184">
        <v>31785</v>
      </c>
      <c r="S6" s="184">
        <v>31830</v>
      </c>
      <c r="T6" s="184">
        <v>32005</v>
      </c>
      <c r="U6" s="184">
        <v>32230</v>
      </c>
      <c r="V6" s="184">
        <v>1185</v>
      </c>
      <c r="W6" s="184">
        <v>1220</v>
      </c>
      <c r="X6" s="184">
        <v>1250</v>
      </c>
      <c r="Y6" s="184">
        <v>1320</v>
      </c>
      <c r="Z6" s="184">
        <v>1370</v>
      </c>
      <c r="AA6" s="184">
        <v>1485</v>
      </c>
      <c r="AB6" s="184">
        <v>1520</v>
      </c>
      <c r="AC6" s="184">
        <v>1605</v>
      </c>
      <c r="AD6" s="184">
        <v>1620</v>
      </c>
      <c r="AE6" s="184">
        <v>1640</v>
      </c>
      <c r="AF6" s="187">
        <v>0.82069408740359895</v>
      </c>
      <c r="AG6" s="187">
        <v>0.11632390745501285</v>
      </c>
      <c r="AH6" s="187">
        <v>3.4704370179948589E-2</v>
      </c>
      <c r="AI6" s="187">
        <v>2.570694087403599E-2</v>
      </c>
      <c r="AJ6" s="187">
        <v>1.2853470437017994E-3</v>
      </c>
      <c r="AK6" s="187">
        <v>1.2853470437017994E-3</v>
      </c>
      <c r="AL6" s="187">
        <v>0.17930591259640102</v>
      </c>
      <c r="AM6" s="184">
        <v>2780</v>
      </c>
      <c r="AN6" s="187">
        <v>0.54025880661394676</v>
      </c>
      <c r="AO6" s="187">
        <v>0.10639827462257369</v>
      </c>
      <c r="AP6" s="187">
        <v>0.35334291876347951</v>
      </c>
      <c r="AQ6" s="184">
        <v>315</v>
      </c>
      <c r="AR6" s="184">
        <v>328</v>
      </c>
      <c r="AS6" s="184">
        <v>344</v>
      </c>
      <c r="AT6" s="184">
        <v>357</v>
      </c>
      <c r="AU6" s="184">
        <v>338</v>
      </c>
      <c r="AV6" s="186">
        <v>33</v>
      </c>
      <c r="AW6" s="186">
        <v>20</v>
      </c>
      <c r="AX6" s="186">
        <v>22</v>
      </c>
      <c r="AY6" s="186">
        <v>18</v>
      </c>
      <c r="AZ6" s="186">
        <v>21</v>
      </c>
      <c r="BA6" s="186">
        <v>22</v>
      </c>
      <c r="BB6" s="187">
        <v>6.5088757396449703E-2</v>
      </c>
      <c r="BC6" s="187">
        <v>4.3373169178803433E-2</v>
      </c>
      <c r="BD6" s="187">
        <v>9.6579015046423536E-2</v>
      </c>
      <c r="BE6" s="193">
        <v>39</v>
      </c>
      <c r="BF6" s="184">
        <v>590</v>
      </c>
      <c r="BG6" s="184">
        <v>458</v>
      </c>
      <c r="BH6" s="184">
        <v>203</v>
      </c>
      <c r="BI6" s="184">
        <v>0.13043955261306833</v>
      </c>
      <c r="BJ6" s="184">
        <v>2956</v>
      </c>
      <c r="BK6" s="184">
        <v>4972</v>
      </c>
      <c r="BL6" s="186">
        <v>2979</v>
      </c>
      <c r="BM6" s="186">
        <v>1514</v>
      </c>
      <c r="BN6" s="186">
        <v>2</v>
      </c>
      <c r="BO6" s="186">
        <v>478</v>
      </c>
      <c r="BP6" s="186">
        <v>708</v>
      </c>
      <c r="BQ6" s="186">
        <v>277</v>
      </c>
      <c r="BR6" s="193">
        <v>225</v>
      </c>
      <c r="BS6" s="193">
        <v>215</v>
      </c>
      <c r="BT6" s="193">
        <v>190</v>
      </c>
      <c r="BU6" s="186">
        <v>702</v>
      </c>
      <c r="BV6" s="186">
        <v>263</v>
      </c>
      <c r="BW6" s="222">
        <f t="shared" si="6"/>
        <v>0.37464387464387466</v>
      </c>
      <c r="BX6" s="186">
        <v>63</v>
      </c>
      <c r="BY6" s="193">
        <v>2</v>
      </c>
      <c r="BZ6" s="1676">
        <v>766</v>
      </c>
      <c r="CA6" s="222">
        <v>5.2176282269600166E-2</v>
      </c>
      <c r="CB6" s="200">
        <v>285</v>
      </c>
      <c r="CC6" s="200">
        <v>275</v>
      </c>
      <c r="CD6" s="200">
        <v>300</v>
      </c>
      <c r="CE6" s="200">
        <v>275</v>
      </c>
      <c r="CF6" s="186">
        <v>780</v>
      </c>
      <c r="CG6" s="187">
        <v>0.16229999999999997</v>
      </c>
      <c r="CH6" s="186">
        <v>785</v>
      </c>
      <c r="CI6" s="187">
        <v>0.15945000000000004</v>
      </c>
      <c r="CJ6" s="186">
        <v>795</v>
      </c>
      <c r="CK6" s="187">
        <v>0.16625000000000004</v>
      </c>
      <c r="CL6" s="186">
        <v>740</v>
      </c>
      <c r="CM6" s="187">
        <v>0.16325000000000003</v>
      </c>
      <c r="CN6" s="186">
        <v>745</v>
      </c>
      <c r="CO6" s="187">
        <v>0.16159999999999999</v>
      </c>
      <c r="CP6" s="186">
        <v>650</v>
      </c>
      <c r="CQ6" s="187">
        <v>0.14541387024608501</v>
      </c>
      <c r="CR6" s="184">
        <v>340</v>
      </c>
      <c r="CS6" s="184">
        <v>7</v>
      </c>
      <c r="CT6" s="184">
        <v>333</v>
      </c>
      <c r="CU6" s="187">
        <v>0.98093690478792794</v>
      </c>
      <c r="CV6" s="186">
        <v>123</v>
      </c>
      <c r="CW6" s="186">
        <v>149</v>
      </c>
      <c r="CX6" s="187">
        <v>0.36648709844905497</v>
      </c>
      <c r="CY6" s="187">
        <v>0.45325752307274042</v>
      </c>
      <c r="CZ6" s="187">
        <v>0.31929566467294879</v>
      </c>
      <c r="DA6" s="187">
        <v>0.42242269790459519</v>
      </c>
      <c r="DB6" s="187">
        <v>0.39494261979372203</v>
      </c>
      <c r="DC6" s="187">
        <v>0.50115097434666911</v>
      </c>
      <c r="DD6" s="182">
        <v>269</v>
      </c>
      <c r="DE6" s="182">
        <v>33</v>
      </c>
      <c r="DF6" s="143">
        <v>0.12267657992565056</v>
      </c>
      <c r="DG6" s="143">
        <v>8.8701014841697901E-2</v>
      </c>
      <c r="DH6" s="143">
        <v>0.1672771606253689</v>
      </c>
      <c r="DI6" s="178" t="str">
        <f t="shared" si="0"/>
        <v>No Sig diff</v>
      </c>
      <c r="DJ6" s="182">
        <v>228</v>
      </c>
      <c r="DK6" s="182">
        <v>23</v>
      </c>
      <c r="DL6" s="143">
        <v>0.10087719298245613</v>
      </c>
      <c r="DM6" s="143">
        <v>6.8163691398398854E-2</v>
      </c>
      <c r="DN6" s="143">
        <v>0.14681709363557319</v>
      </c>
      <c r="DO6" s="178" t="str">
        <f t="shared" si="1"/>
        <v>No Sig diff</v>
      </c>
      <c r="DP6" s="183">
        <v>261</v>
      </c>
      <c r="DQ6" s="183">
        <v>37</v>
      </c>
      <c r="DR6" s="143">
        <v>0.1417624521072797</v>
      </c>
      <c r="DS6" s="143">
        <v>0.10462973464394934</v>
      </c>
      <c r="DT6" s="143">
        <v>0.18928746082579473</v>
      </c>
      <c r="DU6" s="178" t="str">
        <f t="shared" si="7"/>
        <v>Sig worse than Eng.</v>
      </c>
      <c r="DV6" s="178">
        <v>297</v>
      </c>
      <c r="DW6" s="178">
        <v>28</v>
      </c>
      <c r="DX6" s="179">
        <v>9.4276094276094277E-2</v>
      </c>
      <c r="DY6" s="179">
        <v>6.6032790014041221E-2</v>
      </c>
      <c r="DZ6" s="179">
        <v>0.13288081403266863</v>
      </c>
      <c r="EA6" s="178" t="str">
        <f t="shared" si="2"/>
        <v>No Sig diff</v>
      </c>
      <c r="EB6" s="178">
        <v>205</v>
      </c>
      <c r="EC6" s="178">
        <v>42</v>
      </c>
      <c r="ED6" s="143">
        <v>0.20487804878048779</v>
      </c>
      <c r="EE6" s="143">
        <v>0.15529811076434766</v>
      </c>
      <c r="EF6" s="143">
        <v>0.2653150151768599</v>
      </c>
      <c r="EG6" s="178" t="str">
        <f t="shared" si="3"/>
        <v>No Sig diff</v>
      </c>
      <c r="EH6" s="178">
        <v>218</v>
      </c>
      <c r="EI6" s="178">
        <v>44</v>
      </c>
      <c r="EJ6" s="143">
        <v>0.20183486238532111</v>
      </c>
      <c r="EK6" s="143">
        <v>0.15392950781363002</v>
      </c>
      <c r="EL6" s="143">
        <v>0.26006641210558595</v>
      </c>
      <c r="EM6" s="178" t="str">
        <f t="shared" si="8"/>
        <v>No Sig diff</v>
      </c>
      <c r="EN6" s="183">
        <v>200</v>
      </c>
      <c r="EO6" s="183">
        <v>37</v>
      </c>
      <c r="EP6" s="197">
        <v>0.185</v>
      </c>
      <c r="EQ6" s="179">
        <v>0.13730192800616048</v>
      </c>
      <c r="ER6" s="179">
        <v>0.24457062761151749</v>
      </c>
      <c r="ES6" s="178" t="str">
        <f t="shared" si="9"/>
        <v>No Sig diff</v>
      </c>
      <c r="ET6" s="206">
        <v>189</v>
      </c>
      <c r="EU6" s="206">
        <v>36</v>
      </c>
      <c r="EV6" s="179">
        <v>0.19047619047619047</v>
      </c>
      <c r="EW6" s="179">
        <v>0.14087796358983723</v>
      </c>
      <c r="EX6" s="179">
        <v>0.25240602878657525</v>
      </c>
      <c r="EY6" s="178" t="str">
        <f t="shared" si="10"/>
        <v>No Sig diff</v>
      </c>
      <c r="EZ6" s="207">
        <v>314</v>
      </c>
      <c r="FA6" s="186">
        <v>104</v>
      </c>
      <c r="FB6" s="187">
        <v>0.33121019108280253</v>
      </c>
      <c r="FC6" s="187">
        <v>0.28146844278901645</v>
      </c>
      <c r="FD6" s="187">
        <v>0.38503195526069667</v>
      </c>
      <c r="FE6" s="208">
        <v>314</v>
      </c>
      <c r="FF6" s="209">
        <v>31.5</v>
      </c>
      <c r="FG6" s="208">
        <v>62</v>
      </c>
      <c r="FH6" s="209">
        <v>20.790322580645157</v>
      </c>
      <c r="FI6" s="187">
        <f t="shared" si="11"/>
        <v>0.33998975934459819</v>
      </c>
      <c r="FJ6" s="186">
        <v>308</v>
      </c>
      <c r="FK6" s="186">
        <v>163</v>
      </c>
      <c r="FL6" s="187">
        <v>0.52922077922077926</v>
      </c>
      <c r="FM6" s="187">
        <v>0.47345984299613758</v>
      </c>
      <c r="FN6" s="187">
        <v>0.58426179564700975</v>
      </c>
      <c r="FO6" s="198">
        <v>308</v>
      </c>
      <c r="FP6" s="199">
        <v>34</v>
      </c>
      <c r="FQ6" s="198">
        <v>61</v>
      </c>
      <c r="FR6" s="199">
        <v>23.983606557377048</v>
      </c>
      <c r="FS6" s="210">
        <v>0.29459980713596917</v>
      </c>
      <c r="FT6" s="200">
        <v>3362</v>
      </c>
      <c r="FU6" s="200">
        <v>3150</v>
      </c>
      <c r="FV6" s="200">
        <v>212</v>
      </c>
      <c r="FW6" s="200">
        <v>153</v>
      </c>
      <c r="FX6" s="200">
        <v>59</v>
      </c>
      <c r="FY6" s="187">
        <f t="shared" si="4"/>
        <v>0.72169811320754718</v>
      </c>
      <c r="FZ6" s="187">
        <f t="shared" si="5"/>
        <v>0.27830188679245282</v>
      </c>
      <c r="GA6" s="197">
        <v>0.86148268398268379</v>
      </c>
      <c r="GB6" s="197">
        <v>0.13851731601731601</v>
      </c>
      <c r="GC6" s="197">
        <v>0.10424930622012753</v>
      </c>
      <c r="GD6" s="197">
        <v>0.21607377511371989</v>
      </c>
      <c r="GE6" s="197">
        <v>0.86108405483405481</v>
      </c>
      <c r="GF6" s="197">
        <v>0.13891594516594516</v>
      </c>
      <c r="GG6" s="197">
        <v>0.13636267428550469</v>
      </c>
      <c r="GH6" s="197">
        <v>0.25810697999374121</v>
      </c>
      <c r="GI6" s="197">
        <v>0.89908189033189034</v>
      </c>
      <c r="GJ6" s="197">
        <v>0.10091810966810966</v>
      </c>
      <c r="GK6" s="197">
        <v>8.3456724788453618E-2</v>
      </c>
      <c r="GL6" s="197">
        <v>0.18743530791512816</v>
      </c>
      <c r="GM6" s="197">
        <v>0.78010010822510822</v>
      </c>
      <c r="GN6" s="197">
        <v>0.21989989177489172</v>
      </c>
      <c r="GO6" s="197">
        <v>0.20309234864592962</v>
      </c>
      <c r="GP6" s="197">
        <v>0.33967045152411318</v>
      </c>
      <c r="GQ6" s="186">
        <v>71</v>
      </c>
      <c r="GR6" s="186">
        <v>70</v>
      </c>
      <c r="GS6" s="178">
        <v>70</v>
      </c>
      <c r="GT6" s="178">
        <v>70</v>
      </c>
      <c r="GU6" s="178">
        <v>70</v>
      </c>
      <c r="GV6" s="178">
        <v>83</v>
      </c>
      <c r="GW6" s="178">
        <v>78</v>
      </c>
      <c r="GX6" s="178">
        <v>81</v>
      </c>
      <c r="GY6" s="178">
        <v>78</v>
      </c>
      <c r="GZ6" s="178">
        <v>80</v>
      </c>
      <c r="HA6" s="178">
        <v>82</v>
      </c>
      <c r="HB6" s="178">
        <v>78</v>
      </c>
      <c r="HC6" s="178">
        <v>81</v>
      </c>
      <c r="HD6" s="178">
        <v>94</v>
      </c>
      <c r="HE6" s="178">
        <v>89</v>
      </c>
      <c r="HF6" s="178">
        <v>84</v>
      </c>
      <c r="HG6" s="178">
        <v>85</v>
      </c>
      <c r="HH6" s="178">
        <v>85</v>
      </c>
      <c r="HI6" s="178">
        <v>85</v>
      </c>
      <c r="HJ6" s="178">
        <v>85</v>
      </c>
      <c r="HK6" s="178">
        <v>91</v>
      </c>
      <c r="HL6" s="178">
        <v>83</v>
      </c>
      <c r="HM6" s="178">
        <v>87</v>
      </c>
      <c r="HN6" s="186">
        <v>33</v>
      </c>
      <c r="HO6" s="187">
        <v>2.1249195106245976E-2</v>
      </c>
      <c r="HP6" s="217">
        <v>2484</v>
      </c>
      <c r="HQ6" s="217">
        <v>2170</v>
      </c>
      <c r="HR6" s="217">
        <v>314</v>
      </c>
      <c r="HS6" s="1704">
        <v>0.12640901771336555</v>
      </c>
    </row>
    <row r="7" spans="1:227" ht="13.8" customHeight="1" x14ac:dyDescent="0.25">
      <c r="A7" s="183" t="s">
        <v>618</v>
      </c>
      <c r="B7" s="183"/>
      <c r="C7" s="183" t="s">
        <v>34</v>
      </c>
      <c r="D7" s="183" t="s">
        <v>674</v>
      </c>
      <c r="E7" s="183" t="s">
        <v>34</v>
      </c>
      <c r="F7" s="183" t="s">
        <v>34</v>
      </c>
      <c r="G7" s="183" t="s">
        <v>445</v>
      </c>
      <c r="H7" s="183" t="s">
        <v>50</v>
      </c>
      <c r="I7" s="183" t="s">
        <v>127</v>
      </c>
      <c r="J7" s="183" t="s">
        <v>704</v>
      </c>
      <c r="K7" s="183" t="s">
        <v>133</v>
      </c>
      <c r="L7" s="184">
        <v>15885</v>
      </c>
      <c r="M7" s="184">
        <v>15800</v>
      </c>
      <c r="N7" s="184">
        <v>15880</v>
      </c>
      <c r="O7" s="184">
        <v>15870</v>
      </c>
      <c r="P7" s="184">
        <v>15825</v>
      </c>
      <c r="Q7" s="184">
        <v>15785</v>
      </c>
      <c r="R7" s="184">
        <v>15830</v>
      </c>
      <c r="S7" s="184">
        <v>15875</v>
      </c>
      <c r="T7" s="184">
        <v>16025</v>
      </c>
      <c r="U7" s="184">
        <v>16035</v>
      </c>
      <c r="V7" s="184">
        <v>785</v>
      </c>
      <c r="W7" s="184">
        <v>785</v>
      </c>
      <c r="X7" s="184">
        <v>780</v>
      </c>
      <c r="Y7" s="184">
        <v>805</v>
      </c>
      <c r="Z7" s="184">
        <v>795</v>
      </c>
      <c r="AA7" s="184">
        <v>830</v>
      </c>
      <c r="AB7" s="184">
        <v>875</v>
      </c>
      <c r="AC7" s="184">
        <v>875</v>
      </c>
      <c r="AD7" s="184">
        <v>900</v>
      </c>
      <c r="AE7" s="184">
        <v>890</v>
      </c>
      <c r="AF7" s="187">
        <v>0.90700344431687718</v>
      </c>
      <c r="AG7" s="187">
        <v>3.0998851894374284E-2</v>
      </c>
      <c r="AH7" s="187">
        <v>3.9035591274397242E-2</v>
      </c>
      <c r="AI7" s="187">
        <v>1.6073478760045924E-2</v>
      </c>
      <c r="AJ7" s="187">
        <v>2.2962112514351321E-3</v>
      </c>
      <c r="AK7" s="187">
        <v>4.5924225028702642E-3</v>
      </c>
      <c r="AL7" s="187">
        <v>9.2996555683122845E-2</v>
      </c>
      <c r="AM7" s="184">
        <v>1630</v>
      </c>
      <c r="AN7" s="187">
        <v>0.62208588957055211</v>
      </c>
      <c r="AO7" s="187">
        <v>0.2</v>
      </c>
      <c r="AP7" s="187">
        <v>0.17791411042944785</v>
      </c>
      <c r="AQ7" s="184">
        <v>174</v>
      </c>
      <c r="AR7" s="184">
        <v>177</v>
      </c>
      <c r="AS7" s="184">
        <v>160</v>
      </c>
      <c r="AT7" s="184">
        <v>182</v>
      </c>
      <c r="AU7" s="184">
        <v>172</v>
      </c>
      <c r="AV7" s="186">
        <v>11</v>
      </c>
      <c r="AW7" s="186">
        <v>14</v>
      </c>
      <c r="AX7" s="186">
        <v>8</v>
      </c>
      <c r="AY7" s="186">
        <v>8</v>
      </c>
      <c r="AZ7" s="186">
        <v>3</v>
      </c>
      <c r="BA7" s="186">
        <v>13</v>
      </c>
      <c r="BB7" s="187">
        <v>7.5581395348837205E-2</v>
      </c>
      <c r="BC7" s="187">
        <v>4.4699432822978308E-2</v>
      </c>
      <c r="BD7" s="187">
        <v>0.12500718256130097</v>
      </c>
      <c r="BE7" s="193">
        <v>13</v>
      </c>
      <c r="BF7" s="184">
        <v>273</v>
      </c>
      <c r="BG7" s="184">
        <v>263</v>
      </c>
      <c r="BH7" s="184">
        <v>144</v>
      </c>
      <c r="BI7" s="184">
        <v>0.1399705626162511</v>
      </c>
      <c r="BJ7" s="184">
        <v>1701</v>
      </c>
      <c r="BK7" s="184">
        <v>2988</v>
      </c>
      <c r="BL7" s="186">
        <v>1715</v>
      </c>
      <c r="BM7" s="186">
        <v>881</v>
      </c>
      <c r="BN7" s="186">
        <v>2</v>
      </c>
      <c r="BO7" s="186">
        <v>268</v>
      </c>
      <c r="BP7" s="186">
        <v>414</v>
      </c>
      <c r="BQ7" s="186">
        <v>150</v>
      </c>
      <c r="BR7" s="193">
        <v>130</v>
      </c>
      <c r="BS7" s="193">
        <v>130</v>
      </c>
      <c r="BT7" s="193">
        <v>120</v>
      </c>
      <c r="BU7" s="186">
        <v>414</v>
      </c>
      <c r="BV7" s="186">
        <v>173</v>
      </c>
      <c r="BW7" s="222">
        <f t="shared" si="6"/>
        <v>0.41787439613526572</v>
      </c>
      <c r="BX7" s="186">
        <v>48</v>
      </c>
      <c r="BY7" s="193">
        <v>2</v>
      </c>
      <c r="BZ7" s="1676">
        <v>348</v>
      </c>
      <c r="CA7" s="222">
        <v>4.912478825522304E-2</v>
      </c>
      <c r="CB7" s="200">
        <v>190</v>
      </c>
      <c r="CC7" s="200">
        <v>160</v>
      </c>
      <c r="CD7" s="200">
        <v>155</v>
      </c>
      <c r="CE7" s="200">
        <v>160</v>
      </c>
      <c r="CF7" s="186">
        <v>465</v>
      </c>
      <c r="CG7" s="187">
        <v>0.17127272727272727</v>
      </c>
      <c r="CH7" s="186">
        <v>480</v>
      </c>
      <c r="CI7" s="187">
        <v>0.18736363636363637</v>
      </c>
      <c r="CJ7" s="186">
        <v>525</v>
      </c>
      <c r="CK7" s="187">
        <v>0.1861818181818182</v>
      </c>
      <c r="CL7" s="186">
        <v>510</v>
      </c>
      <c r="CM7" s="187">
        <v>0.17681818181818182</v>
      </c>
      <c r="CN7" s="186">
        <v>505</v>
      </c>
      <c r="CO7" s="187">
        <v>0.16472727272727272</v>
      </c>
      <c r="CP7" s="186">
        <v>380</v>
      </c>
      <c r="CQ7" s="187">
        <v>0.14258911819887429</v>
      </c>
      <c r="CR7" s="184">
        <v>191</v>
      </c>
      <c r="CS7" s="184">
        <v>12</v>
      </c>
      <c r="CT7" s="184">
        <v>179</v>
      </c>
      <c r="CU7" s="187">
        <v>0.92896194714376534</v>
      </c>
      <c r="CV7" s="186">
        <v>63</v>
      </c>
      <c r="CW7" s="186">
        <v>77</v>
      </c>
      <c r="CX7" s="187">
        <v>0.34698049701106859</v>
      </c>
      <c r="CY7" s="187">
        <v>0.42505038540734452</v>
      </c>
      <c r="CZ7" s="187">
        <v>0.28577066576321652</v>
      </c>
      <c r="DA7" s="187">
        <v>0.42436094542373431</v>
      </c>
      <c r="DB7" s="187">
        <v>0.35985509909603769</v>
      </c>
      <c r="DC7" s="187">
        <v>0.50341452882233539</v>
      </c>
      <c r="DD7" s="182">
        <v>134</v>
      </c>
      <c r="DE7" s="182">
        <v>10</v>
      </c>
      <c r="DF7" s="143">
        <v>7.4626865671641784E-2</v>
      </c>
      <c r="DG7" s="143">
        <v>4.10383252681309E-2</v>
      </c>
      <c r="DH7" s="143">
        <v>0.13192457736414165</v>
      </c>
      <c r="DI7" s="178" t="str">
        <f t="shared" si="0"/>
        <v>No Sig diff</v>
      </c>
      <c r="DJ7" s="182">
        <v>133</v>
      </c>
      <c r="DK7" s="182">
        <v>16</v>
      </c>
      <c r="DL7" s="143">
        <v>0.12030075187969924</v>
      </c>
      <c r="DM7" s="143">
        <v>7.5421813311987967E-2</v>
      </c>
      <c r="DN7" s="143">
        <v>0.18649777691729955</v>
      </c>
      <c r="DO7" s="178" t="str">
        <f t="shared" si="1"/>
        <v>No Sig diff</v>
      </c>
      <c r="DP7" s="183">
        <v>145</v>
      </c>
      <c r="DQ7" s="183">
        <v>17</v>
      </c>
      <c r="DR7" s="143">
        <v>0.11724137931034483</v>
      </c>
      <c r="DS7" s="143">
        <v>7.4501409163335197E-2</v>
      </c>
      <c r="DT7" s="143">
        <v>0.17973863336594997</v>
      </c>
      <c r="DU7" s="178" t="str">
        <f t="shared" si="7"/>
        <v>No Sig diff</v>
      </c>
      <c r="DV7" s="178">
        <v>157</v>
      </c>
      <c r="DW7" s="178">
        <v>12</v>
      </c>
      <c r="DX7" s="179">
        <v>7.6433121019108277E-2</v>
      </c>
      <c r="DY7" s="179">
        <v>4.42610640242889E-2</v>
      </c>
      <c r="DZ7" s="179">
        <v>0.12883770680774978</v>
      </c>
      <c r="EA7" s="178" t="str">
        <f t="shared" si="2"/>
        <v>No Sig diff</v>
      </c>
      <c r="EB7" s="178">
        <v>134</v>
      </c>
      <c r="EC7" s="178">
        <v>21</v>
      </c>
      <c r="ED7" s="143">
        <v>0.15671641791044777</v>
      </c>
      <c r="EE7" s="143">
        <v>0.10484592586579597</v>
      </c>
      <c r="EF7" s="143">
        <v>0.22772062713568716</v>
      </c>
      <c r="EG7" s="178" t="str">
        <f t="shared" si="3"/>
        <v>No Sig diff</v>
      </c>
      <c r="EH7" s="178">
        <v>141</v>
      </c>
      <c r="EI7" s="178">
        <v>16</v>
      </c>
      <c r="EJ7" s="143">
        <v>0.11347517730496454</v>
      </c>
      <c r="EK7" s="143">
        <v>7.1065842891182035E-2</v>
      </c>
      <c r="EL7" s="143">
        <v>0.17638719377744136</v>
      </c>
      <c r="EM7" s="178" t="str">
        <f t="shared" si="8"/>
        <v>Sig better than Eng.</v>
      </c>
      <c r="EN7" s="183">
        <v>124</v>
      </c>
      <c r="EO7" s="183">
        <v>23</v>
      </c>
      <c r="EP7" s="197">
        <v>0.18548387096774194</v>
      </c>
      <c r="EQ7" s="179">
        <v>0.12689752251284481</v>
      </c>
      <c r="ER7" s="179">
        <v>0.26297176778209758</v>
      </c>
      <c r="ES7" s="178" t="str">
        <f t="shared" si="9"/>
        <v>No Sig diff</v>
      </c>
      <c r="ET7" s="206">
        <v>120</v>
      </c>
      <c r="EU7" s="206">
        <v>21</v>
      </c>
      <c r="EV7" s="179">
        <v>0.17499999999999999</v>
      </c>
      <c r="EW7" s="179">
        <v>0.1174053594456646</v>
      </c>
      <c r="EX7" s="179">
        <v>0.2527570987264926</v>
      </c>
      <c r="EY7" s="178" t="str">
        <f t="shared" si="10"/>
        <v>No Sig diff</v>
      </c>
      <c r="EZ7" s="207">
        <v>176</v>
      </c>
      <c r="FA7" s="186">
        <v>88</v>
      </c>
      <c r="FB7" s="187">
        <v>0.5</v>
      </c>
      <c r="FC7" s="187">
        <v>0.42692426588174481</v>
      </c>
      <c r="FD7" s="187">
        <v>0.57307573411825519</v>
      </c>
      <c r="FE7" s="208">
        <v>176</v>
      </c>
      <c r="FF7" s="209">
        <v>34</v>
      </c>
      <c r="FG7" s="208">
        <v>35</v>
      </c>
      <c r="FH7" s="209">
        <v>20.428571428571427</v>
      </c>
      <c r="FI7" s="187">
        <f t="shared" si="11"/>
        <v>0.39915966386554624</v>
      </c>
      <c r="FJ7" s="186">
        <v>166</v>
      </c>
      <c r="FK7" s="186">
        <v>94</v>
      </c>
      <c r="FL7" s="187">
        <v>0.5662650602409639</v>
      </c>
      <c r="FM7" s="187">
        <v>0.49021826324741552</v>
      </c>
      <c r="FN7" s="187">
        <v>0.63931430290432689</v>
      </c>
      <c r="FO7" s="198">
        <v>166</v>
      </c>
      <c r="FP7" s="199">
        <v>34</v>
      </c>
      <c r="FQ7" s="198">
        <v>33</v>
      </c>
      <c r="FR7" s="199">
        <v>21.151515151515156</v>
      </c>
      <c r="FS7" s="210">
        <v>0.3778966131907307</v>
      </c>
      <c r="FT7" s="200">
        <v>2109</v>
      </c>
      <c r="FU7" s="200">
        <v>2086</v>
      </c>
      <c r="FV7" s="200">
        <v>23</v>
      </c>
      <c r="FW7" s="200">
        <v>19</v>
      </c>
      <c r="FX7" s="200">
        <v>4</v>
      </c>
      <c r="FY7" s="187">
        <f t="shared" si="4"/>
        <v>0.82608695652173914</v>
      </c>
      <c r="FZ7" s="187">
        <f t="shared" si="5"/>
        <v>0.17391304347826086</v>
      </c>
      <c r="GA7" s="197">
        <v>0.83149350649350662</v>
      </c>
      <c r="GB7" s="197">
        <v>0.16850649350649349</v>
      </c>
      <c r="GC7" s="197">
        <v>0.10610728809302103</v>
      </c>
      <c r="GD7" s="197">
        <v>0.26237061298884162</v>
      </c>
      <c r="GE7" s="197">
        <v>0.86493506493506489</v>
      </c>
      <c r="GF7" s="197">
        <v>0.13506493506493505</v>
      </c>
      <c r="GG7" s="197">
        <v>7.9758668273817196E-2</v>
      </c>
      <c r="GH7" s="197">
        <v>0.2233893605061692</v>
      </c>
      <c r="GI7" s="197">
        <v>0.87402597402597404</v>
      </c>
      <c r="GJ7" s="197">
        <v>0.12597402597402596</v>
      </c>
      <c r="GK7" s="197">
        <v>7.1252008979545867E-2</v>
      </c>
      <c r="GL7" s="197">
        <v>0.21011939569981511</v>
      </c>
      <c r="GM7" s="197">
        <v>0.7033549783549784</v>
      </c>
      <c r="GN7" s="197">
        <v>0.29664502164502166</v>
      </c>
      <c r="GO7" s="197">
        <v>0.24027691667974599</v>
      </c>
      <c r="GP7" s="197">
        <v>0.43307372181087261</v>
      </c>
      <c r="GQ7" s="186">
        <v>43</v>
      </c>
      <c r="GR7" s="186">
        <v>43</v>
      </c>
      <c r="GS7" s="178">
        <v>43</v>
      </c>
      <c r="GT7" s="178">
        <v>43</v>
      </c>
      <c r="GU7" s="178">
        <v>43</v>
      </c>
      <c r="GV7" s="178">
        <v>48</v>
      </c>
      <c r="GW7" s="178">
        <v>47</v>
      </c>
      <c r="GX7" s="178">
        <v>48</v>
      </c>
      <c r="GY7" s="178">
        <v>48</v>
      </c>
      <c r="GZ7" s="178">
        <v>48</v>
      </c>
      <c r="HA7" s="178">
        <v>48</v>
      </c>
      <c r="HB7" s="178">
        <v>47</v>
      </c>
      <c r="HC7" s="178">
        <v>48</v>
      </c>
      <c r="HD7" s="178">
        <v>51</v>
      </c>
      <c r="HE7" s="178">
        <v>50</v>
      </c>
      <c r="HF7" s="178">
        <v>49</v>
      </c>
      <c r="HG7" s="178">
        <v>47</v>
      </c>
      <c r="HH7" s="178">
        <v>49</v>
      </c>
      <c r="HI7" s="178">
        <v>50</v>
      </c>
      <c r="HJ7" s="178">
        <v>49</v>
      </c>
      <c r="HK7" s="178">
        <v>49</v>
      </c>
      <c r="HL7" s="178">
        <v>49</v>
      </c>
      <c r="HM7" s="178">
        <v>49</v>
      </c>
      <c r="HN7" s="186">
        <v>19</v>
      </c>
      <c r="HO7" s="187">
        <v>2.1814006888633754E-2</v>
      </c>
      <c r="HP7" s="217">
        <v>1364</v>
      </c>
      <c r="HQ7" s="217">
        <v>1181</v>
      </c>
      <c r="HR7" s="217">
        <v>183</v>
      </c>
      <c r="HS7" s="1704">
        <v>0.13416422287390029</v>
      </c>
    </row>
    <row r="8" spans="1:227" ht="13.8" customHeight="1" x14ac:dyDescent="0.25">
      <c r="A8" s="183" t="s">
        <v>430</v>
      </c>
      <c r="B8" s="183"/>
      <c r="C8" s="183" t="s">
        <v>33</v>
      </c>
      <c r="D8" s="183" t="s">
        <v>33</v>
      </c>
      <c r="E8" s="183" t="s">
        <v>33</v>
      </c>
      <c r="F8" s="183" t="s">
        <v>33</v>
      </c>
      <c r="G8" s="183" t="s">
        <v>463</v>
      </c>
      <c r="H8" s="183" t="s">
        <v>136</v>
      </c>
      <c r="I8" s="183" t="s">
        <v>132</v>
      </c>
      <c r="J8" s="183" t="s">
        <v>33</v>
      </c>
      <c r="K8" s="183" t="s">
        <v>33</v>
      </c>
      <c r="L8" s="184">
        <v>12445</v>
      </c>
      <c r="M8" s="184">
        <v>12395</v>
      </c>
      <c r="N8" s="184">
        <v>12545</v>
      </c>
      <c r="O8" s="184">
        <v>12795</v>
      </c>
      <c r="P8" s="184">
        <v>12885</v>
      </c>
      <c r="Q8" s="184">
        <v>12975</v>
      </c>
      <c r="R8" s="184">
        <v>13115</v>
      </c>
      <c r="S8" s="184">
        <v>13335</v>
      </c>
      <c r="T8" s="184">
        <v>13525</v>
      </c>
      <c r="U8" s="184">
        <v>13620</v>
      </c>
      <c r="V8" s="184">
        <v>990</v>
      </c>
      <c r="W8" s="184">
        <v>960</v>
      </c>
      <c r="X8" s="184">
        <v>985</v>
      </c>
      <c r="Y8" s="184">
        <v>1050</v>
      </c>
      <c r="Z8" s="184">
        <v>1105</v>
      </c>
      <c r="AA8" s="184">
        <v>1125</v>
      </c>
      <c r="AB8" s="184">
        <v>1140</v>
      </c>
      <c r="AC8" s="184">
        <v>1215</v>
      </c>
      <c r="AD8" s="184">
        <v>1225</v>
      </c>
      <c r="AE8" s="184">
        <v>1240</v>
      </c>
      <c r="AF8" s="187">
        <v>0.59493670886075944</v>
      </c>
      <c r="AG8" s="187">
        <v>7.4261603375527424E-2</v>
      </c>
      <c r="AH8" s="187">
        <v>8.6919831223628688E-2</v>
      </c>
      <c r="AI8" s="187">
        <v>0.15274261603375527</v>
      </c>
      <c r="AJ8" s="187">
        <v>8.1012658227848103E-2</v>
      </c>
      <c r="AK8" s="187">
        <v>1.0126582278481013E-2</v>
      </c>
      <c r="AL8" s="187">
        <v>0.4050632911392405</v>
      </c>
      <c r="AM8" s="184">
        <v>2080</v>
      </c>
      <c r="AN8" s="187">
        <v>0.36184526669870254</v>
      </c>
      <c r="AO8" s="187">
        <v>0.45218644882268139</v>
      </c>
      <c r="AP8" s="187">
        <v>0.18596828447861605</v>
      </c>
      <c r="AQ8" s="184">
        <v>271</v>
      </c>
      <c r="AR8" s="184">
        <v>217</v>
      </c>
      <c r="AS8" s="184">
        <v>257</v>
      </c>
      <c r="AT8" s="184">
        <v>242</v>
      </c>
      <c r="AU8" s="184">
        <v>230</v>
      </c>
      <c r="AV8" s="186">
        <v>16</v>
      </c>
      <c r="AW8" s="186">
        <v>13</v>
      </c>
      <c r="AX8" s="186">
        <v>15</v>
      </c>
      <c r="AY8" s="186">
        <v>17</v>
      </c>
      <c r="AZ8" s="186">
        <v>13</v>
      </c>
      <c r="BA8" s="186">
        <v>23</v>
      </c>
      <c r="BB8" s="187">
        <v>0.1</v>
      </c>
      <c r="BC8" s="187">
        <v>6.7562529376324273E-2</v>
      </c>
      <c r="BD8" s="187">
        <v>0.14557956729059632</v>
      </c>
      <c r="BE8" s="193">
        <v>33</v>
      </c>
      <c r="BF8" s="184">
        <v>371</v>
      </c>
      <c r="BG8" s="184">
        <v>307</v>
      </c>
      <c r="BH8" s="184">
        <v>237</v>
      </c>
      <c r="BI8" s="184">
        <v>0.20270331436266686</v>
      </c>
      <c r="BJ8" s="184">
        <v>1922</v>
      </c>
      <c r="BK8" s="184">
        <v>3554</v>
      </c>
      <c r="BL8" s="186">
        <v>1924</v>
      </c>
      <c r="BM8" s="186">
        <v>855</v>
      </c>
      <c r="BN8" s="186">
        <v>0</v>
      </c>
      <c r="BO8" s="186">
        <v>292</v>
      </c>
      <c r="BP8" s="186">
        <v>551</v>
      </c>
      <c r="BQ8" s="186">
        <v>226</v>
      </c>
      <c r="BR8" s="193">
        <v>220</v>
      </c>
      <c r="BS8" s="193">
        <v>215</v>
      </c>
      <c r="BT8" s="193">
        <v>180</v>
      </c>
      <c r="BU8" s="186">
        <v>554</v>
      </c>
      <c r="BV8" s="186">
        <v>274</v>
      </c>
      <c r="BW8" s="222">
        <f t="shared" si="6"/>
        <v>0.49458483754512633</v>
      </c>
      <c r="BX8" s="186">
        <v>38</v>
      </c>
      <c r="BY8" s="193">
        <v>1</v>
      </c>
      <c r="BZ8" s="1676">
        <v>354</v>
      </c>
      <c r="CA8" s="222">
        <v>6.9019302008188732E-2</v>
      </c>
      <c r="CB8" s="200">
        <v>300</v>
      </c>
      <c r="CC8" s="200">
        <v>305</v>
      </c>
      <c r="CD8" s="200">
        <v>310</v>
      </c>
      <c r="CE8" s="200">
        <v>285</v>
      </c>
      <c r="CF8" s="186">
        <v>865</v>
      </c>
      <c r="CG8" s="187">
        <v>0.29162500000000002</v>
      </c>
      <c r="CH8" s="186">
        <v>835</v>
      </c>
      <c r="CI8" s="187">
        <v>0.29075000000000001</v>
      </c>
      <c r="CJ8" s="186">
        <v>920</v>
      </c>
      <c r="CK8" s="187">
        <v>0.28887499999999999</v>
      </c>
      <c r="CL8" s="186">
        <v>900</v>
      </c>
      <c r="CM8" s="187">
        <v>0.26974999999999999</v>
      </c>
      <c r="CN8" s="186">
        <v>920</v>
      </c>
      <c r="CO8" s="187">
        <v>0.27224999999999999</v>
      </c>
      <c r="CP8" s="186">
        <v>835</v>
      </c>
      <c r="CQ8" s="187">
        <v>0.25692307692307692</v>
      </c>
      <c r="CR8" s="184">
        <v>225</v>
      </c>
      <c r="CS8" s="184">
        <v>5</v>
      </c>
      <c r="CT8" s="184">
        <v>220</v>
      </c>
      <c r="CU8" s="187">
        <v>0.97474614845938379</v>
      </c>
      <c r="CV8" s="186">
        <v>62</v>
      </c>
      <c r="CW8" s="186">
        <v>96</v>
      </c>
      <c r="CX8" s="187">
        <v>0.28009202635524344</v>
      </c>
      <c r="CY8" s="187">
        <v>0.4366472866418617</v>
      </c>
      <c r="CZ8" s="187">
        <v>0.22650690611361948</v>
      </c>
      <c r="DA8" s="187">
        <v>0.34461838963122865</v>
      </c>
      <c r="DB8" s="187">
        <v>0.37247710485794949</v>
      </c>
      <c r="DC8" s="187">
        <v>0.50243443973429791</v>
      </c>
      <c r="DD8" s="182">
        <v>157</v>
      </c>
      <c r="DE8" s="182">
        <v>13</v>
      </c>
      <c r="DF8" s="143">
        <v>8.2802547770700632E-2</v>
      </c>
      <c r="DG8" s="143">
        <v>4.9027139712768814E-2</v>
      </c>
      <c r="DH8" s="143">
        <v>0.13650623606916407</v>
      </c>
      <c r="DI8" s="178" t="str">
        <f t="shared" si="0"/>
        <v>No Sig diff</v>
      </c>
      <c r="DJ8" s="182">
        <v>168</v>
      </c>
      <c r="DK8" s="182">
        <v>14</v>
      </c>
      <c r="DL8" s="143">
        <v>8.3333333333333329E-2</v>
      </c>
      <c r="DM8" s="143">
        <v>5.0287335078460824E-2</v>
      </c>
      <c r="DN8" s="143">
        <v>0.13500822187976255</v>
      </c>
      <c r="DO8" s="178" t="str">
        <f t="shared" si="1"/>
        <v>No Sig diff</v>
      </c>
      <c r="DP8" s="183">
        <v>143</v>
      </c>
      <c r="DQ8" s="183">
        <v>15</v>
      </c>
      <c r="DR8" s="143">
        <v>0.1048951048951049</v>
      </c>
      <c r="DS8" s="143">
        <v>6.4604118377760339E-2</v>
      </c>
      <c r="DT8" s="143">
        <v>0.16585844371117539</v>
      </c>
      <c r="DU8" s="178" t="str">
        <f t="shared" si="7"/>
        <v>No Sig diff</v>
      </c>
      <c r="DV8" s="178">
        <v>163</v>
      </c>
      <c r="DW8" s="178">
        <v>20</v>
      </c>
      <c r="DX8" s="179">
        <v>0.12269938650306748</v>
      </c>
      <c r="DY8" s="179">
        <v>8.0850124663024187E-2</v>
      </c>
      <c r="DZ8" s="179">
        <v>0.18192304413197474</v>
      </c>
      <c r="EA8" s="178" t="str">
        <f t="shared" si="2"/>
        <v>No Sig diff</v>
      </c>
      <c r="EB8" s="178">
        <v>177</v>
      </c>
      <c r="EC8" s="178">
        <v>36</v>
      </c>
      <c r="ED8" s="143">
        <v>0.20338983050847459</v>
      </c>
      <c r="EE8" s="143">
        <v>0.15068707463179581</v>
      </c>
      <c r="EF8" s="143">
        <v>0.26869385336597923</v>
      </c>
      <c r="EG8" s="178" t="str">
        <f t="shared" si="3"/>
        <v>No Sig diff</v>
      </c>
      <c r="EH8" s="178">
        <v>181</v>
      </c>
      <c r="EI8" s="178">
        <v>38</v>
      </c>
      <c r="EJ8" s="143">
        <v>0.20994475138121546</v>
      </c>
      <c r="EK8" s="143">
        <v>0.15695179474513435</v>
      </c>
      <c r="EL8" s="143">
        <v>0.27499382681666318</v>
      </c>
      <c r="EM8" s="178" t="str">
        <f t="shared" si="8"/>
        <v>No Sig diff</v>
      </c>
      <c r="EN8" s="183">
        <v>153</v>
      </c>
      <c r="EO8" s="183">
        <v>39</v>
      </c>
      <c r="EP8" s="197">
        <v>0.25490196078431371</v>
      </c>
      <c r="EQ8" s="179">
        <v>0.1924372049079571</v>
      </c>
      <c r="ER8" s="179">
        <v>0.32937290471527553</v>
      </c>
      <c r="ES8" s="178" t="str">
        <f t="shared" si="9"/>
        <v>No Sig diff</v>
      </c>
      <c r="ET8" s="206">
        <v>158</v>
      </c>
      <c r="EU8" s="206">
        <v>30</v>
      </c>
      <c r="EV8" s="179">
        <v>0.189873417721519</v>
      </c>
      <c r="EW8" s="179">
        <v>0.13636351813386116</v>
      </c>
      <c r="EX8" s="179">
        <v>0.25810560792255161</v>
      </c>
      <c r="EY8" s="178" t="str">
        <f t="shared" si="10"/>
        <v>No Sig diff</v>
      </c>
      <c r="EZ8" s="207">
        <v>207</v>
      </c>
      <c r="FA8" s="186">
        <v>69</v>
      </c>
      <c r="FB8" s="187">
        <v>0.33333333333333331</v>
      </c>
      <c r="FC8" s="187">
        <v>0.27266724717919089</v>
      </c>
      <c r="FD8" s="187">
        <v>0.40007263810741361</v>
      </c>
      <c r="FE8" s="208">
        <v>207</v>
      </c>
      <c r="FF8" s="209">
        <v>32</v>
      </c>
      <c r="FG8" s="208">
        <v>41</v>
      </c>
      <c r="FH8" s="209">
        <v>21.829268292682929</v>
      </c>
      <c r="FI8" s="187">
        <f t="shared" si="11"/>
        <v>0.31783536585365846</v>
      </c>
      <c r="FJ8" s="186">
        <v>215</v>
      </c>
      <c r="FK8" s="186">
        <v>109</v>
      </c>
      <c r="FL8" s="187">
        <v>0.50697674418604655</v>
      </c>
      <c r="FM8" s="187">
        <v>0.44061558411635232</v>
      </c>
      <c r="FN8" s="187">
        <v>0.57309297008615845</v>
      </c>
      <c r="FO8" s="198">
        <v>215</v>
      </c>
      <c r="FP8" s="199">
        <v>33</v>
      </c>
      <c r="FQ8" s="198">
        <v>43</v>
      </c>
      <c r="FR8" s="199">
        <v>23.720930232558143</v>
      </c>
      <c r="FS8" s="210">
        <v>0.28118393234672295</v>
      </c>
      <c r="FT8" s="200">
        <v>1496</v>
      </c>
      <c r="FU8" s="200">
        <v>1462</v>
      </c>
      <c r="FV8" s="200">
        <v>34</v>
      </c>
      <c r="FW8" s="200">
        <v>31</v>
      </c>
      <c r="FX8" s="200">
        <v>3</v>
      </c>
      <c r="FY8" s="187">
        <f t="shared" si="4"/>
        <v>0.91176470588235292</v>
      </c>
      <c r="FZ8" s="187">
        <f t="shared" si="5"/>
        <v>8.8235294117647065E-2</v>
      </c>
      <c r="GA8" s="197">
        <v>0.84342567155067161</v>
      </c>
      <c r="GB8" s="197">
        <v>0.15657432844932845</v>
      </c>
      <c r="GC8" s="197">
        <v>8.7488565256567077E-2</v>
      </c>
      <c r="GD8" s="197">
        <v>0.21410279669076451</v>
      </c>
      <c r="GE8" s="197">
        <v>0.87394621310062481</v>
      </c>
      <c r="GF8" s="197">
        <v>0.12605378689937513</v>
      </c>
      <c r="GG8" s="197">
        <v>6.8476557040876879E-2</v>
      </c>
      <c r="GH8" s="197">
        <v>0.18692562848208755</v>
      </c>
      <c r="GI8" s="197">
        <v>0.83940781440781431</v>
      </c>
      <c r="GJ8" s="197">
        <v>0.16059218559218558</v>
      </c>
      <c r="GK8" s="197">
        <v>8.9885841771810929E-2</v>
      </c>
      <c r="GL8" s="197">
        <v>0.21951596207067745</v>
      </c>
      <c r="GM8" s="197">
        <v>0.64253541597291597</v>
      </c>
      <c r="GN8" s="197">
        <v>0.35746458402708403</v>
      </c>
      <c r="GO8" s="197">
        <v>0.26697228641216703</v>
      </c>
      <c r="GP8" s="197">
        <v>0.43851804693911739</v>
      </c>
      <c r="GQ8" s="186">
        <v>64</v>
      </c>
      <c r="GR8" s="186">
        <v>61</v>
      </c>
      <c r="GS8" s="178">
        <v>62</v>
      </c>
      <c r="GT8" s="178">
        <v>63</v>
      </c>
      <c r="GU8" s="178">
        <v>62</v>
      </c>
      <c r="GV8" s="178">
        <v>68</v>
      </c>
      <c r="GW8" s="178">
        <v>66</v>
      </c>
      <c r="GX8" s="178">
        <v>64</v>
      </c>
      <c r="GY8" s="178">
        <v>66</v>
      </c>
      <c r="GZ8" s="178">
        <v>66</v>
      </c>
      <c r="HA8" s="178">
        <v>67</v>
      </c>
      <c r="HB8" s="178">
        <v>66</v>
      </c>
      <c r="HC8" s="178">
        <v>67</v>
      </c>
      <c r="HD8" s="178">
        <v>55</v>
      </c>
      <c r="HE8" s="178">
        <v>49</v>
      </c>
      <c r="HF8" s="178">
        <v>50</v>
      </c>
      <c r="HG8" s="178">
        <v>46</v>
      </c>
      <c r="HH8" s="178">
        <v>51</v>
      </c>
      <c r="HI8" s="178">
        <v>51</v>
      </c>
      <c r="HJ8" s="178">
        <v>47</v>
      </c>
      <c r="HK8" s="178">
        <v>53</v>
      </c>
      <c r="HL8" s="178">
        <v>46</v>
      </c>
      <c r="HM8" s="178">
        <v>53</v>
      </c>
      <c r="HN8" s="186">
        <v>23</v>
      </c>
      <c r="HO8" s="187">
        <v>1.9409282700421943E-2</v>
      </c>
      <c r="HP8" s="217">
        <v>1876</v>
      </c>
      <c r="HQ8" s="217">
        <v>1558</v>
      </c>
      <c r="HR8" s="217">
        <v>318</v>
      </c>
      <c r="HS8" s="1704">
        <v>0.16950959488272921</v>
      </c>
    </row>
    <row r="9" spans="1:227" ht="13.8" customHeight="1" x14ac:dyDescent="0.25">
      <c r="A9" s="183" t="s">
        <v>619</v>
      </c>
      <c r="B9" s="183"/>
      <c r="C9" s="183" t="s">
        <v>35</v>
      </c>
      <c r="D9" s="183" t="s">
        <v>678</v>
      </c>
      <c r="E9" s="183" t="s">
        <v>35</v>
      </c>
      <c r="F9" s="183" t="s">
        <v>489</v>
      </c>
      <c r="G9" s="183" t="s">
        <v>456</v>
      </c>
      <c r="H9" s="183" t="s">
        <v>35</v>
      </c>
      <c r="I9" s="183" t="s">
        <v>130</v>
      </c>
      <c r="J9" s="183" t="s">
        <v>704</v>
      </c>
      <c r="K9" s="183" t="s">
        <v>35</v>
      </c>
      <c r="L9" s="184">
        <v>19720</v>
      </c>
      <c r="M9" s="184">
        <v>19985</v>
      </c>
      <c r="N9" s="184">
        <v>20275</v>
      </c>
      <c r="O9" s="184">
        <v>20625</v>
      </c>
      <c r="P9" s="184">
        <v>21090</v>
      </c>
      <c r="Q9" s="184">
        <v>21365</v>
      </c>
      <c r="R9" s="184">
        <v>21635</v>
      </c>
      <c r="S9" s="184">
        <v>22095</v>
      </c>
      <c r="T9" s="184">
        <v>22315</v>
      </c>
      <c r="U9" s="184">
        <v>22590</v>
      </c>
      <c r="V9" s="184">
        <v>905</v>
      </c>
      <c r="W9" s="184">
        <v>890</v>
      </c>
      <c r="X9" s="184">
        <v>915</v>
      </c>
      <c r="Y9" s="184">
        <v>960</v>
      </c>
      <c r="Z9" s="184">
        <v>1035</v>
      </c>
      <c r="AA9" s="184">
        <v>1125</v>
      </c>
      <c r="AB9" s="184">
        <v>1150</v>
      </c>
      <c r="AC9" s="184">
        <v>1190</v>
      </c>
      <c r="AD9" s="184">
        <v>1280</v>
      </c>
      <c r="AE9" s="184">
        <v>1270</v>
      </c>
      <c r="AF9" s="187">
        <v>0.81996587030716728</v>
      </c>
      <c r="AG9" s="187">
        <v>5.2047781569965867E-2</v>
      </c>
      <c r="AH9" s="187">
        <v>4.0102389078498293E-2</v>
      </c>
      <c r="AI9" s="187">
        <v>7.0819112627986347E-2</v>
      </c>
      <c r="AJ9" s="187">
        <v>1.2798634812286689E-2</v>
      </c>
      <c r="AK9" s="187">
        <v>4.2662116040955633E-3</v>
      </c>
      <c r="AL9" s="187">
        <v>0.18003412969283278</v>
      </c>
      <c r="AM9" s="184">
        <v>2055</v>
      </c>
      <c r="AN9" s="187">
        <v>0.39591439688715951</v>
      </c>
      <c r="AO9" s="187">
        <v>0.36138132295719844</v>
      </c>
      <c r="AP9" s="187">
        <v>0.24270428015564202</v>
      </c>
      <c r="AQ9" s="184">
        <v>289</v>
      </c>
      <c r="AR9" s="184">
        <v>258</v>
      </c>
      <c r="AS9" s="184">
        <v>276</v>
      </c>
      <c r="AT9" s="184">
        <v>263</v>
      </c>
      <c r="AU9" s="184">
        <v>249</v>
      </c>
      <c r="AV9" s="186">
        <v>21</v>
      </c>
      <c r="AW9" s="186">
        <v>13</v>
      </c>
      <c r="AX9" s="186">
        <v>12</v>
      </c>
      <c r="AY9" s="186">
        <v>12</v>
      </c>
      <c r="AZ9" s="186">
        <v>11</v>
      </c>
      <c r="BA9" s="186">
        <v>19</v>
      </c>
      <c r="BB9" s="187">
        <v>7.6305220883534142E-2</v>
      </c>
      <c r="BC9" s="187">
        <v>4.9391419828431059E-2</v>
      </c>
      <c r="BD9" s="187">
        <v>0.11609354065175088</v>
      </c>
      <c r="BE9" s="193">
        <v>24</v>
      </c>
      <c r="BF9" s="184">
        <v>419</v>
      </c>
      <c r="BG9" s="184">
        <v>336</v>
      </c>
      <c r="BH9" s="184">
        <v>165</v>
      </c>
      <c r="BI9" s="184">
        <v>0.13016063543675108</v>
      </c>
      <c r="BJ9" s="184">
        <v>2127</v>
      </c>
      <c r="BK9" s="184">
        <v>3619</v>
      </c>
      <c r="BL9" s="186">
        <v>2146</v>
      </c>
      <c r="BM9" s="186">
        <v>1061</v>
      </c>
      <c r="BN9" s="186">
        <v>1</v>
      </c>
      <c r="BO9" s="186">
        <v>342</v>
      </c>
      <c r="BP9" s="186">
        <v>569</v>
      </c>
      <c r="BQ9" s="186">
        <v>173</v>
      </c>
      <c r="BR9" s="193">
        <v>195</v>
      </c>
      <c r="BS9" s="193">
        <v>205</v>
      </c>
      <c r="BT9" s="193">
        <v>180</v>
      </c>
      <c r="BU9" s="186">
        <v>568</v>
      </c>
      <c r="BV9" s="186">
        <v>201</v>
      </c>
      <c r="BW9" s="222">
        <f t="shared" si="6"/>
        <v>0.35387323943661969</v>
      </c>
      <c r="BX9" s="186">
        <v>31</v>
      </c>
      <c r="BY9" s="193">
        <v>4</v>
      </c>
      <c r="BZ9" s="1676">
        <v>447</v>
      </c>
      <c r="CA9" s="222">
        <v>4.3909626719056974E-2</v>
      </c>
      <c r="CB9" s="200">
        <v>270</v>
      </c>
      <c r="CC9" s="200">
        <v>255</v>
      </c>
      <c r="CD9" s="200">
        <v>285</v>
      </c>
      <c r="CE9" s="200">
        <v>240</v>
      </c>
      <c r="CF9" s="186">
        <v>630</v>
      </c>
      <c r="CG9" s="187">
        <v>0.18153846153846154</v>
      </c>
      <c r="CH9" s="186">
        <v>625</v>
      </c>
      <c r="CI9" s="187">
        <v>0.19546153846153849</v>
      </c>
      <c r="CJ9" s="186">
        <v>655</v>
      </c>
      <c r="CK9" s="187">
        <v>0.1872307692307692</v>
      </c>
      <c r="CL9" s="186">
        <v>640</v>
      </c>
      <c r="CM9" s="187">
        <v>0.17776923076923079</v>
      </c>
      <c r="CN9" s="186">
        <v>580</v>
      </c>
      <c r="CO9" s="187">
        <v>0.17584615384615385</v>
      </c>
      <c r="CP9" s="186">
        <v>620</v>
      </c>
      <c r="CQ9" s="187">
        <v>0.18452380952380953</v>
      </c>
      <c r="CR9" s="184">
        <v>248</v>
      </c>
      <c r="CS9" s="184">
        <v>20</v>
      </c>
      <c r="CT9" s="184">
        <v>228</v>
      </c>
      <c r="CU9" s="187">
        <v>0.90710009673220382</v>
      </c>
      <c r="CV9" s="186">
        <v>110</v>
      </c>
      <c r="CW9" s="186">
        <v>137</v>
      </c>
      <c r="CX9" s="187">
        <v>0.51035256140017105</v>
      </c>
      <c r="CY9" s="187">
        <v>0.6346676579044277</v>
      </c>
      <c r="CZ9" s="187">
        <v>0.41842368815450531</v>
      </c>
      <c r="DA9" s="187">
        <v>0.5470699937386494</v>
      </c>
      <c r="DB9" s="187">
        <v>0.53614491289284405</v>
      </c>
      <c r="DC9" s="187">
        <v>0.66226641622151672</v>
      </c>
      <c r="DD9" s="182">
        <v>189</v>
      </c>
      <c r="DE9" s="182">
        <v>16</v>
      </c>
      <c r="DF9" s="143">
        <v>8.4656084656084651E-2</v>
      </c>
      <c r="DG9" s="143">
        <v>5.2779295230983923E-2</v>
      </c>
      <c r="DH9" s="143">
        <v>0.13308042103480033</v>
      </c>
      <c r="DI9" s="178" t="str">
        <f t="shared" si="0"/>
        <v>No Sig diff</v>
      </c>
      <c r="DJ9" s="182">
        <v>168</v>
      </c>
      <c r="DK9" s="182">
        <v>16</v>
      </c>
      <c r="DL9" s="143">
        <v>9.5238095238095233E-2</v>
      </c>
      <c r="DM9" s="143">
        <v>5.9474309403575239E-2</v>
      </c>
      <c r="DN9" s="143">
        <v>0.14909851735584179</v>
      </c>
      <c r="DO9" s="178" t="str">
        <f t="shared" si="1"/>
        <v>No Sig diff</v>
      </c>
      <c r="DP9" s="183">
        <v>182</v>
      </c>
      <c r="DQ9" s="183">
        <v>11</v>
      </c>
      <c r="DR9" s="143">
        <v>6.043956043956044E-2</v>
      </c>
      <c r="DS9" s="143">
        <v>3.4080238457120229E-2</v>
      </c>
      <c r="DT9" s="143">
        <v>0.10497085910032415</v>
      </c>
      <c r="DU9" s="178" t="str">
        <f t="shared" si="7"/>
        <v>No Sig diff</v>
      </c>
      <c r="DV9" s="178">
        <v>196</v>
      </c>
      <c r="DW9" s="178">
        <v>18</v>
      </c>
      <c r="DX9" s="179">
        <v>9.1836734693877556E-2</v>
      </c>
      <c r="DY9" s="179">
        <v>5.8881065123373738E-2</v>
      </c>
      <c r="DZ9" s="179">
        <v>0.14048426705447778</v>
      </c>
      <c r="EA9" s="178" t="str">
        <f t="shared" si="2"/>
        <v>No Sig diff</v>
      </c>
      <c r="EB9" s="178">
        <v>154</v>
      </c>
      <c r="EC9" s="178">
        <v>26</v>
      </c>
      <c r="ED9" s="143">
        <v>0.16883116883116883</v>
      </c>
      <c r="EE9" s="143">
        <v>0.11789803397793083</v>
      </c>
      <c r="EF9" s="143">
        <v>0.23588391430049524</v>
      </c>
      <c r="EG9" s="178" t="str">
        <f t="shared" si="3"/>
        <v>No Sig diff</v>
      </c>
      <c r="EH9" s="178">
        <v>164</v>
      </c>
      <c r="EI9" s="178">
        <v>31</v>
      </c>
      <c r="EJ9" s="143">
        <v>0.18902439024390244</v>
      </c>
      <c r="EK9" s="143">
        <v>0.13648306944540137</v>
      </c>
      <c r="EL9" s="143">
        <v>0.25580057300692555</v>
      </c>
      <c r="EM9" s="178" t="str">
        <f t="shared" si="8"/>
        <v>No Sig diff</v>
      </c>
      <c r="EN9" s="183">
        <v>158</v>
      </c>
      <c r="EO9" s="183">
        <v>29</v>
      </c>
      <c r="EP9" s="197">
        <v>0.18354430379746836</v>
      </c>
      <c r="EQ9" s="179">
        <v>0.13094420921847771</v>
      </c>
      <c r="ER9" s="179">
        <v>0.25116714390031081</v>
      </c>
      <c r="ES9" s="178" t="str">
        <f t="shared" si="9"/>
        <v>No Sig diff</v>
      </c>
      <c r="ET9" s="206">
        <v>140</v>
      </c>
      <c r="EU9" s="206">
        <v>17</v>
      </c>
      <c r="EV9" s="179">
        <v>0.12142857142857143</v>
      </c>
      <c r="EW9" s="179">
        <v>7.7212614630050802E-2</v>
      </c>
      <c r="EX9" s="179">
        <v>0.18586493707821899</v>
      </c>
      <c r="EY9" s="178" t="str">
        <f t="shared" si="10"/>
        <v>Sig better than Eng.</v>
      </c>
      <c r="EZ9" s="207">
        <v>227</v>
      </c>
      <c r="FA9" s="186">
        <v>104</v>
      </c>
      <c r="FB9" s="187">
        <v>0.45814977973568283</v>
      </c>
      <c r="FC9" s="187">
        <v>0.39456855561808551</v>
      </c>
      <c r="FD9" s="187">
        <v>0.5231238723492917</v>
      </c>
      <c r="FE9" s="208">
        <v>227</v>
      </c>
      <c r="FF9" s="209">
        <v>33</v>
      </c>
      <c r="FG9" s="208">
        <v>45</v>
      </c>
      <c r="FH9" s="209">
        <v>21.177777777777777</v>
      </c>
      <c r="FI9" s="187">
        <f t="shared" si="11"/>
        <v>0.35824915824915826</v>
      </c>
      <c r="FJ9" s="186">
        <v>226</v>
      </c>
      <c r="FK9" s="186">
        <v>114</v>
      </c>
      <c r="FL9" s="187">
        <v>0.50442477876106195</v>
      </c>
      <c r="FM9" s="187">
        <v>0.43971293258807637</v>
      </c>
      <c r="FN9" s="187">
        <v>0.56898871771584147</v>
      </c>
      <c r="FO9" s="198">
        <v>226</v>
      </c>
      <c r="FP9" s="199">
        <v>34</v>
      </c>
      <c r="FQ9" s="198">
        <v>45</v>
      </c>
      <c r="FR9" s="199">
        <v>21.111111111111107</v>
      </c>
      <c r="FS9" s="210">
        <v>0.37908496732026153</v>
      </c>
      <c r="FT9" s="200">
        <v>3106</v>
      </c>
      <c r="FU9" s="200">
        <v>2866</v>
      </c>
      <c r="FV9" s="200">
        <v>240</v>
      </c>
      <c r="FW9" s="200">
        <v>204</v>
      </c>
      <c r="FX9" s="200">
        <v>36</v>
      </c>
      <c r="FY9" s="187">
        <f t="shared" si="4"/>
        <v>0.85</v>
      </c>
      <c r="FZ9" s="187">
        <f t="shared" si="5"/>
        <v>0.15</v>
      </c>
      <c r="GA9" s="197">
        <v>0.73809523809523803</v>
      </c>
      <c r="GB9" s="197">
        <v>0.26190476190476192</v>
      </c>
      <c r="GC9" s="197">
        <v>0.18241416061863377</v>
      </c>
      <c r="GD9" s="197">
        <v>0.43179527736167544</v>
      </c>
      <c r="GE9" s="197">
        <v>0.79548229548229543</v>
      </c>
      <c r="GF9" s="197">
        <v>0.20451770451770454</v>
      </c>
      <c r="GG9" s="197">
        <v>0.13307691028989047</v>
      </c>
      <c r="GH9" s="197">
        <v>0.3653953590845116</v>
      </c>
      <c r="GI9" s="197">
        <v>0.70317460317460312</v>
      </c>
      <c r="GJ9" s="197">
        <v>0.29682539682539688</v>
      </c>
      <c r="GK9" s="197">
        <v>0.18241416061863377</v>
      </c>
      <c r="GL9" s="197">
        <v>0.43179527736167544</v>
      </c>
      <c r="GM9" s="197">
        <v>0.57667887667887663</v>
      </c>
      <c r="GN9" s="197">
        <v>0.42332112332112332</v>
      </c>
      <c r="GO9" s="197">
        <v>0.34471090015787464</v>
      </c>
      <c r="GP9" s="197">
        <v>0.61671004364015625</v>
      </c>
      <c r="GQ9" s="186">
        <v>63</v>
      </c>
      <c r="GR9" s="186">
        <v>61</v>
      </c>
      <c r="GS9" s="178">
        <v>61</v>
      </c>
      <c r="GT9" s="178">
        <v>62</v>
      </c>
      <c r="GU9" s="178">
        <v>60</v>
      </c>
      <c r="GV9" s="178">
        <v>63</v>
      </c>
      <c r="GW9" s="178">
        <v>60</v>
      </c>
      <c r="GX9" s="178">
        <v>60</v>
      </c>
      <c r="GY9" s="178">
        <v>60</v>
      </c>
      <c r="GZ9" s="178">
        <v>60</v>
      </c>
      <c r="HA9" s="178">
        <v>62</v>
      </c>
      <c r="HB9" s="178">
        <v>60</v>
      </c>
      <c r="HC9" s="178">
        <v>61</v>
      </c>
      <c r="HD9" s="178">
        <v>65</v>
      </c>
      <c r="HE9" s="178">
        <v>58</v>
      </c>
      <c r="HF9" s="178">
        <v>58</v>
      </c>
      <c r="HG9" s="178">
        <v>54</v>
      </c>
      <c r="HH9" s="178">
        <v>56</v>
      </c>
      <c r="HI9" s="178">
        <v>58</v>
      </c>
      <c r="HJ9" s="178">
        <v>55</v>
      </c>
      <c r="HK9" s="178">
        <v>58</v>
      </c>
      <c r="HL9" s="178">
        <v>56</v>
      </c>
      <c r="HM9" s="178">
        <v>59</v>
      </c>
      <c r="HN9" s="186">
        <v>23</v>
      </c>
      <c r="HO9" s="187">
        <v>1.9658119658119658E-2</v>
      </c>
      <c r="HP9" s="217">
        <v>1797</v>
      </c>
      <c r="HQ9" s="217">
        <v>1563</v>
      </c>
      <c r="HR9" s="217">
        <v>234</v>
      </c>
      <c r="HS9" s="1704">
        <v>0.1302170283806344</v>
      </c>
    </row>
    <row r="10" spans="1:227" ht="13.8" customHeight="1" x14ac:dyDescent="0.25">
      <c r="A10" s="183" t="s">
        <v>36</v>
      </c>
      <c r="B10" s="183"/>
      <c r="C10" s="183" t="s">
        <v>37</v>
      </c>
      <c r="D10" s="183" t="s">
        <v>37</v>
      </c>
      <c r="E10" s="183" t="s">
        <v>37</v>
      </c>
      <c r="F10" s="183" t="s">
        <v>138</v>
      </c>
      <c r="G10" s="183" t="s">
        <v>483</v>
      </c>
      <c r="H10" s="183" t="s">
        <v>37</v>
      </c>
      <c r="I10" s="183" t="s">
        <v>127</v>
      </c>
      <c r="J10" s="183" t="s">
        <v>704</v>
      </c>
      <c r="K10" s="183" t="s">
        <v>137</v>
      </c>
      <c r="L10" s="184">
        <v>13400</v>
      </c>
      <c r="M10" s="184">
        <v>13385</v>
      </c>
      <c r="N10" s="184">
        <v>13345</v>
      </c>
      <c r="O10" s="184">
        <v>13375</v>
      </c>
      <c r="P10" s="184">
        <v>13325</v>
      </c>
      <c r="Q10" s="184">
        <v>13320</v>
      </c>
      <c r="R10" s="184">
        <v>13355</v>
      </c>
      <c r="S10" s="184">
        <v>13510</v>
      </c>
      <c r="T10" s="184">
        <v>13590</v>
      </c>
      <c r="U10" s="184">
        <v>13685</v>
      </c>
      <c r="V10" s="184">
        <v>765</v>
      </c>
      <c r="W10" s="184">
        <v>790</v>
      </c>
      <c r="X10" s="184">
        <v>805</v>
      </c>
      <c r="Y10" s="184">
        <v>830</v>
      </c>
      <c r="Z10" s="184">
        <v>855</v>
      </c>
      <c r="AA10" s="184">
        <v>845</v>
      </c>
      <c r="AB10" s="184">
        <v>865</v>
      </c>
      <c r="AC10" s="184">
        <v>915</v>
      </c>
      <c r="AD10" s="184">
        <v>905</v>
      </c>
      <c r="AE10" s="184">
        <v>885</v>
      </c>
      <c r="AF10" s="187">
        <v>0.88402625820568925</v>
      </c>
      <c r="AG10" s="187">
        <v>3.1728665207877461E-2</v>
      </c>
      <c r="AH10" s="187">
        <v>4.8140043763676151E-2</v>
      </c>
      <c r="AI10" s="187">
        <v>2.6258205689277898E-2</v>
      </c>
      <c r="AJ10" s="187">
        <v>5.4704595185995622E-3</v>
      </c>
      <c r="AK10" s="187">
        <v>4.3763676148796497E-3</v>
      </c>
      <c r="AL10" s="187">
        <v>0.11597374179431072</v>
      </c>
      <c r="AM10" s="184">
        <v>1755</v>
      </c>
      <c r="AN10" s="187">
        <v>0.52367370222475751</v>
      </c>
      <c r="AO10" s="187">
        <v>0.27381631488876212</v>
      </c>
      <c r="AP10" s="187">
        <v>0.20250998288648031</v>
      </c>
      <c r="AQ10" s="184">
        <v>173</v>
      </c>
      <c r="AR10" s="184">
        <v>162</v>
      </c>
      <c r="AS10" s="184">
        <v>167</v>
      </c>
      <c r="AT10" s="184">
        <v>138</v>
      </c>
      <c r="AU10" s="184">
        <v>151</v>
      </c>
      <c r="AV10" s="186">
        <v>15</v>
      </c>
      <c r="AW10" s="186">
        <v>8</v>
      </c>
      <c r="AX10" s="186">
        <v>5</v>
      </c>
      <c r="AY10" s="186">
        <v>5</v>
      </c>
      <c r="AZ10" s="186">
        <v>5</v>
      </c>
      <c r="BA10" s="186">
        <v>11</v>
      </c>
      <c r="BB10" s="187">
        <v>7.2847682119205295E-2</v>
      </c>
      <c r="BC10" s="187">
        <v>4.1161071759033392E-2</v>
      </c>
      <c r="BD10" s="187">
        <v>0.12572872001578086</v>
      </c>
      <c r="BE10" s="193">
        <v>12</v>
      </c>
      <c r="BF10" s="184">
        <v>235</v>
      </c>
      <c r="BG10" s="184">
        <v>245</v>
      </c>
      <c r="BH10" s="184">
        <v>197</v>
      </c>
      <c r="BI10" s="184">
        <v>0.18163608010354493</v>
      </c>
      <c r="BJ10" s="184">
        <v>1712</v>
      </c>
      <c r="BK10" s="184">
        <v>3142</v>
      </c>
      <c r="BL10" s="186">
        <v>1599</v>
      </c>
      <c r="BM10" s="186">
        <v>821</v>
      </c>
      <c r="BN10" s="186">
        <v>0</v>
      </c>
      <c r="BO10" s="186">
        <v>244</v>
      </c>
      <c r="BP10" s="186">
        <v>398</v>
      </c>
      <c r="BQ10" s="186">
        <v>136</v>
      </c>
      <c r="BR10" s="193">
        <v>165</v>
      </c>
      <c r="BS10" s="193">
        <v>135</v>
      </c>
      <c r="BT10" s="193">
        <v>80</v>
      </c>
      <c r="BU10" s="186">
        <v>461</v>
      </c>
      <c r="BV10" s="186">
        <v>196</v>
      </c>
      <c r="BW10" s="222">
        <f t="shared" si="6"/>
        <v>0.42516268980477223</v>
      </c>
      <c r="BX10" s="186">
        <v>44</v>
      </c>
      <c r="BY10" s="193">
        <v>2</v>
      </c>
      <c r="BZ10" s="1676">
        <v>315</v>
      </c>
      <c r="CA10" s="222">
        <v>5.5545759125374711E-2</v>
      </c>
      <c r="CB10" s="200">
        <v>210</v>
      </c>
      <c r="CC10" s="200">
        <v>220</v>
      </c>
      <c r="CD10" s="200">
        <v>215</v>
      </c>
      <c r="CE10" s="200">
        <v>170</v>
      </c>
      <c r="CF10" s="186">
        <v>655</v>
      </c>
      <c r="CG10" s="187">
        <v>0.21077777777777779</v>
      </c>
      <c r="CH10" s="186">
        <v>675</v>
      </c>
      <c r="CI10" s="187">
        <v>0.20688888888888887</v>
      </c>
      <c r="CJ10" s="186">
        <v>700</v>
      </c>
      <c r="CK10" s="187">
        <v>0.23699999999999999</v>
      </c>
      <c r="CL10" s="186">
        <v>645</v>
      </c>
      <c r="CM10" s="187">
        <v>0.22866666666666666</v>
      </c>
      <c r="CN10" s="186">
        <v>670</v>
      </c>
      <c r="CO10" s="187">
        <v>0.21488888888888888</v>
      </c>
      <c r="CP10" s="186">
        <v>550</v>
      </c>
      <c r="CQ10" s="187">
        <v>0.20220588235294118</v>
      </c>
      <c r="CR10" s="184">
        <v>146</v>
      </c>
      <c r="CS10" s="184">
        <v>13</v>
      </c>
      <c r="CT10" s="184">
        <v>133</v>
      </c>
      <c r="CU10" s="187">
        <v>0.93420804685510572</v>
      </c>
      <c r="CV10" s="186">
        <v>48</v>
      </c>
      <c r="CW10" s="186">
        <v>67</v>
      </c>
      <c r="CX10" s="187">
        <v>0.38012805766428953</v>
      </c>
      <c r="CY10" s="187">
        <v>0.51493367073077223</v>
      </c>
      <c r="CZ10" s="187">
        <v>0.28424408653110661</v>
      </c>
      <c r="DA10" s="187">
        <v>0.44537029973739656</v>
      </c>
      <c r="DB10" s="187">
        <v>0.41988066594915235</v>
      </c>
      <c r="DC10" s="187">
        <v>0.58742705334088818</v>
      </c>
      <c r="DD10" s="182">
        <v>122</v>
      </c>
      <c r="DE10" s="182">
        <v>13</v>
      </c>
      <c r="DF10" s="143">
        <v>0.10655737704918032</v>
      </c>
      <c r="DG10" s="143">
        <v>6.3336996121428402E-2</v>
      </c>
      <c r="DH10" s="143">
        <v>0.17379835736500793</v>
      </c>
      <c r="DI10" s="178" t="str">
        <f t="shared" si="0"/>
        <v>No Sig diff</v>
      </c>
      <c r="DJ10" s="182">
        <v>133</v>
      </c>
      <c r="DK10" s="182">
        <v>13</v>
      </c>
      <c r="DL10" s="143">
        <v>9.7744360902255634E-2</v>
      </c>
      <c r="DM10" s="143">
        <v>5.8014803824288148E-2</v>
      </c>
      <c r="DN10" s="143">
        <v>0.16005842542852139</v>
      </c>
      <c r="DO10" s="178" t="str">
        <f t="shared" si="1"/>
        <v>No Sig diff</v>
      </c>
      <c r="DP10" s="183">
        <v>150</v>
      </c>
      <c r="DQ10" s="183">
        <v>12</v>
      </c>
      <c r="DR10" s="143">
        <v>0.08</v>
      </c>
      <c r="DS10" s="143">
        <v>4.6353641518652906E-2</v>
      </c>
      <c r="DT10" s="143">
        <v>0.13462136375053141</v>
      </c>
      <c r="DU10" s="178" t="str">
        <f t="shared" si="7"/>
        <v>No Sig diff</v>
      </c>
      <c r="DV10" s="178">
        <v>170</v>
      </c>
      <c r="DW10" s="178">
        <v>13</v>
      </c>
      <c r="DX10" s="179">
        <v>7.6470588235294124E-2</v>
      </c>
      <c r="DY10" s="179">
        <v>4.5231780539752423E-2</v>
      </c>
      <c r="DZ10" s="179">
        <v>0.12642726456452041</v>
      </c>
      <c r="EA10" s="178" t="str">
        <f t="shared" si="2"/>
        <v>No Sig diff</v>
      </c>
      <c r="EB10" s="178">
        <v>115</v>
      </c>
      <c r="EC10" s="178">
        <v>15</v>
      </c>
      <c r="ED10" s="143">
        <v>0.13043478260869565</v>
      </c>
      <c r="EE10" s="143">
        <v>8.0663846927720689E-2</v>
      </c>
      <c r="EF10" s="143">
        <v>0.20409754153481507</v>
      </c>
      <c r="EG10" s="178" t="str">
        <f t="shared" si="3"/>
        <v>No Sig diff</v>
      </c>
      <c r="EH10" s="178">
        <v>132</v>
      </c>
      <c r="EI10" s="178">
        <v>18</v>
      </c>
      <c r="EJ10" s="143">
        <v>0.13636363636363635</v>
      </c>
      <c r="EK10" s="143">
        <v>8.8028458868182197E-2</v>
      </c>
      <c r="EL10" s="143">
        <v>0.20526534971262397</v>
      </c>
      <c r="EM10" s="178" t="str">
        <f t="shared" si="8"/>
        <v>No Sig diff</v>
      </c>
      <c r="EN10" s="183">
        <v>130</v>
      </c>
      <c r="EO10" s="183">
        <v>32</v>
      </c>
      <c r="EP10" s="197">
        <v>0.24615384615384617</v>
      </c>
      <c r="EQ10" s="179">
        <v>0.18009792380442399</v>
      </c>
      <c r="ER10" s="179">
        <v>0.32678133034044121</v>
      </c>
      <c r="ES10" s="178" t="str">
        <f t="shared" si="9"/>
        <v>No Sig diff</v>
      </c>
      <c r="ET10" s="206">
        <v>127</v>
      </c>
      <c r="EU10" s="206">
        <v>14</v>
      </c>
      <c r="EV10" s="179">
        <v>0.11023622047244094</v>
      </c>
      <c r="EW10" s="179">
        <v>6.6810002178845376E-2</v>
      </c>
      <c r="EX10" s="179">
        <v>0.17654909139660793</v>
      </c>
      <c r="EY10" s="178" t="str">
        <f t="shared" si="10"/>
        <v>Sig better than Eng.</v>
      </c>
      <c r="EZ10" s="207">
        <v>193</v>
      </c>
      <c r="FA10" s="186">
        <v>111</v>
      </c>
      <c r="FB10" s="187">
        <v>0.57512953367875652</v>
      </c>
      <c r="FC10" s="187">
        <v>0.50459186111857379</v>
      </c>
      <c r="FD10" s="187">
        <v>0.64273482592054509</v>
      </c>
      <c r="FE10" s="208">
        <v>193</v>
      </c>
      <c r="FF10" s="209">
        <v>34</v>
      </c>
      <c r="FG10" s="208">
        <v>38</v>
      </c>
      <c r="FH10" s="209">
        <v>22.710526315789476</v>
      </c>
      <c r="FI10" s="187">
        <f t="shared" si="11"/>
        <v>0.33204334365325072</v>
      </c>
      <c r="FJ10" s="186">
        <v>179</v>
      </c>
      <c r="FK10" s="186">
        <v>106</v>
      </c>
      <c r="FL10" s="187">
        <v>0.59217877094972071</v>
      </c>
      <c r="FM10" s="187">
        <v>0.5189842940127406</v>
      </c>
      <c r="FN10" s="187">
        <v>0.66149993649409367</v>
      </c>
      <c r="FO10" s="198">
        <v>179</v>
      </c>
      <c r="FP10" s="199">
        <v>34</v>
      </c>
      <c r="FQ10" s="198">
        <v>35</v>
      </c>
      <c r="FR10" s="199">
        <v>23.685714285714287</v>
      </c>
      <c r="FS10" s="210">
        <v>0.3033613445378151</v>
      </c>
      <c r="FT10" s="200">
        <v>2189</v>
      </c>
      <c r="FU10" s="200">
        <v>2150</v>
      </c>
      <c r="FV10" s="200">
        <v>39</v>
      </c>
      <c r="FW10" s="200">
        <v>29</v>
      </c>
      <c r="FX10" s="200">
        <v>10</v>
      </c>
      <c r="FY10" s="187">
        <f t="shared" si="4"/>
        <v>0.74358974358974361</v>
      </c>
      <c r="FZ10" s="187">
        <f t="shared" si="5"/>
        <v>0.25641025641025639</v>
      </c>
      <c r="GA10" s="197"/>
      <c r="GB10" s="197">
        <v>0.1388888888888889</v>
      </c>
      <c r="GC10" s="197">
        <v>6.0817253631150994E-2</v>
      </c>
      <c r="GD10" s="197">
        <v>0.28659851280393195</v>
      </c>
      <c r="GE10" s="197"/>
      <c r="GF10" s="197">
        <v>0.1111111111111111</v>
      </c>
      <c r="GG10" s="197">
        <v>4.4065689087418335E-2</v>
      </c>
      <c r="GH10" s="197">
        <v>0.25315129015036325</v>
      </c>
      <c r="GI10" s="197"/>
      <c r="GJ10" s="197">
        <v>0.1388888888888889</v>
      </c>
      <c r="GK10" s="197">
        <v>6.0817253631150994E-2</v>
      </c>
      <c r="GL10" s="197">
        <v>0.28659851280393195</v>
      </c>
      <c r="GM10" s="197"/>
      <c r="GN10" s="197">
        <v>0.27777777777777779</v>
      </c>
      <c r="GO10" s="197">
        <v>0.15848170025813799</v>
      </c>
      <c r="GP10" s="197">
        <v>0.43992800216345151</v>
      </c>
      <c r="GQ10" s="186">
        <v>44</v>
      </c>
      <c r="GR10" s="186">
        <v>44</v>
      </c>
      <c r="GS10" s="178">
        <v>44</v>
      </c>
      <c r="GT10" s="178">
        <v>44</v>
      </c>
      <c r="GU10" s="178">
        <v>44</v>
      </c>
      <c r="GV10" s="178">
        <v>49</v>
      </c>
      <c r="GW10" s="178">
        <v>45</v>
      </c>
      <c r="GX10" s="178">
        <v>47</v>
      </c>
      <c r="GY10" s="178">
        <v>44</v>
      </c>
      <c r="GZ10" s="178">
        <v>47</v>
      </c>
      <c r="HA10" s="178">
        <v>48</v>
      </c>
      <c r="HB10" s="178">
        <v>44</v>
      </c>
      <c r="HC10" s="178">
        <v>47</v>
      </c>
      <c r="HD10" s="178">
        <v>52</v>
      </c>
      <c r="HE10" s="178">
        <v>50</v>
      </c>
      <c r="HF10" s="178">
        <v>50</v>
      </c>
      <c r="HG10" s="178">
        <v>48</v>
      </c>
      <c r="HH10" s="178">
        <v>50</v>
      </c>
      <c r="HI10" s="178">
        <v>50</v>
      </c>
      <c r="HJ10" s="178">
        <v>48</v>
      </c>
      <c r="HK10" s="178">
        <v>50</v>
      </c>
      <c r="HL10" s="178">
        <v>50</v>
      </c>
      <c r="HM10" s="178">
        <v>50</v>
      </c>
      <c r="HN10" s="186">
        <v>21</v>
      </c>
      <c r="HO10" s="187">
        <v>2.2975929978118162E-2</v>
      </c>
      <c r="HP10" s="217">
        <v>1339</v>
      </c>
      <c r="HQ10" s="217">
        <v>1144</v>
      </c>
      <c r="HR10" s="217">
        <v>195</v>
      </c>
      <c r="HS10" s="1704">
        <v>0.14563106796116504</v>
      </c>
    </row>
    <row r="11" spans="1:227" ht="13.8" customHeight="1" x14ac:dyDescent="0.25">
      <c r="A11" s="183" t="s">
        <v>431</v>
      </c>
      <c r="B11" s="183"/>
      <c r="C11" s="183" t="s">
        <v>427</v>
      </c>
      <c r="D11" s="183" t="s">
        <v>427</v>
      </c>
      <c r="E11" s="183" t="s">
        <v>100</v>
      </c>
      <c r="F11" s="183" t="s">
        <v>100</v>
      </c>
      <c r="G11" s="183" t="s">
        <v>450</v>
      </c>
      <c r="H11" s="183" t="s">
        <v>31</v>
      </c>
      <c r="I11" s="183" t="s">
        <v>127</v>
      </c>
      <c r="J11" s="183" t="s">
        <v>704</v>
      </c>
      <c r="K11" s="183" t="s">
        <v>137</v>
      </c>
      <c r="L11" s="184">
        <v>18385</v>
      </c>
      <c r="M11" s="184">
        <v>18325</v>
      </c>
      <c r="N11" s="184">
        <v>18400</v>
      </c>
      <c r="O11" s="184">
        <v>18435</v>
      </c>
      <c r="P11" s="184">
        <v>18385</v>
      </c>
      <c r="Q11" s="184">
        <v>18475</v>
      </c>
      <c r="R11" s="184">
        <v>18365</v>
      </c>
      <c r="S11" s="184">
        <v>18420</v>
      </c>
      <c r="T11" s="184">
        <v>18370</v>
      </c>
      <c r="U11" s="184">
        <v>18475</v>
      </c>
      <c r="V11" s="184">
        <v>700</v>
      </c>
      <c r="W11" s="184">
        <v>680</v>
      </c>
      <c r="X11" s="184">
        <v>700</v>
      </c>
      <c r="Y11" s="184">
        <v>690</v>
      </c>
      <c r="Z11" s="184">
        <v>665</v>
      </c>
      <c r="AA11" s="184">
        <v>665</v>
      </c>
      <c r="AB11" s="184">
        <v>630</v>
      </c>
      <c r="AC11" s="184">
        <v>625</v>
      </c>
      <c r="AD11" s="184">
        <v>640</v>
      </c>
      <c r="AE11" s="184">
        <v>640</v>
      </c>
      <c r="AF11" s="187">
        <v>0.92197452229299359</v>
      </c>
      <c r="AG11" s="187">
        <v>3.662420382165605E-2</v>
      </c>
      <c r="AH11" s="187">
        <v>2.8662420382165606E-2</v>
      </c>
      <c r="AI11" s="187">
        <v>7.9617834394904458E-3</v>
      </c>
      <c r="AJ11" s="187">
        <v>4.7770700636942673E-3</v>
      </c>
      <c r="AK11" s="187">
        <v>0</v>
      </c>
      <c r="AL11" s="187">
        <v>7.8025477707006366E-2</v>
      </c>
      <c r="AM11" s="184">
        <v>1305</v>
      </c>
      <c r="AN11" s="187">
        <v>0.70574712643678161</v>
      </c>
      <c r="AO11" s="187">
        <v>8.2758620689655171E-2</v>
      </c>
      <c r="AP11" s="187">
        <v>0.21149425287356322</v>
      </c>
      <c r="AQ11" s="184">
        <v>109</v>
      </c>
      <c r="AR11" s="184">
        <v>130</v>
      </c>
      <c r="AS11" s="184">
        <v>144</v>
      </c>
      <c r="AT11" s="184">
        <v>114</v>
      </c>
      <c r="AU11" s="184">
        <v>112</v>
      </c>
      <c r="AV11" s="186">
        <v>6</v>
      </c>
      <c r="AW11" s="186">
        <v>6</v>
      </c>
      <c r="AX11" s="186">
        <v>4</v>
      </c>
      <c r="AY11" s="186">
        <v>5</v>
      </c>
      <c r="AZ11" s="186">
        <v>3</v>
      </c>
      <c r="BA11" s="186">
        <v>9</v>
      </c>
      <c r="BB11" s="187">
        <v>8.0357142857142863E-2</v>
      </c>
      <c r="BC11" s="187">
        <v>4.2850577836899766E-2</v>
      </c>
      <c r="BD11" s="187">
        <v>0.14569555273714238</v>
      </c>
      <c r="BE11" s="193">
        <v>7</v>
      </c>
      <c r="BF11" s="184">
        <v>215</v>
      </c>
      <c r="BG11" s="184">
        <v>210</v>
      </c>
      <c r="BH11" s="184">
        <v>80</v>
      </c>
      <c r="BI11" s="184">
        <v>0.13170846878159082</v>
      </c>
      <c r="BJ11" s="184">
        <v>1518</v>
      </c>
      <c r="BK11" s="184">
        <v>2647</v>
      </c>
      <c r="BL11" s="186">
        <v>1520</v>
      </c>
      <c r="BM11" s="186">
        <v>917</v>
      </c>
      <c r="BN11" s="186">
        <v>0</v>
      </c>
      <c r="BO11" s="186">
        <v>193</v>
      </c>
      <c r="BP11" s="186">
        <v>305</v>
      </c>
      <c r="BQ11" s="186">
        <v>105</v>
      </c>
      <c r="BR11" s="193">
        <v>65</v>
      </c>
      <c r="BS11" s="193">
        <v>70</v>
      </c>
      <c r="BT11" s="193">
        <v>55</v>
      </c>
      <c r="BU11" s="186">
        <v>305</v>
      </c>
      <c r="BV11" s="186">
        <v>84</v>
      </c>
      <c r="BW11" s="222">
        <f t="shared" si="6"/>
        <v>0.27540983606557379</v>
      </c>
      <c r="BX11" s="186">
        <v>35</v>
      </c>
      <c r="BY11" s="193">
        <v>6</v>
      </c>
      <c r="BZ11" s="1676">
        <v>225</v>
      </c>
      <c r="CA11" s="222">
        <v>2.5426601875918182E-2</v>
      </c>
      <c r="CB11" s="200">
        <v>85</v>
      </c>
      <c r="CC11" s="200">
        <v>95</v>
      </c>
      <c r="CD11" s="200">
        <v>100</v>
      </c>
      <c r="CE11" s="200">
        <v>75</v>
      </c>
      <c r="CF11" s="186">
        <v>265</v>
      </c>
      <c r="CG11" s="187">
        <v>0.12575000000000003</v>
      </c>
      <c r="CH11" s="186">
        <v>230</v>
      </c>
      <c r="CI11" s="187">
        <v>0.11291666666666668</v>
      </c>
      <c r="CJ11" s="186">
        <v>275</v>
      </c>
      <c r="CK11" s="187">
        <v>0.10883333333333334</v>
      </c>
      <c r="CL11" s="186">
        <v>280</v>
      </c>
      <c r="CM11" s="187">
        <v>9.0583333333333335E-2</v>
      </c>
      <c r="CN11" s="186">
        <v>315</v>
      </c>
      <c r="CO11" s="187">
        <v>0.10483333333333332</v>
      </c>
      <c r="CP11" s="186">
        <v>250</v>
      </c>
      <c r="CQ11" s="187">
        <v>0.10845986984815618</v>
      </c>
      <c r="CR11" s="184">
        <v>115</v>
      </c>
      <c r="CS11" s="184">
        <v>5</v>
      </c>
      <c r="CT11" s="184">
        <v>110</v>
      </c>
      <c r="CU11" s="187">
        <v>0.97034447034447036</v>
      </c>
      <c r="CV11" s="186">
        <v>36</v>
      </c>
      <c r="CW11" s="186">
        <v>49</v>
      </c>
      <c r="CX11" s="187">
        <v>0.32016452115136323</v>
      </c>
      <c r="CY11" s="187">
        <v>0.44229655578339794</v>
      </c>
      <c r="CZ11" s="187">
        <v>0.24670999220537851</v>
      </c>
      <c r="DA11" s="187">
        <v>0.41949287212541092</v>
      </c>
      <c r="DB11" s="187">
        <v>0.35597557115906309</v>
      </c>
      <c r="DC11" s="187">
        <v>0.53861480705065989</v>
      </c>
      <c r="DD11" s="182">
        <v>100</v>
      </c>
      <c r="DE11" s="182">
        <v>5</v>
      </c>
      <c r="DF11" s="143">
        <v>0.05</v>
      </c>
      <c r="DG11" s="143">
        <v>2.1543679154367969E-2</v>
      </c>
      <c r="DH11" s="143">
        <v>0.11175046923191914</v>
      </c>
      <c r="DI11" s="178" t="str">
        <f t="shared" si="0"/>
        <v>No Sig diff</v>
      </c>
      <c r="DJ11" s="182">
        <v>108</v>
      </c>
      <c r="DK11" s="182">
        <v>11</v>
      </c>
      <c r="DL11" s="143">
        <v>0.10185185185185185</v>
      </c>
      <c r="DM11" s="143">
        <v>5.7829317593360803E-2</v>
      </c>
      <c r="DN11" s="143">
        <v>0.17322506146408276</v>
      </c>
      <c r="DO11" s="178" t="str">
        <f t="shared" si="1"/>
        <v>No Sig diff</v>
      </c>
      <c r="DP11" s="183">
        <v>83</v>
      </c>
      <c r="DQ11" s="183">
        <v>6</v>
      </c>
      <c r="DR11" s="143">
        <v>7.2289156626506021E-2</v>
      </c>
      <c r="DS11" s="143">
        <v>3.3550295522992796E-2</v>
      </c>
      <c r="DT11" s="143">
        <v>0.14886786091773177</v>
      </c>
      <c r="DU11" s="178" t="str">
        <f t="shared" si="7"/>
        <v>No Sig diff</v>
      </c>
      <c r="DV11" s="178">
        <v>130</v>
      </c>
      <c r="DW11" s="178">
        <v>10</v>
      </c>
      <c r="DX11" s="179">
        <v>7.6923076923076927E-2</v>
      </c>
      <c r="DY11" s="179">
        <v>4.2317437086078179E-2</v>
      </c>
      <c r="DZ11" s="179">
        <v>0.13581465315536376</v>
      </c>
      <c r="EA11" s="178" t="str">
        <f t="shared" si="2"/>
        <v>No Sig diff</v>
      </c>
      <c r="EB11" s="178">
        <v>144</v>
      </c>
      <c r="EC11" s="178">
        <v>19</v>
      </c>
      <c r="ED11" s="143">
        <v>0.13194444444444445</v>
      </c>
      <c r="EE11" s="143">
        <v>8.6122870939953716E-2</v>
      </c>
      <c r="EF11" s="143">
        <v>0.19689286195700392</v>
      </c>
      <c r="EG11" s="178" t="str">
        <f t="shared" si="3"/>
        <v>No Sig diff</v>
      </c>
      <c r="EH11" s="178">
        <v>139</v>
      </c>
      <c r="EI11" s="178">
        <v>20</v>
      </c>
      <c r="EJ11" s="143">
        <v>0.14388489208633093</v>
      </c>
      <c r="EK11" s="143">
        <v>9.5114077729757537E-2</v>
      </c>
      <c r="EL11" s="143">
        <v>0.21180983065546405</v>
      </c>
      <c r="EM11" s="178" t="str">
        <f t="shared" si="8"/>
        <v>No Sig diff</v>
      </c>
      <c r="EN11" s="183">
        <v>117</v>
      </c>
      <c r="EO11" s="183">
        <v>11</v>
      </c>
      <c r="EP11" s="197">
        <v>9.4017094017094016E-2</v>
      </c>
      <c r="EQ11" s="179">
        <v>5.3310461939706823E-2</v>
      </c>
      <c r="ER11" s="179">
        <v>0.16053550676080314</v>
      </c>
      <c r="ES11" s="178" t="str">
        <f t="shared" si="9"/>
        <v>Sig better than Eng.</v>
      </c>
      <c r="ET11" s="206">
        <v>132</v>
      </c>
      <c r="EU11" s="206">
        <v>16</v>
      </c>
      <c r="EV11" s="179">
        <v>0.12121212121212122</v>
      </c>
      <c r="EW11" s="179">
        <v>7.6004168709792846E-2</v>
      </c>
      <c r="EX11" s="179">
        <v>0.18784354856188021</v>
      </c>
      <c r="EY11" s="178" t="str">
        <f t="shared" si="10"/>
        <v>Sig better than Eng.</v>
      </c>
      <c r="EZ11" s="207">
        <v>143</v>
      </c>
      <c r="FA11" s="186">
        <v>75</v>
      </c>
      <c r="FB11" s="187">
        <v>0.52447552447552448</v>
      </c>
      <c r="FC11" s="187">
        <v>0.44305846825994299</v>
      </c>
      <c r="FD11" s="187">
        <v>0.6046119924956096</v>
      </c>
      <c r="FE11" s="208">
        <v>143</v>
      </c>
      <c r="FF11" s="209">
        <v>34</v>
      </c>
      <c r="FG11" s="208">
        <v>28</v>
      </c>
      <c r="FH11" s="209">
        <v>26.035714285714278</v>
      </c>
      <c r="FI11" s="187">
        <f t="shared" si="11"/>
        <v>0.23424369747899185</v>
      </c>
      <c r="FJ11" s="186">
        <v>151</v>
      </c>
      <c r="FK11" s="186">
        <v>101</v>
      </c>
      <c r="FL11" s="187">
        <v>0.66887417218543044</v>
      </c>
      <c r="FM11" s="187">
        <v>0.59043982267317197</v>
      </c>
      <c r="FN11" s="187">
        <v>0.73892932941585499</v>
      </c>
      <c r="FO11" s="198">
        <v>151</v>
      </c>
      <c r="FP11" s="199">
        <v>34</v>
      </c>
      <c r="FQ11" s="198">
        <v>30</v>
      </c>
      <c r="FR11" s="199">
        <v>25.06666666666667</v>
      </c>
      <c r="FS11" s="210">
        <v>0.26274509803921559</v>
      </c>
      <c r="FT11" s="200">
        <v>1891</v>
      </c>
      <c r="FU11" s="200">
        <v>1871</v>
      </c>
      <c r="FV11" s="200">
        <v>20</v>
      </c>
      <c r="FW11" s="200">
        <v>17</v>
      </c>
      <c r="FX11" s="200">
        <v>3</v>
      </c>
      <c r="FY11" s="187">
        <f t="shared" si="4"/>
        <v>0.85</v>
      </c>
      <c r="FZ11" s="187">
        <f t="shared" si="5"/>
        <v>0.15</v>
      </c>
      <c r="GA11" s="197">
        <v>0.94504477004477005</v>
      </c>
      <c r="GB11" s="197">
        <v>5.4955229955229966E-2</v>
      </c>
      <c r="GC11" s="197">
        <v>2.4232521079919089E-2</v>
      </c>
      <c r="GD11" s="197">
        <v>0.12485581862986618</v>
      </c>
      <c r="GE11" s="197">
        <v>0.95933048433048429</v>
      </c>
      <c r="GF11" s="197">
        <v>4.0669515669515668E-2</v>
      </c>
      <c r="GG11" s="197">
        <v>1.7614201033819141E-2</v>
      </c>
      <c r="GH11" s="197">
        <v>0.10993207132684676</v>
      </c>
      <c r="GI11" s="197">
        <v>0.96858974358974359</v>
      </c>
      <c r="GJ11" s="197">
        <v>3.141025641025641E-2</v>
      </c>
      <c r="GK11" s="197">
        <v>1.1529012223652576E-2</v>
      </c>
      <c r="GL11" s="197">
        <v>9.4475192787893972E-2</v>
      </c>
      <c r="GM11" s="197">
        <v>0.83746438746438756</v>
      </c>
      <c r="GN11" s="197">
        <v>0.16253561253561252</v>
      </c>
      <c r="GO11" s="197">
        <v>0.11649367959569261</v>
      </c>
      <c r="GP11" s="197">
        <v>0.27805683470612508</v>
      </c>
      <c r="GQ11" s="186">
        <v>32</v>
      </c>
      <c r="GR11" s="186">
        <v>31</v>
      </c>
      <c r="GS11" s="178">
        <v>31</v>
      </c>
      <c r="GT11" s="178">
        <v>32</v>
      </c>
      <c r="GU11" s="178">
        <v>31</v>
      </c>
      <c r="GV11" s="178">
        <v>41</v>
      </c>
      <c r="GW11" s="178">
        <v>41</v>
      </c>
      <c r="GX11" s="178">
        <v>40</v>
      </c>
      <c r="GY11" s="178">
        <v>41</v>
      </c>
      <c r="GZ11" s="178">
        <v>40</v>
      </c>
      <c r="HA11" s="178">
        <v>41</v>
      </c>
      <c r="HB11" s="178">
        <v>40</v>
      </c>
      <c r="HC11" s="178">
        <v>40</v>
      </c>
      <c r="HD11" s="178">
        <v>37</v>
      </c>
      <c r="HE11" s="178">
        <v>36</v>
      </c>
      <c r="HF11" s="178">
        <v>36</v>
      </c>
      <c r="HG11" s="178">
        <v>35</v>
      </c>
      <c r="HH11" s="178">
        <v>36</v>
      </c>
      <c r="HI11" s="178">
        <v>36</v>
      </c>
      <c r="HJ11" s="178">
        <v>35</v>
      </c>
      <c r="HK11" s="178">
        <v>37</v>
      </c>
      <c r="HL11" s="178">
        <v>35</v>
      </c>
      <c r="HM11" s="178">
        <v>37</v>
      </c>
      <c r="HN11" s="186">
        <v>17</v>
      </c>
      <c r="HO11" s="187">
        <v>2.7113237639553429E-2</v>
      </c>
      <c r="HP11" s="217">
        <v>1001</v>
      </c>
      <c r="HQ11" s="217">
        <v>902</v>
      </c>
      <c r="HR11" s="217">
        <v>99</v>
      </c>
      <c r="HS11" s="1704">
        <v>9.8901098901098897E-2</v>
      </c>
    </row>
    <row r="12" spans="1:227" ht="13.8" customHeight="1" x14ac:dyDescent="0.25">
      <c r="A12" s="183" t="s">
        <v>615</v>
      </c>
      <c r="B12" s="183"/>
      <c r="C12" s="183" t="s">
        <v>102</v>
      </c>
      <c r="D12" s="183" t="s">
        <v>102</v>
      </c>
      <c r="E12" s="183" t="s">
        <v>102</v>
      </c>
      <c r="F12" s="183" t="s">
        <v>102</v>
      </c>
      <c r="G12" s="183" t="s">
        <v>479</v>
      </c>
      <c r="H12" s="183" t="s">
        <v>139</v>
      </c>
      <c r="I12" s="183" t="s">
        <v>140</v>
      </c>
      <c r="J12" s="183" t="s">
        <v>703</v>
      </c>
      <c r="K12" s="183" t="s">
        <v>102</v>
      </c>
      <c r="L12" s="184">
        <v>12920</v>
      </c>
      <c r="M12" s="184">
        <v>13055</v>
      </c>
      <c r="N12" s="184">
        <v>13210</v>
      </c>
      <c r="O12" s="184">
        <v>13500</v>
      </c>
      <c r="P12" s="184">
        <v>13645</v>
      </c>
      <c r="Q12" s="184">
        <v>13800</v>
      </c>
      <c r="R12" s="184">
        <v>13935</v>
      </c>
      <c r="S12" s="184">
        <v>13995</v>
      </c>
      <c r="T12" s="184">
        <v>14095</v>
      </c>
      <c r="U12" s="184">
        <v>14340</v>
      </c>
      <c r="V12" s="184">
        <v>620</v>
      </c>
      <c r="W12" s="184">
        <v>630</v>
      </c>
      <c r="X12" s="184">
        <v>660</v>
      </c>
      <c r="Y12" s="184">
        <v>705</v>
      </c>
      <c r="Z12" s="184">
        <v>720</v>
      </c>
      <c r="AA12" s="184">
        <v>735</v>
      </c>
      <c r="AB12" s="184">
        <v>760</v>
      </c>
      <c r="AC12" s="184">
        <v>750</v>
      </c>
      <c r="AD12" s="184">
        <v>760</v>
      </c>
      <c r="AE12" s="184">
        <v>740</v>
      </c>
      <c r="AF12" s="187">
        <v>0.89719626168224298</v>
      </c>
      <c r="AG12" s="187">
        <v>4.2723631508678236E-2</v>
      </c>
      <c r="AH12" s="187">
        <v>2.67022696929239E-2</v>
      </c>
      <c r="AI12" s="187">
        <v>2.4032042723631509E-2</v>
      </c>
      <c r="AJ12" s="187">
        <v>8.0106809078771702E-3</v>
      </c>
      <c r="AK12" s="187">
        <v>1.3351134846461949E-3</v>
      </c>
      <c r="AL12" s="187">
        <v>0.10280373831775701</v>
      </c>
      <c r="AM12" s="184">
        <v>1465</v>
      </c>
      <c r="AN12" s="187">
        <v>0.72832764505119452</v>
      </c>
      <c r="AO12" s="187">
        <v>9.6928327645051188E-2</v>
      </c>
      <c r="AP12" s="187">
        <v>0.17474402730375427</v>
      </c>
      <c r="AQ12" s="184">
        <v>125</v>
      </c>
      <c r="AR12" s="184">
        <v>138</v>
      </c>
      <c r="AS12" s="184">
        <v>133</v>
      </c>
      <c r="AT12" s="184">
        <v>121</v>
      </c>
      <c r="AU12" s="184">
        <v>135</v>
      </c>
      <c r="AV12" s="186">
        <v>4</v>
      </c>
      <c r="AW12" s="186">
        <v>4</v>
      </c>
      <c r="AX12" s="186">
        <v>5</v>
      </c>
      <c r="AY12" s="186">
        <v>1</v>
      </c>
      <c r="AZ12" s="186">
        <v>1</v>
      </c>
      <c r="BA12" s="186">
        <v>9</v>
      </c>
      <c r="BB12" s="187">
        <v>6.6666666666666666E-2</v>
      </c>
      <c r="BC12" s="187">
        <v>3.5466897784925636E-2</v>
      </c>
      <c r="BD12" s="187">
        <v>0.12184532729692925</v>
      </c>
      <c r="BE12" s="193">
        <v>5</v>
      </c>
      <c r="BF12" s="184">
        <v>200</v>
      </c>
      <c r="BG12" s="184">
        <v>262</v>
      </c>
      <c r="BH12" s="184">
        <v>111</v>
      </c>
      <c r="BI12" s="184">
        <v>0.14288639946679255</v>
      </c>
      <c r="BJ12" s="184">
        <v>1580</v>
      </c>
      <c r="BK12" s="184">
        <v>2804</v>
      </c>
      <c r="BL12" s="186">
        <v>1939</v>
      </c>
      <c r="BM12" s="186">
        <v>1346</v>
      </c>
      <c r="BN12" s="186">
        <v>0</v>
      </c>
      <c r="BO12" s="186">
        <v>191</v>
      </c>
      <c r="BP12" s="186">
        <v>296</v>
      </c>
      <c r="BQ12" s="186">
        <v>106</v>
      </c>
      <c r="BR12" s="193">
        <v>45</v>
      </c>
      <c r="BS12" s="193">
        <v>55</v>
      </c>
      <c r="BT12" s="193">
        <v>35</v>
      </c>
      <c r="BU12" s="186">
        <v>275</v>
      </c>
      <c r="BV12" s="186">
        <v>50</v>
      </c>
      <c r="BW12" s="222">
        <f t="shared" si="6"/>
        <v>0.18181818181818182</v>
      </c>
      <c r="BX12" s="186">
        <v>20</v>
      </c>
      <c r="BY12" s="193">
        <v>10</v>
      </c>
      <c r="BZ12" s="1676">
        <v>148</v>
      </c>
      <c r="CA12" s="222">
        <v>2.4983119513841998E-2</v>
      </c>
      <c r="CB12" s="200">
        <v>65</v>
      </c>
      <c r="CC12" s="200">
        <v>60</v>
      </c>
      <c r="CD12" s="200">
        <v>50</v>
      </c>
      <c r="CE12" s="200">
        <v>55</v>
      </c>
      <c r="CF12" s="186">
        <v>160</v>
      </c>
      <c r="CG12" s="187">
        <v>7.9111111111111104E-2</v>
      </c>
      <c r="CH12" s="186">
        <v>155</v>
      </c>
      <c r="CI12" s="187">
        <v>7.1444444444444449E-2</v>
      </c>
      <c r="CJ12" s="186">
        <v>170</v>
      </c>
      <c r="CK12" s="187">
        <v>7.7333333333333323E-2</v>
      </c>
      <c r="CL12" s="186">
        <v>155</v>
      </c>
      <c r="CM12" s="187">
        <v>6.5888888888888886E-2</v>
      </c>
      <c r="CN12" s="186">
        <v>175</v>
      </c>
      <c r="CO12" s="187">
        <v>6.6555555555555562E-2</v>
      </c>
      <c r="CP12" s="186">
        <v>135</v>
      </c>
      <c r="CQ12" s="187">
        <v>6.0402684563758392E-2</v>
      </c>
      <c r="CR12" s="184">
        <v>131</v>
      </c>
      <c r="CS12" s="184">
        <v>4</v>
      </c>
      <c r="CT12" s="184">
        <v>127</v>
      </c>
      <c r="CU12" s="187">
        <v>0.96990740740740744</v>
      </c>
      <c r="CV12" s="186">
        <v>65</v>
      </c>
      <c r="CW12" s="186">
        <v>82</v>
      </c>
      <c r="CX12" s="187">
        <v>0.52671965715443969</v>
      </c>
      <c r="CY12" s="187">
        <v>0.65975867932389676</v>
      </c>
      <c r="CZ12" s="187">
        <v>0.42581263792217539</v>
      </c>
      <c r="DA12" s="187">
        <v>0.5971158496536414</v>
      </c>
      <c r="DB12" s="187">
        <v>0.55932258310542216</v>
      </c>
      <c r="DC12" s="187">
        <v>0.72346209699631914</v>
      </c>
      <c r="DD12" s="182">
        <v>93</v>
      </c>
      <c r="DE12" s="182">
        <v>7</v>
      </c>
      <c r="DF12" s="143">
        <v>7.5268817204301078E-2</v>
      </c>
      <c r="DG12" s="143">
        <v>3.6936683981680471E-2</v>
      </c>
      <c r="DH12" s="143">
        <v>0.14729700103258914</v>
      </c>
      <c r="DI12" s="178" t="str">
        <f t="shared" si="0"/>
        <v>No Sig diff</v>
      </c>
      <c r="DJ12" s="182">
        <v>117</v>
      </c>
      <c r="DK12" s="182">
        <v>6</v>
      </c>
      <c r="DL12" s="143">
        <v>5.128205128205128E-2</v>
      </c>
      <c r="DM12" s="143">
        <v>2.3712378528816573E-2</v>
      </c>
      <c r="DN12" s="143">
        <v>0.10738053424543133</v>
      </c>
      <c r="DO12" s="178" t="str">
        <f t="shared" si="1"/>
        <v>No Sig diff</v>
      </c>
      <c r="DP12" s="183">
        <v>99</v>
      </c>
      <c r="DQ12" s="183">
        <v>4</v>
      </c>
      <c r="DR12" s="143">
        <v>4.0404040404040407E-2</v>
      </c>
      <c r="DS12" s="143">
        <v>1.5822638994147552E-2</v>
      </c>
      <c r="DT12" s="143">
        <v>9.9320212502542235E-2</v>
      </c>
      <c r="DU12" s="178" t="str">
        <f t="shared" si="7"/>
        <v>No Sig diff</v>
      </c>
      <c r="DV12" s="178">
        <v>127</v>
      </c>
      <c r="DW12" s="178">
        <v>9</v>
      </c>
      <c r="DX12" s="179">
        <v>7.0866141732283464E-2</v>
      </c>
      <c r="DY12" s="179">
        <v>3.7728059261201326E-2</v>
      </c>
      <c r="DZ12" s="179">
        <v>0.12920265992793412</v>
      </c>
      <c r="EA12" s="178" t="str">
        <f t="shared" si="2"/>
        <v>No Sig diff</v>
      </c>
      <c r="EB12" s="178">
        <v>89</v>
      </c>
      <c r="EC12" s="178">
        <v>18</v>
      </c>
      <c r="ED12" s="143">
        <v>0.20224719101123595</v>
      </c>
      <c r="EE12" s="143">
        <v>0.13193782732624648</v>
      </c>
      <c r="EF12" s="143">
        <v>0.29719651983691514</v>
      </c>
      <c r="EG12" s="178" t="str">
        <f t="shared" si="3"/>
        <v>No Sig diff</v>
      </c>
      <c r="EH12" s="178">
        <v>88</v>
      </c>
      <c r="EI12" s="178">
        <v>11</v>
      </c>
      <c r="EJ12" s="143">
        <v>0.125</v>
      </c>
      <c r="EK12" s="143">
        <v>7.1252741521922444E-2</v>
      </c>
      <c r="EL12" s="143">
        <v>0.21011755847674671</v>
      </c>
      <c r="EM12" s="178" t="str">
        <f t="shared" si="8"/>
        <v>No Sig diff</v>
      </c>
      <c r="EN12" s="183">
        <v>114</v>
      </c>
      <c r="EO12" s="183">
        <v>10</v>
      </c>
      <c r="EP12" s="197">
        <v>8.771929824561403E-2</v>
      </c>
      <c r="EQ12" s="179">
        <v>4.8345105411009899E-2</v>
      </c>
      <c r="ER12" s="179">
        <v>0.15397298415856123</v>
      </c>
      <c r="ES12" s="178" t="str">
        <f t="shared" si="9"/>
        <v>Sig better than Eng.</v>
      </c>
      <c r="ET12" s="206">
        <v>99</v>
      </c>
      <c r="EU12" s="206">
        <v>7</v>
      </c>
      <c r="EV12" s="179">
        <v>7.0707070707070704E-2</v>
      </c>
      <c r="EW12" s="179">
        <v>3.4670230283234689E-2</v>
      </c>
      <c r="EX12" s="179">
        <v>0.13881485078510192</v>
      </c>
      <c r="EY12" s="178" t="str">
        <f t="shared" si="10"/>
        <v>Sig better than Eng.</v>
      </c>
      <c r="EZ12" s="207">
        <v>147</v>
      </c>
      <c r="FA12" s="186">
        <v>81</v>
      </c>
      <c r="FB12" s="187">
        <v>0.55102040816326525</v>
      </c>
      <c r="FC12" s="187">
        <v>0.47033523732756821</v>
      </c>
      <c r="FD12" s="187">
        <v>0.62910691947250996</v>
      </c>
      <c r="FE12" s="208">
        <v>147</v>
      </c>
      <c r="FF12" s="209">
        <v>34</v>
      </c>
      <c r="FG12" s="208">
        <v>29</v>
      </c>
      <c r="FH12" s="209">
        <v>25.344827586206897</v>
      </c>
      <c r="FI12" s="187">
        <f t="shared" si="11"/>
        <v>0.25456389452332656</v>
      </c>
      <c r="FJ12" s="186">
        <v>126</v>
      </c>
      <c r="FK12" s="186">
        <v>91</v>
      </c>
      <c r="FL12" s="187">
        <v>0.72222222222222221</v>
      </c>
      <c r="FM12" s="187">
        <v>0.63832593390940506</v>
      </c>
      <c r="FN12" s="187">
        <v>0.79296928187628457</v>
      </c>
      <c r="FO12" s="198">
        <v>126</v>
      </c>
      <c r="FP12" s="199">
        <v>34</v>
      </c>
      <c r="FQ12" s="198">
        <v>25</v>
      </c>
      <c r="FR12" s="199">
        <v>26.839999999999996</v>
      </c>
      <c r="FS12" s="210">
        <v>0.21058823529411774</v>
      </c>
      <c r="FT12" s="200">
        <v>2038</v>
      </c>
      <c r="FU12" s="200">
        <v>1990</v>
      </c>
      <c r="FV12" s="200">
        <v>48</v>
      </c>
      <c r="FW12" s="200">
        <v>42</v>
      </c>
      <c r="FX12" s="200">
        <v>6</v>
      </c>
      <c r="FY12" s="187">
        <f t="shared" si="4"/>
        <v>0.875</v>
      </c>
      <c r="FZ12" s="187">
        <f t="shared" si="5"/>
        <v>0.125</v>
      </c>
      <c r="GA12" s="197">
        <v>0.91865338728083834</v>
      </c>
      <c r="GB12" s="197">
        <v>8.1346612719161743E-2</v>
      </c>
      <c r="GC12" s="197">
        <v>7.2097514909401916E-2</v>
      </c>
      <c r="GD12" s="197">
        <v>0.22281995332477456</v>
      </c>
      <c r="GE12" s="197">
        <v>0.92518933499325662</v>
      </c>
      <c r="GF12" s="197">
        <v>7.4810665006743438E-2</v>
      </c>
      <c r="GG12" s="197">
        <v>6.2724910645863163E-2</v>
      </c>
      <c r="GH12" s="197">
        <v>0.20745281963161774</v>
      </c>
      <c r="GI12" s="197">
        <v>0.90939412802157904</v>
      </c>
      <c r="GJ12" s="197">
        <v>9.0605871978421001E-2</v>
      </c>
      <c r="GK12" s="197">
        <v>8.1682478239274645E-2</v>
      </c>
      <c r="GL12" s="197">
        <v>0.23797472795159738</v>
      </c>
      <c r="GM12" s="197">
        <v>0.8110488639900405</v>
      </c>
      <c r="GN12" s="197">
        <v>0.18895113600995952</v>
      </c>
      <c r="GO12" s="197">
        <v>0.13214965937388246</v>
      </c>
      <c r="GP12" s="197">
        <v>0.31120623660046737</v>
      </c>
      <c r="GQ12" s="186">
        <v>38</v>
      </c>
      <c r="GR12" s="186">
        <v>36</v>
      </c>
      <c r="GS12" s="178">
        <v>36</v>
      </c>
      <c r="GT12" s="178">
        <v>36</v>
      </c>
      <c r="GU12" s="178">
        <v>36</v>
      </c>
      <c r="GV12" s="178">
        <v>36</v>
      </c>
      <c r="GW12" s="178">
        <v>34</v>
      </c>
      <c r="GX12" s="178">
        <v>34</v>
      </c>
      <c r="GY12" s="178">
        <v>34</v>
      </c>
      <c r="GZ12" s="178">
        <v>34</v>
      </c>
      <c r="HA12" s="178">
        <v>34</v>
      </c>
      <c r="HB12" s="178">
        <v>34</v>
      </c>
      <c r="HC12" s="178">
        <v>34</v>
      </c>
      <c r="HD12" s="178">
        <v>46</v>
      </c>
      <c r="HE12" s="178">
        <v>42</v>
      </c>
      <c r="HF12" s="178">
        <v>42</v>
      </c>
      <c r="HG12" s="178">
        <v>40</v>
      </c>
      <c r="HH12" s="178">
        <v>40</v>
      </c>
      <c r="HI12" s="178">
        <v>43</v>
      </c>
      <c r="HJ12" s="178">
        <v>40</v>
      </c>
      <c r="HK12" s="178">
        <v>42</v>
      </c>
      <c r="HL12" s="178">
        <v>41</v>
      </c>
      <c r="HM12" s="178">
        <v>42</v>
      </c>
      <c r="HN12" s="186">
        <v>13</v>
      </c>
      <c r="HO12" s="187">
        <v>1.7356475300400534E-2</v>
      </c>
      <c r="HP12" s="217">
        <v>1182</v>
      </c>
      <c r="HQ12" s="217">
        <v>1119</v>
      </c>
      <c r="HR12" s="217">
        <v>63</v>
      </c>
      <c r="HS12" s="1704">
        <v>5.3299492385786802E-2</v>
      </c>
    </row>
    <row r="13" spans="1:227" ht="13.8" customHeight="1" x14ac:dyDescent="0.25">
      <c r="A13" s="183" t="s">
        <v>616</v>
      </c>
      <c r="B13" s="183"/>
      <c r="C13" s="183" t="s">
        <v>102</v>
      </c>
      <c r="D13" s="183" t="s">
        <v>102</v>
      </c>
      <c r="E13" s="183" t="s">
        <v>102</v>
      </c>
      <c r="F13" s="183" t="s">
        <v>102</v>
      </c>
      <c r="G13" s="183" t="s">
        <v>478</v>
      </c>
      <c r="H13" s="183" t="s">
        <v>139</v>
      </c>
      <c r="I13" s="183" t="s">
        <v>140</v>
      </c>
      <c r="J13" s="183" t="s">
        <v>703</v>
      </c>
      <c r="K13" s="183" t="s">
        <v>102</v>
      </c>
      <c r="L13" s="184">
        <v>11425</v>
      </c>
      <c r="M13" s="184">
        <v>11570</v>
      </c>
      <c r="N13" s="184">
        <v>11630</v>
      </c>
      <c r="O13" s="184">
        <v>11770</v>
      </c>
      <c r="P13" s="184">
        <v>11975</v>
      </c>
      <c r="Q13" s="184">
        <v>12235</v>
      </c>
      <c r="R13" s="184">
        <v>12420</v>
      </c>
      <c r="S13" s="184">
        <v>12625</v>
      </c>
      <c r="T13" s="184">
        <v>12605</v>
      </c>
      <c r="U13" s="184">
        <v>12705</v>
      </c>
      <c r="V13" s="184">
        <v>740</v>
      </c>
      <c r="W13" s="184">
        <v>720</v>
      </c>
      <c r="X13" s="184">
        <v>710</v>
      </c>
      <c r="Y13" s="184">
        <v>705</v>
      </c>
      <c r="Z13" s="184">
        <v>740</v>
      </c>
      <c r="AA13" s="184">
        <v>730</v>
      </c>
      <c r="AB13" s="184">
        <v>790</v>
      </c>
      <c r="AC13" s="184">
        <v>795</v>
      </c>
      <c r="AD13" s="184">
        <v>865</v>
      </c>
      <c r="AE13" s="184">
        <v>845</v>
      </c>
      <c r="AF13" s="187">
        <v>0.85231539424280356</v>
      </c>
      <c r="AG13" s="187">
        <v>4.005006257822278E-2</v>
      </c>
      <c r="AH13" s="187">
        <v>6.0075093867334166E-2</v>
      </c>
      <c r="AI13" s="187">
        <v>4.005006257822278E-2</v>
      </c>
      <c r="AJ13" s="187">
        <v>5.0062578222778474E-3</v>
      </c>
      <c r="AK13" s="187">
        <v>2.5031289111389237E-3</v>
      </c>
      <c r="AL13" s="187">
        <v>0.1476846057571965</v>
      </c>
      <c r="AM13" s="184">
        <v>1525</v>
      </c>
      <c r="AN13" s="187">
        <v>0.65094957432874923</v>
      </c>
      <c r="AO13" s="187">
        <v>0.18925998690242304</v>
      </c>
      <c r="AP13" s="187">
        <v>0.15979043876882776</v>
      </c>
      <c r="AQ13" s="184">
        <v>137</v>
      </c>
      <c r="AR13" s="184">
        <v>147</v>
      </c>
      <c r="AS13" s="184">
        <v>158</v>
      </c>
      <c r="AT13" s="184">
        <v>170</v>
      </c>
      <c r="AU13" s="184">
        <v>131</v>
      </c>
      <c r="AV13" s="186">
        <v>5</v>
      </c>
      <c r="AW13" s="186">
        <v>7</v>
      </c>
      <c r="AX13" s="186">
        <v>7</v>
      </c>
      <c r="AY13" s="186">
        <v>5</v>
      </c>
      <c r="AZ13" s="186">
        <v>2</v>
      </c>
      <c r="BA13" s="186">
        <v>9</v>
      </c>
      <c r="BB13" s="187">
        <v>6.8702290076335881E-2</v>
      </c>
      <c r="BC13" s="187">
        <v>3.6562545650761696E-2</v>
      </c>
      <c r="BD13" s="187">
        <v>0.12541626273440917</v>
      </c>
      <c r="BE13" s="193">
        <v>6</v>
      </c>
      <c r="BF13" s="184">
        <v>249</v>
      </c>
      <c r="BG13" s="184">
        <v>267</v>
      </c>
      <c r="BH13" s="184">
        <v>115</v>
      </c>
      <c r="BI13" s="184">
        <v>0.11891938392374067</v>
      </c>
      <c r="BJ13" s="184">
        <v>1596</v>
      </c>
      <c r="BK13" s="184">
        <v>2772</v>
      </c>
      <c r="BL13" s="186">
        <v>1536</v>
      </c>
      <c r="BM13" s="186">
        <v>1047</v>
      </c>
      <c r="BN13" s="186">
        <v>1</v>
      </c>
      <c r="BO13" s="186">
        <v>176</v>
      </c>
      <c r="BP13" s="186">
        <v>235</v>
      </c>
      <c r="BQ13" s="186">
        <v>77</v>
      </c>
      <c r="BR13" s="193">
        <v>65</v>
      </c>
      <c r="BS13" s="193">
        <v>70</v>
      </c>
      <c r="BT13" s="193">
        <v>50</v>
      </c>
      <c r="BU13" s="186">
        <v>316</v>
      </c>
      <c r="BV13" s="186">
        <v>85</v>
      </c>
      <c r="BW13" s="222">
        <f t="shared" si="6"/>
        <v>0.26898734177215189</v>
      </c>
      <c r="BX13" s="186">
        <v>26</v>
      </c>
      <c r="BY13" s="193">
        <v>8</v>
      </c>
      <c r="BZ13" s="1676">
        <v>165</v>
      </c>
      <c r="CA13" s="222">
        <v>3.1488549618320608E-2</v>
      </c>
      <c r="CB13" s="200">
        <v>90</v>
      </c>
      <c r="CC13" s="200">
        <v>110</v>
      </c>
      <c r="CD13" s="200">
        <v>95</v>
      </c>
      <c r="CE13" s="200">
        <v>75</v>
      </c>
      <c r="CF13" s="186">
        <v>250</v>
      </c>
      <c r="CG13" s="187">
        <v>8.8142857142857162E-2</v>
      </c>
      <c r="CH13" s="186">
        <v>270</v>
      </c>
      <c r="CI13" s="187">
        <v>8.671428571428573E-2</v>
      </c>
      <c r="CJ13" s="186">
        <v>250</v>
      </c>
      <c r="CK13" s="187">
        <v>0.10185714285714287</v>
      </c>
      <c r="CL13" s="186">
        <v>205</v>
      </c>
      <c r="CM13" s="187">
        <v>0.108</v>
      </c>
      <c r="CN13" s="186">
        <v>210</v>
      </c>
      <c r="CO13" s="187">
        <v>0.10014285714285712</v>
      </c>
      <c r="CP13" s="186">
        <v>230</v>
      </c>
      <c r="CQ13" s="187">
        <v>9.5634095634095639E-2</v>
      </c>
      <c r="CR13" s="184">
        <v>152</v>
      </c>
      <c r="CS13" s="184">
        <v>6</v>
      </c>
      <c r="CT13" s="184">
        <v>146</v>
      </c>
      <c r="CU13" s="187">
        <v>0.95652513879114864</v>
      </c>
      <c r="CV13" s="186">
        <v>63</v>
      </c>
      <c r="CW13" s="186">
        <v>80</v>
      </c>
      <c r="CX13" s="187">
        <v>0.43148895922005176</v>
      </c>
      <c r="CY13" s="187">
        <v>0.53734948524864501</v>
      </c>
      <c r="CZ13" s="187">
        <v>0.35393919302495835</v>
      </c>
      <c r="DA13" s="187">
        <v>0.51258652479973121</v>
      </c>
      <c r="DB13" s="187">
        <v>0.46701649179589177</v>
      </c>
      <c r="DC13" s="187">
        <v>0.62641550572682558</v>
      </c>
      <c r="DD13" s="182">
        <v>87</v>
      </c>
      <c r="DE13" s="182">
        <v>7</v>
      </c>
      <c r="DF13" s="143">
        <v>8.0459770114942528E-2</v>
      </c>
      <c r="DG13" s="143">
        <v>3.9520271089868816E-2</v>
      </c>
      <c r="DH13" s="143">
        <v>0.15688188990922067</v>
      </c>
      <c r="DI13" s="178" t="str">
        <f t="shared" si="0"/>
        <v>No Sig diff</v>
      </c>
      <c r="DJ13" s="182">
        <v>119</v>
      </c>
      <c r="DK13" s="182">
        <v>10</v>
      </c>
      <c r="DL13" s="143">
        <v>8.4033613445378158E-2</v>
      </c>
      <c r="DM13" s="143">
        <v>4.6284809194831765E-2</v>
      </c>
      <c r="DN13" s="143">
        <v>0.14779835335938682</v>
      </c>
      <c r="DO13" s="178" t="str">
        <f t="shared" si="1"/>
        <v>No Sig diff</v>
      </c>
      <c r="DP13" s="183">
        <v>104</v>
      </c>
      <c r="DQ13" s="183">
        <v>5</v>
      </c>
      <c r="DR13" s="143">
        <v>4.807692307692308E-2</v>
      </c>
      <c r="DS13" s="143">
        <v>2.070804232585223E-2</v>
      </c>
      <c r="DT13" s="143">
        <v>0.10764202797232544</v>
      </c>
      <c r="DU13" s="178" t="str">
        <f t="shared" si="7"/>
        <v>No Sig diff</v>
      </c>
      <c r="DV13" s="178">
        <v>145</v>
      </c>
      <c r="DW13" s="178">
        <v>13</v>
      </c>
      <c r="DX13" s="179">
        <v>8.9655172413793102E-2</v>
      </c>
      <c r="DY13" s="179">
        <v>5.3143530294794135E-2</v>
      </c>
      <c r="DZ13" s="179">
        <v>0.14734804683119626</v>
      </c>
      <c r="EA13" s="178" t="str">
        <f t="shared" si="2"/>
        <v>No Sig diff</v>
      </c>
      <c r="EB13" s="178">
        <v>105</v>
      </c>
      <c r="EC13" s="178">
        <v>12</v>
      </c>
      <c r="ED13" s="143">
        <v>0.11428571428571428</v>
      </c>
      <c r="EE13" s="143">
        <v>6.6597020035790502E-2</v>
      </c>
      <c r="EF13" s="143">
        <v>0.1892012678809514</v>
      </c>
      <c r="EG13" s="178" t="str">
        <f t="shared" si="3"/>
        <v>No Sig diff</v>
      </c>
      <c r="EH13" s="178">
        <v>116</v>
      </c>
      <c r="EI13" s="178">
        <v>10</v>
      </c>
      <c r="EJ13" s="143">
        <v>8.6206896551724144E-2</v>
      </c>
      <c r="EK13" s="143">
        <v>4.7499354799614958E-2</v>
      </c>
      <c r="EL13" s="143">
        <v>0.15144230575181017</v>
      </c>
      <c r="EM13" s="178" t="str">
        <f t="shared" si="8"/>
        <v>Sig better than Eng.</v>
      </c>
      <c r="EN13" s="183">
        <v>105</v>
      </c>
      <c r="EO13" s="183">
        <v>18</v>
      </c>
      <c r="EP13" s="197">
        <v>0.17142857142857143</v>
      </c>
      <c r="EQ13" s="179">
        <v>0.11127785378367308</v>
      </c>
      <c r="ER13" s="179">
        <v>0.25477253962688479</v>
      </c>
      <c r="ES13" s="178" t="str">
        <f t="shared" si="9"/>
        <v>No Sig diff</v>
      </c>
      <c r="ET13" s="206">
        <v>125</v>
      </c>
      <c r="EU13" s="206">
        <v>18</v>
      </c>
      <c r="EV13" s="179">
        <v>0.14399999999999999</v>
      </c>
      <c r="EW13" s="179">
        <v>9.3068950253000618E-2</v>
      </c>
      <c r="EX13" s="179">
        <v>0.21615961006732778</v>
      </c>
      <c r="EY13" s="178" t="str">
        <f t="shared" si="10"/>
        <v>No Sig diff</v>
      </c>
      <c r="EZ13" s="207">
        <v>159</v>
      </c>
      <c r="FA13" s="186">
        <v>102</v>
      </c>
      <c r="FB13" s="187">
        <v>0.64150943396226412</v>
      </c>
      <c r="FC13" s="187">
        <v>0.56443995549802972</v>
      </c>
      <c r="FD13" s="187">
        <v>0.71190244726532192</v>
      </c>
      <c r="FE13" s="208">
        <v>159</v>
      </c>
      <c r="FF13" s="209">
        <v>34</v>
      </c>
      <c r="FG13" s="208">
        <v>31</v>
      </c>
      <c r="FH13" s="209">
        <v>26.903225806451605</v>
      </c>
      <c r="FI13" s="187">
        <f t="shared" si="11"/>
        <v>0.20872865275142338</v>
      </c>
      <c r="FJ13" s="186">
        <v>141</v>
      </c>
      <c r="FK13" s="186">
        <v>83</v>
      </c>
      <c r="FL13" s="187">
        <v>0.58865248226950351</v>
      </c>
      <c r="FM13" s="187">
        <v>0.50612931176565457</v>
      </c>
      <c r="FN13" s="187">
        <v>0.66647320275989053</v>
      </c>
      <c r="FO13" s="198">
        <v>141</v>
      </c>
      <c r="FP13" s="199">
        <v>34</v>
      </c>
      <c r="FQ13" s="198">
        <v>28</v>
      </c>
      <c r="FR13" s="199">
        <v>25.785714285714285</v>
      </c>
      <c r="FS13" s="210">
        <v>0.24159663865546221</v>
      </c>
      <c r="FT13" s="200">
        <v>1928</v>
      </c>
      <c r="FU13" s="200">
        <v>1895</v>
      </c>
      <c r="FV13" s="200">
        <v>33</v>
      </c>
      <c r="FW13" s="200">
        <v>30</v>
      </c>
      <c r="FX13" s="200">
        <v>3</v>
      </c>
      <c r="FY13" s="187">
        <f t="shared" si="4"/>
        <v>0.90909090909090906</v>
      </c>
      <c r="FZ13" s="187">
        <f t="shared" si="5"/>
        <v>9.0909090909090912E-2</v>
      </c>
      <c r="GA13" s="197">
        <v>0.87410399124684857</v>
      </c>
      <c r="GB13" s="197">
        <v>0.1258960087531516</v>
      </c>
      <c r="GC13" s="197">
        <v>8.167987995453567E-2</v>
      </c>
      <c r="GD13" s="197">
        <v>0.20088987633992925</v>
      </c>
      <c r="GE13" s="197">
        <v>0.91388421102706829</v>
      </c>
      <c r="GF13" s="197">
        <v>8.6115788972931817E-2</v>
      </c>
      <c r="GG13" s="197">
        <v>3.8969900613698788E-2</v>
      </c>
      <c r="GH13" s="197">
        <v>0.13322597203376074</v>
      </c>
      <c r="GI13" s="197">
        <v>0.86807430664573537</v>
      </c>
      <c r="GJ13" s="197">
        <v>0.13192569335426479</v>
      </c>
      <c r="GK13" s="197">
        <v>8.2363400835368833E-2</v>
      </c>
      <c r="GL13" s="197">
        <v>0.20245179541134131</v>
      </c>
      <c r="GM13" s="197">
        <v>0.76172969887255593</v>
      </c>
      <c r="GN13" s="197">
        <v>0.23827030112744399</v>
      </c>
      <c r="GO13" s="197">
        <v>0.17652266116613055</v>
      </c>
      <c r="GP13" s="197">
        <v>0.32679486242234518</v>
      </c>
      <c r="GQ13" s="186">
        <v>40</v>
      </c>
      <c r="GR13" s="186">
        <v>39</v>
      </c>
      <c r="GS13" s="178">
        <v>39</v>
      </c>
      <c r="GT13" s="178">
        <v>39</v>
      </c>
      <c r="GU13" s="178">
        <v>39</v>
      </c>
      <c r="GV13" s="178">
        <v>34</v>
      </c>
      <c r="GW13" s="178">
        <v>31</v>
      </c>
      <c r="GX13" s="178">
        <v>32</v>
      </c>
      <c r="GY13" s="178">
        <v>31</v>
      </c>
      <c r="GZ13" s="178">
        <v>32</v>
      </c>
      <c r="HA13" s="178">
        <v>32</v>
      </c>
      <c r="HB13" s="178">
        <v>31</v>
      </c>
      <c r="HC13" s="178">
        <v>32</v>
      </c>
      <c r="HD13" s="178">
        <v>41</v>
      </c>
      <c r="HE13" s="178">
        <v>33</v>
      </c>
      <c r="HF13" s="178">
        <v>36</v>
      </c>
      <c r="HG13" s="178">
        <v>34</v>
      </c>
      <c r="HH13" s="178">
        <v>36</v>
      </c>
      <c r="HI13" s="178">
        <v>37</v>
      </c>
      <c r="HJ13" s="178">
        <v>35</v>
      </c>
      <c r="HK13" s="178">
        <v>34</v>
      </c>
      <c r="HL13" s="178">
        <v>34</v>
      </c>
      <c r="HM13" s="178">
        <v>37</v>
      </c>
      <c r="HN13" s="186">
        <v>15</v>
      </c>
      <c r="HO13" s="187">
        <v>1.8773466833541929E-2</v>
      </c>
      <c r="HP13" s="217">
        <v>1264</v>
      </c>
      <c r="HQ13" s="217">
        <v>1157</v>
      </c>
      <c r="HR13" s="217">
        <v>107</v>
      </c>
      <c r="HS13" s="1704">
        <v>8.4651898734177208E-2</v>
      </c>
    </row>
    <row r="14" spans="1:227" ht="13.8" customHeight="1" x14ac:dyDescent="0.25">
      <c r="A14" s="183" t="s">
        <v>432</v>
      </c>
      <c r="B14" s="183"/>
      <c r="C14" s="183" t="s">
        <v>429</v>
      </c>
      <c r="D14" s="183" t="s">
        <v>676</v>
      </c>
      <c r="E14" s="183" t="s">
        <v>100</v>
      </c>
      <c r="F14" s="183" t="s">
        <v>489</v>
      </c>
      <c r="G14" s="183" t="s">
        <v>454</v>
      </c>
      <c r="H14" s="183" t="s">
        <v>129</v>
      </c>
      <c r="I14" s="183" t="s">
        <v>130</v>
      </c>
      <c r="J14" s="183" t="s">
        <v>704</v>
      </c>
      <c r="K14" s="183" t="s">
        <v>128</v>
      </c>
      <c r="L14" s="184">
        <v>19585</v>
      </c>
      <c r="M14" s="184">
        <v>19635</v>
      </c>
      <c r="N14" s="184">
        <v>19660</v>
      </c>
      <c r="O14" s="184">
        <v>19650</v>
      </c>
      <c r="P14" s="184">
        <v>19765</v>
      </c>
      <c r="Q14" s="184">
        <v>19785</v>
      </c>
      <c r="R14" s="184">
        <v>19715</v>
      </c>
      <c r="S14" s="184">
        <v>19595</v>
      </c>
      <c r="T14" s="184">
        <v>19835</v>
      </c>
      <c r="U14" s="184">
        <v>20120</v>
      </c>
      <c r="V14" s="184">
        <v>800</v>
      </c>
      <c r="W14" s="184">
        <v>785</v>
      </c>
      <c r="X14" s="184">
        <v>770</v>
      </c>
      <c r="Y14" s="184">
        <v>780</v>
      </c>
      <c r="Z14" s="184">
        <v>785</v>
      </c>
      <c r="AA14" s="184">
        <v>795</v>
      </c>
      <c r="AB14" s="184">
        <v>840</v>
      </c>
      <c r="AC14" s="184">
        <v>815</v>
      </c>
      <c r="AD14" s="184">
        <v>905</v>
      </c>
      <c r="AE14" s="184">
        <v>970</v>
      </c>
      <c r="AF14" s="187">
        <v>0.91389913899138986</v>
      </c>
      <c r="AG14" s="187">
        <v>4.3050430504305043E-2</v>
      </c>
      <c r="AH14" s="187">
        <v>2.4600246002460024E-2</v>
      </c>
      <c r="AI14" s="187">
        <v>1.3530135301353014E-2</v>
      </c>
      <c r="AJ14" s="187">
        <v>2.4600246002460025E-3</v>
      </c>
      <c r="AK14" s="187">
        <v>2.4600246002460025E-3</v>
      </c>
      <c r="AL14" s="187">
        <v>8.6100861008610086E-2</v>
      </c>
      <c r="AM14" s="184">
        <v>1660</v>
      </c>
      <c r="AN14" s="187">
        <v>0.68471720818291215</v>
      </c>
      <c r="AO14" s="187">
        <v>6.3778580024067388E-2</v>
      </c>
      <c r="AP14" s="187">
        <v>0.25150421179302046</v>
      </c>
      <c r="AQ14" s="184">
        <v>140</v>
      </c>
      <c r="AR14" s="184">
        <v>159</v>
      </c>
      <c r="AS14" s="184">
        <v>169</v>
      </c>
      <c r="AT14" s="184">
        <v>163</v>
      </c>
      <c r="AU14" s="184">
        <v>155</v>
      </c>
      <c r="AV14" s="186">
        <v>10</v>
      </c>
      <c r="AW14" s="186">
        <v>9</v>
      </c>
      <c r="AX14" s="186">
        <v>9</v>
      </c>
      <c r="AY14" s="186">
        <v>9</v>
      </c>
      <c r="AZ14" s="186">
        <v>6</v>
      </c>
      <c r="BA14" s="186">
        <v>13</v>
      </c>
      <c r="BB14" s="187">
        <v>8.387096774193549E-2</v>
      </c>
      <c r="BC14" s="187">
        <v>4.9668328719835564E-2</v>
      </c>
      <c r="BD14" s="187">
        <v>0.13820112955793193</v>
      </c>
      <c r="BE14" s="193">
        <v>17</v>
      </c>
      <c r="BF14" s="184">
        <v>250</v>
      </c>
      <c r="BG14" s="184">
        <v>266</v>
      </c>
      <c r="BH14" s="184">
        <v>117</v>
      </c>
      <c r="BI14" s="184">
        <v>0.12501869560446638</v>
      </c>
      <c r="BJ14" s="184">
        <v>1883</v>
      </c>
      <c r="BK14" s="184">
        <v>3273</v>
      </c>
      <c r="BL14" s="186">
        <v>1896</v>
      </c>
      <c r="BM14" s="186">
        <v>1082</v>
      </c>
      <c r="BN14" s="186">
        <v>0</v>
      </c>
      <c r="BO14" s="186">
        <v>244</v>
      </c>
      <c r="BP14" s="186">
        <v>431</v>
      </c>
      <c r="BQ14" s="186">
        <v>139</v>
      </c>
      <c r="BR14" s="193">
        <v>105</v>
      </c>
      <c r="BS14" s="193">
        <v>115</v>
      </c>
      <c r="BT14" s="193">
        <v>95</v>
      </c>
      <c r="BU14" s="186">
        <v>430</v>
      </c>
      <c r="BV14" s="186">
        <v>125</v>
      </c>
      <c r="BW14" s="222">
        <f t="shared" si="6"/>
        <v>0.29069767441860467</v>
      </c>
      <c r="BX14" s="186">
        <v>47</v>
      </c>
      <c r="BY14" s="193">
        <v>5</v>
      </c>
      <c r="BZ14" s="1676">
        <v>294</v>
      </c>
      <c r="CA14" s="222">
        <v>3.4154275092936802E-2</v>
      </c>
      <c r="CB14" s="200">
        <v>130</v>
      </c>
      <c r="CC14" s="200">
        <v>140</v>
      </c>
      <c r="CD14" s="200">
        <v>150</v>
      </c>
      <c r="CE14" s="200">
        <v>170</v>
      </c>
      <c r="CF14" s="186">
        <v>325</v>
      </c>
      <c r="CG14" s="187">
        <v>0.13775000000000001</v>
      </c>
      <c r="CH14" s="186">
        <v>350</v>
      </c>
      <c r="CI14" s="187">
        <v>0.11091666666666668</v>
      </c>
      <c r="CJ14" s="186">
        <v>355</v>
      </c>
      <c r="CK14" s="187">
        <v>0.12124999999999998</v>
      </c>
      <c r="CL14" s="186">
        <v>345</v>
      </c>
      <c r="CM14" s="187">
        <v>0.1205</v>
      </c>
      <c r="CN14" s="186">
        <v>395</v>
      </c>
      <c r="CO14" s="187">
        <v>0.11575000000000002</v>
      </c>
      <c r="CP14" s="186">
        <v>390</v>
      </c>
      <c r="CQ14" s="187">
        <v>0.13287904599659284</v>
      </c>
      <c r="CR14" s="184">
        <v>178</v>
      </c>
      <c r="CS14" s="184">
        <v>6</v>
      </c>
      <c r="CT14" s="184">
        <v>172</v>
      </c>
      <c r="CU14" s="187">
        <v>0.95942668442668444</v>
      </c>
      <c r="CV14" s="186">
        <v>68</v>
      </c>
      <c r="CW14" s="186">
        <v>81</v>
      </c>
      <c r="CX14" s="187">
        <v>0.43205756661639017</v>
      </c>
      <c r="CY14" s="187">
        <v>0.49128645047762698</v>
      </c>
      <c r="CZ14" s="187">
        <v>0.32533233499934777</v>
      </c>
      <c r="DA14" s="187">
        <v>0.46993795371504055</v>
      </c>
      <c r="DB14" s="187">
        <v>0.39778405133173356</v>
      </c>
      <c r="DC14" s="187">
        <v>0.54534658442226325</v>
      </c>
      <c r="DD14" s="182">
        <v>149</v>
      </c>
      <c r="DE14" s="182">
        <v>10</v>
      </c>
      <c r="DF14" s="143">
        <v>6.7114093959731544E-2</v>
      </c>
      <c r="DG14" s="143">
        <v>3.6860340607094678E-2</v>
      </c>
      <c r="DH14" s="143">
        <v>0.11912782519982631</v>
      </c>
      <c r="DI14" s="178" t="str">
        <f t="shared" si="0"/>
        <v>No Sig diff</v>
      </c>
      <c r="DJ14" s="182">
        <v>179</v>
      </c>
      <c r="DK14" s="182">
        <v>16</v>
      </c>
      <c r="DL14" s="143">
        <v>8.9385474860335198E-2</v>
      </c>
      <c r="DM14" s="143">
        <v>5.5768700800059426E-2</v>
      </c>
      <c r="DN14" s="143">
        <v>0.14025609057858804</v>
      </c>
      <c r="DO14" s="178" t="str">
        <f t="shared" si="1"/>
        <v>No Sig diff</v>
      </c>
      <c r="DP14" s="183">
        <v>138</v>
      </c>
      <c r="DQ14" s="183">
        <v>15</v>
      </c>
      <c r="DR14" s="143">
        <v>0.10869565217391304</v>
      </c>
      <c r="DS14" s="143">
        <v>6.6985397787695536E-2</v>
      </c>
      <c r="DT14" s="143">
        <v>0.17160111353318763</v>
      </c>
      <c r="DU14" s="178" t="str">
        <f t="shared" si="7"/>
        <v>No Sig diff</v>
      </c>
      <c r="DV14" s="178">
        <v>191</v>
      </c>
      <c r="DW14" s="178">
        <v>18</v>
      </c>
      <c r="DX14" s="179">
        <v>9.4240837696335081E-2</v>
      </c>
      <c r="DY14" s="179">
        <v>6.0444414831651493E-2</v>
      </c>
      <c r="DZ14" s="179">
        <v>0.14403700848472206</v>
      </c>
      <c r="EA14" s="178" t="str">
        <f t="shared" si="2"/>
        <v>No Sig diff</v>
      </c>
      <c r="EB14" s="178">
        <v>175</v>
      </c>
      <c r="EC14" s="178">
        <v>22</v>
      </c>
      <c r="ED14" s="143">
        <v>0.12571428571428572</v>
      </c>
      <c r="EE14" s="143">
        <v>8.4504753621622061E-2</v>
      </c>
      <c r="EF14" s="143">
        <v>0.18300289888897292</v>
      </c>
      <c r="EG14" s="178" t="str">
        <f t="shared" si="3"/>
        <v>Sig better than Eng.</v>
      </c>
      <c r="EH14" s="178">
        <v>136</v>
      </c>
      <c r="EI14" s="178">
        <v>24</v>
      </c>
      <c r="EJ14" s="143">
        <v>0.17647058823529413</v>
      </c>
      <c r="EK14" s="143">
        <v>0.12155217401413997</v>
      </c>
      <c r="EL14" s="143">
        <v>0.24916377287229574</v>
      </c>
      <c r="EM14" s="178" t="str">
        <f t="shared" si="8"/>
        <v>No Sig diff</v>
      </c>
      <c r="EN14" s="183">
        <v>155</v>
      </c>
      <c r="EO14" s="183">
        <v>19</v>
      </c>
      <c r="EP14" s="197">
        <v>0.12258064516129032</v>
      </c>
      <c r="EQ14" s="179">
        <v>7.9896668098098103E-2</v>
      </c>
      <c r="ER14" s="179">
        <v>0.18351981731662126</v>
      </c>
      <c r="ES14" s="178" t="str">
        <f t="shared" si="9"/>
        <v>Sig better than Eng.</v>
      </c>
      <c r="ET14" s="206">
        <v>164</v>
      </c>
      <c r="EU14" s="206">
        <v>23</v>
      </c>
      <c r="EV14" s="179">
        <v>0.1402439024390244</v>
      </c>
      <c r="EW14" s="179">
        <v>9.5303919572450629E-2</v>
      </c>
      <c r="EX14" s="179">
        <v>0.20165166679396676</v>
      </c>
      <c r="EY14" s="178" t="str">
        <f t="shared" si="10"/>
        <v>No Sig diff</v>
      </c>
      <c r="EZ14" s="207">
        <v>190</v>
      </c>
      <c r="FA14" s="186">
        <v>81</v>
      </c>
      <c r="FB14" s="187">
        <v>0.4263157894736842</v>
      </c>
      <c r="FC14" s="187">
        <v>0.35814185509394658</v>
      </c>
      <c r="FD14" s="187">
        <v>0.49741020187906476</v>
      </c>
      <c r="FE14" s="208">
        <v>190</v>
      </c>
      <c r="FF14" s="209">
        <v>33</v>
      </c>
      <c r="FG14" s="208">
        <v>38</v>
      </c>
      <c r="FH14" s="209">
        <v>22.763157894736842</v>
      </c>
      <c r="FI14" s="187">
        <f t="shared" si="11"/>
        <v>0.31020733652312599</v>
      </c>
      <c r="FJ14" s="186">
        <v>198</v>
      </c>
      <c r="FK14" s="186">
        <v>99</v>
      </c>
      <c r="FL14" s="187">
        <v>0.5</v>
      </c>
      <c r="FM14" s="187">
        <v>0.43102163323431003</v>
      </c>
      <c r="FN14" s="187">
        <v>0.56897836676569002</v>
      </c>
      <c r="FO14" s="198">
        <v>198</v>
      </c>
      <c r="FP14" s="199">
        <v>33.5</v>
      </c>
      <c r="FQ14" s="198">
        <v>39</v>
      </c>
      <c r="FR14" s="199">
        <v>22.179487179487182</v>
      </c>
      <c r="FS14" s="210">
        <v>0.33792575583620349</v>
      </c>
      <c r="FT14" s="200">
        <v>2287</v>
      </c>
      <c r="FU14" s="200">
        <v>2241</v>
      </c>
      <c r="FV14" s="200">
        <v>46</v>
      </c>
      <c r="FW14" s="200">
        <v>33</v>
      </c>
      <c r="FX14" s="200">
        <v>13</v>
      </c>
      <c r="FY14" s="187">
        <f t="shared" si="4"/>
        <v>0.71739130434782605</v>
      </c>
      <c r="FZ14" s="187">
        <f t="shared" si="5"/>
        <v>0.28260869565217389</v>
      </c>
      <c r="GA14" s="197">
        <v>0.88842592592592595</v>
      </c>
      <c r="GB14" s="197">
        <v>0.11157407407407409</v>
      </c>
      <c r="GC14" s="197">
        <v>6.3644792722440502E-2</v>
      </c>
      <c r="GD14" s="197">
        <v>0.19880765197250103</v>
      </c>
      <c r="GE14" s="197">
        <v>0.88981481481481473</v>
      </c>
      <c r="GF14" s="197">
        <v>0.11018518518518521</v>
      </c>
      <c r="GG14" s="197">
        <v>6.3644792722440502E-2</v>
      </c>
      <c r="GH14" s="197">
        <v>0.19880765197250103</v>
      </c>
      <c r="GI14" s="197">
        <v>0.88796296296296306</v>
      </c>
      <c r="GJ14" s="197">
        <v>0.11203703703703703</v>
      </c>
      <c r="GK14" s="197">
        <v>6.3644792722440502E-2</v>
      </c>
      <c r="GL14" s="197">
        <v>0.19880765197250103</v>
      </c>
      <c r="GM14" s="197">
        <v>0.77314814814814803</v>
      </c>
      <c r="GN14" s="197">
        <v>0.22685185185185186</v>
      </c>
      <c r="GO14" s="197">
        <v>0.1733308743374927</v>
      </c>
      <c r="GP14" s="197">
        <v>0.35331770957120112</v>
      </c>
      <c r="GQ14" s="186">
        <v>41</v>
      </c>
      <c r="GR14" s="186">
        <v>39</v>
      </c>
      <c r="GS14" s="178">
        <v>39</v>
      </c>
      <c r="GT14" s="178">
        <v>40</v>
      </c>
      <c r="GU14" s="178">
        <v>40</v>
      </c>
      <c r="GV14" s="178">
        <v>51</v>
      </c>
      <c r="GW14" s="178">
        <v>50</v>
      </c>
      <c r="GX14" s="178">
        <v>51</v>
      </c>
      <c r="GY14" s="178">
        <v>50</v>
      </c>
      <c r="GZ14" s="178">
        <v>51</v>
      </c>
      <c r="HA14" s="178">
        <v>51</v>
      </c>
      <c r="HB14" s="178">
        <v>50</v>
      </c>
      <c r="HC14" s="178">
        <v>51</v>
      </c>
      <c r="HD14" s="178">
        <v>58</v>
      </c>
      <c r="HE14" s="178">
        <v>57</v>
      </c>
      <c r="HF14" s="178">
        <v>56</v>
      </c>
      <c r="HG14" s="178">
        <v>53</v>
      </c>
      <c r="HH14" s="178">
        <v>56</v>
      </c>
      <c r="HI14" s="178">
        <v>56</v>
      </c>
      <c r="HJ14" s="178">
        <v>53</v>
      </c>
      <c r="HK14" s="178">
        <v>55</v>
      </c>
      <c r="HL14" s="178">
        <v>54</v>
      </c>
      <c r="HM14" s="178">
        <v>57</v>
      </c>
      <c r="HN14" s="186">
        <v>22</v>
      </c>
      <c r="HO14" s="187">
        <v>2.7060270602706028E-2</v>
      </c>
      <c r="HP14" s="217">
        <v>1298</v>
      </c>
      <c r="HQ14" s="217">
        <v>1163</v>
      </c>
      <c r="HR14" s="217">
        <v>135</v>
      </c>
      <c r="HS14" s="1704">
        <v>0.10400616332819723</v>
      </c>
    </row>
    <row r="15" spans="1:227" ht="13.8" customHeight="1" x14ac:dyDescent="0.25">
      <c r="A15" s="183" t="s">
        <v>48</v>
      </c>
      <c r="B15" s="183"/>
      <c r="C15" s="183" t="s">
        <v>37</v>
      </c>
      <c r="D15" s="183" t="s">
        <v>37</v>
      </c>
      <c r="E15" s="183" t="s">
        <v>37</v>
      </c>
      <c r="F15" s="183" t="s">
        <v>138</v>
      </c>
      <c r="G15" s="183" t="s">
        <v>484</v>
      </c>
      <c r="H15" s="183" t="s">
        <v>37</v>
      </c>
      <c r="I15" s="183" t="s">
        <v>127</v>
      </c>
      <c r="J15" s="183" t="s">
        <v>704</v>
      </c>
      <c r="K15" s="183" t="s">
        <v>133</v>
      </c>
      <c r="L15" s="184">
        <v>20260</v>
      </c>
      <c r="M15" s="184">
        <v>20380</v>
      </c>
      <c r="N15" s="184">
        <v>20385</v>
      </c>
      <c r="O15" s="184">
        <v>20465</v>
      </c>
      <c r="P15" s="184">
        <v>20610</v>
      </c>
      <c r="Q15" s="184">
        <v>20715</v>
      </c>
      <c r="R15" s="184">
        <v>20880</v>
      </c>
      <c r="S15" s="184">
        <v>21010</v>
      </c>
      <c r="T15" s="184">
        <v>21080</v>
      </c>
      <c r="U15" s="184">
        <v>21065</v>
      </c>
      <c r="V15" s="184">
        <v>990</v>
      </c>
      <c r="W15" s="184">
        <v>980</v>
      </c>
      <c r="X15" s="184">
        <v>975</v>
      </c>
      <c r="Y15" s="184">
        <v>970</v>
      </c>
      <c r="Z15" s="184">
        <v>1010</v>
      </c>
      <c r="AA15" s="184">
        <v>970</v>
      </c>
      <c r="AB15" s="184">
        <v>1000</v>
      </c>
      <c r="AC15" s="184">
        <v>1030</v>
      </c>
      <c r="AD15" s="184">
        <v>1000</v>
      </c>
      <c r="AE15" s="184">
        <v>970</v>
      </c>
      <c r="AF15" s="187">
        <v>0.90761904761904766</v>
      </c>
      <c r="AG15" s="187">
        <v>2.6666666666666668E-2</v>
      </c>
      <c r="AH15" s="187">
        <v>5.3333333333333337E-2</v>
      </c>
      <c r="AI15" s="187">
        <v>9.5238095238095247E-3</v>
      </c>
      <c r="AJ15" s="187">
        <v>9.5238095238095238E-4</v>
      </c>
      <c r="AK15" s="187">
        <v>1.9047619047619048E-3</v>
      </c>
      <c r="AL15" s="187">
        <v>9.2380952380952383E-2</v>
      </c>
      <c r="AM15" s="184">
        <v>2130</v>
      </c>
      <c r="AN15" s="187">
        <v>0.784037558685446</v>
      </c>
      <c r="AO15" s="187">
        <v>3.5680751173708919E-2</v>
      </c>
      <c r="AP15" s="187">
        <v>0.18028169014084508</v>
      </c>
      <c r="AQ15" s="184">
        <v>189</v>
      </c>
      <c r="AR15" s="184">
        <v>158</v>
      </c>
      <c r="AS15" s="184">
        <v>178</v>
      </c>
      <c r="AT15" s="184">
        <v>153</v>
      </c>
      <c r="AU15" s="184">
        <v>160</v>
      </c>
      <c r="AV15" s="186">
        <v>4</v>
      </c>
      <c r="AW15" s="186">
        <v>8</v>
      </c>
      <c r="AX15" s="186">
        <v>7</v>
      </c>
      <c r="AY15" s="186">
        <v>3</v>
      </c>
      <c r="AZ15" s="186">
        <v>5</v>
      </c>
      <c r="BA15" s="186">
        <v>7</v>
      </c>
      <c r="BB15" s="187">
        <v>4.3749999999999997E-2</v>
      </c>
      <c r="BC15" s="187">
        <v>2.1351611551534529E-2</v>
      </c>
      <c r="BD15" s="187">
        <v>8.7543041542463937E-2</v>
      </c>
      <c r="BE15" s="193">
        <v>13</v>
      </c>
      <c r="BF15" s="184">
        <v>329</v>
      </c>
      <c r="BG15" s="184">
        <v>333</v>
      </c>
      <c r="BH15" s="184">
        <v>143</v>
      </c>
      <c r="BI15" s="184">
        <v>0.1346246371384921</v>
      </c>
      <c r="BJ15" s="184">
        <v>2320</v>
      </c>
      <c r="BK15" s="184">
        <v>4068</v>
      </c>
      <c r="BL15" s="186">
        <v>2557</v>
      </c>
      <c r="BM15" s="186">
        <v>1588</v>
      </c>
      <c r="BN15" s="186">
        <v>2</v>
      </c>
      <c r="BO15" s="186">
        <v>322</v>
      </c>
      <c r="BP15" s="186">
        <v>476</v>
      </c>
      <c r="BQ15" s="186">
        <v>169</v>
      </c>
      <c r="BR15" s="193">
        <v>100</v>
      </c>
      <c r="BS15" s="193">
        <v>90</v>
      </c>
      <c r="BT15" s="193">
        <v>45</v>
      </c>
      <c r="BU15" s="186">
        <v>371</v>
      </c>
      <c r="BV15" s="186">
        <v>99</v>
      </c>
      <c r="BW15" s="222">
        <f t="shared" si="6"/>
        <v>0.26684636118598382</v>
      </c>
      <c r="BX15" s="186">
        <v>34</v>
      </c>
      <c r="BY15" s="193">
        <v>8</v>
      </c>
      <c r="BZ15" s="1676">
        <v>215</v>
      </c>
      <c r="CA15" s="222">
        <v>2.387827632163483E-2</v>
      </c>
      <c r="CB15" s="200">
        <v>115</v>
      </c>
      <c r="CC15" s="200">
        <v>115</v>
      </c>
      <c r="CD15" s="200">
        <v>110</v>
      </c>
      <c r="CE15" s="200">
        <v>85</v>
      </c>
      <c r="CF15" s="186">
        <v>285</v>
      </c>
      <c r="CG15" s="187">
        <v>7.3857142857142857E-2</v>
      </c>
      <c r="CH15" s="186">
        <v>250</v>
      </c>
      <c r="CI15" s="187">
        <v>7.3428571428571426E-2</v>
      </c>
      <c r="CJ15" s="186">
        <v>285</v>
      </c>
      <c r="CK15" s="187">
        <v>8.1500000000000003E-2</v>
      </c>
      <c r="CL15" s="186">
        <v>255</v>
      </c>
      <c r="CM15" s="187">
        <v>7.3785714285714274E-2</v>
      </c>
      <c r="CN15" s="186">
        <v>260</v>
      </c>
      <c r="CO15" s="187">
        <v>8.4642857142857145E-2</v>
      </c>
      <c r="CP15" s="186">
        <v>255</v>
      </c>
      <c r="CQ15" s="187">
        <v>7.5667655786350152E-2</v>
      </c>
      <c r="CR15" s="184">
        <v>170</v>
      </c>
      <c r="CS15" s="184">
        <v>8</v>
      </c>
      <c r="CT15" s="184">
        <v>162</v>
      </c>
      <c r="CU15" s="187">
        <v>0.95496987256441046</v>
      </c>
      <c r="CV15" s="186">
        <v>58</v>
      </c>
      <c r="CW15" s="186">
        <v>84</v>
      </c>
      <c r="CX15" s="187">
        <v>0.40838999935638592</v>
      </c>
      <c r="CY15" s="187">
        <v>0.5585264875180842</v>
      </c>
      <c r="CZ15" s="187">
        <v>0.28827262158110739</v>
      </c>
      <c r="DA15" s="187">
        <v>0.43435427058587606</v>
      </c>
      <c r="DB15" s="187">
        <v>0.44204148501870449</v>
      </c>
      <c r="DC15" s="187">
        <v>0.59413761600299331</v>
      </c>
      <c r="DD15" s="182">
        <v>149</v>
      </c>
      <c r="DE15" s="182">
        <v>12</v>
      </c>
      <c r="DF15" s="143">
        <v>8.0536912751677847E-2</v>
      </c>
      <c r="DG15" s="143">
        <v>4.6668847532353522E-2</v>
      </c>
      <c r="DH15" s="143">
        <v>0.13549022786194978</v>
      </c>
      <c r="DI15" s="178" t="str">
        <f t="shared" si="0"/>
        <v>No Sig diff</v>
      </c>
      <c r="DJ15" s="182">
        <v>195</v>
      </c>
      <c r="DK15" s="182">
        <v>12</v>
      </c>
      <c r="DL15" s="143">
        <v>6.1538461538461542E-2</v>
      </c>
      <c r="DM15" s="143">
        <v>3.5549562909461881E-2</v>
      </c>
      <c r="DN15" s="143">
        <v>0.10446881648595506</v>
      </c>
      <c r="DO15" s="178" t="str">
        <f t="shared" si="1"/>
        <v>No Sig diff</v>
      </c>
      <c r="DP15" s="183">
        <v>178</v>
      </c>
      <c r="DQ15" s="183">
        <v>11</v>
      </c>
      <c r="DR15" s="143">
        <v>6.1797752808988762E-2</v>
      </c>
      <c r="DS15" s="143">
        <v>3.4853872292265949E-2</v>
      </c>
      <c r="DT15" s="143">
        <v>0.1072559578217525</v>
      </c>
      <c r="DU15" s="178" t="str">
        <f t="shared" si="7"/>
        <v>No Sig diff</v>
      </c>
      <c r="DV15" s="178">
        <v>217</v>
      </c>
      <c r="DW15" s="178">
        <v>25</v>
      </c>
      <c r="DX15" s="179">
        <v>0.1152073732718894</v>
      </c>
      <c r="DY15" s="179">
        <v>7.9263660950678702E-2</v>
      </c>
      <c r="DZ15" s="179">
        <v>0.16453774802483956</v>
      </c>
      <c r="EA15" s="178" t="str">
        <f t="shared" si="2"/>
        <v>No Sig diff</v>
      </c>
      <c r="EB15" s="178">
        <v>202</v>
      </c>
      <c r="EC15" s="178">
        <v>26</v>
      </c>
      <c r="ED15" s="143">
        <v>0.12871287128712872</v>
      </c>
      <c r="EE15" s="143">
        <v>8.9372024897603541E-2</v>
      </c>
      <c r="EF15" s="143">
        <v>0.18191180266862503</v>
      </c>
      <c r="EG15" s="178" t="str">
        <f t="shared" si="3"/>
        <v>Sig better than Eng.</v>
      </c>
      <c r="EH15" s="178">
        <v>198</v>
      </c>
      <c r="EI15" s="178">
        <v>24</v>
      </c>
      <c r="EJ15" s="143">
        <v>0.12121212121212122</v>
      </c>
      <c r="EK15" s="143">
        <v>8.2822315097491175E-2</v>
      </c>
      <c r="EL15" s="143">
        <v>0.17402015484693928</v>
      </c>
      <c r="EM15" s="178" t="str">
        <f t="shared" si="8"/>
        <v>Sig better than Eng.</v>
      </c>
      <c r="EN15" s="183">
        <v>168</v>
      </c>
      <c r="EO15" s="183">
        <v>21</v>
      </c>
      <c r="EP15" s="197">
        <v>0.125</v>
      </c>
      <c r="EQ15" s="179">
        <v>8.3230069008517427E-2</v>
      </c>
      <c r="ER15" s="179">
        <v>0.18353593225388359</v>
      </c>
      <c r="ES15" s="178" t="str">
        <f t="shared" si="9"/>
        <v>Sig better than Eng.</v>
      </c>
      <c r="ET15" s="206">
        <v>171</v>
      </c>
      <c r="EU15" s="206">
        <v>29</v>
      </c>
      <c r="EV15" s="179">
        <v>0.16959064327485379</v>
      </c>
      <c r="EW15" s="179">
        <v>0.12075302396653985</v>
      </c>
      <c r="EX15" s="179">
        <v>0.23294717527576139</v>
      </c>
      <c r="EY15" s="178" t="str">
        <f t="shared" si="10"/>
        <v>No Sig diff</v>
      </c>
      <c r="EZ15" s="207">
        <v>231</v>
      </c>
      <c r="FA15" s="186">
        <v>132</v>
      </c>
      <c r="FB15" s="187">
        <v>0.5714285714285714</v>
      </c>
      <c r="FC15" s="187">
        <v>0.50695673142312703</v>
      </c>
      <c r="FD15" s="187">
        <v>0.63356360159522707</v>
      </c>
      <c r="FE15" s="208">
        <v>231</v>
      </c>
      <c r="FF15" s="209">
        <v>34</v>
      </c>
      <c r="FG15" s="208">
        <v>46</v>
      </c>
      <c r="FH15" s="209">
        <v>24.978260869565222</v>
      </c>
      <c r="FI15" s="187">
        <f t="shared" si="11"/>
        <v>0.26534526854219936</v>
      </c>
      <c r="FJ15" s="186">
        <v>203</v>
      </c>
      <c r="FK15" s="186">
        <v>123</v>
      </c>
      <c r="FL15" s="187">
        <v>0.60591133004926112</v>
      </c>
      <c r="FM15" s="187">
        <v>0.53732196053928849</v>
      </c>
      <c r="FN15" s="187">
        <v>0.6705667298865301</v>
      </c>
      <c r="FO15" s="198">
        <v>203</v>
      </c>
      <c r="FP15" s="199">
        <v>34</v>
      </c>
      <c r="FQ15" s="198">
        <v>40</v>
      </c>
      <c r="FR15" s="199">
        <v>25.949999999999996</v>
      </c>
      <c r="FS15" s="210">
        <v>0.23676470588235307</v>
      </c>
      <c r="FT15" s="200">
        <v>2959</v>
      </c>
      <c r="FU15" s="200">
        <v>2944</v>
      </c>
      <c r="FV15" s="200">
        <v>15</v>
      </c>
      <c r="FW15" s="200">
        <v>13</v>
      </c>
      <c r="FX15" s="200">
        <v>2</v>
      </c>
      <c r="FY15" s="187">
        <f t="shared" si="4"/>
        <v>0.8666666666666667</v>
      </c>
      <c r="FZ15" s="187">
        <f t="shared" si="5"/>
        <v>0.13333333333333333</v>
      </c>
      <c r="GA15" s="197"/>
      <c r="GB15" s="197">
        <v>0.12328767123287671</v>
      </c>
      <c r="GC15" s="197">
        <v>6.6236761640452516E-2</v>
      </c>
      <c r="GD15" s="197">
        <v>0.21800510734717918</v>
      </c>
      <c r="GE15" s="197"/>
      <c r="GF15" s="197">
        <v>9.5890410958904104E-2</v>
      </c>
      <c r="GG15" s="197">
        <v>4.7228354329351081E-2</v>
      </c>
      <c r="GH15" s="197">
        <v>0.18495837785738112</v>
      </c>
      <c r="GI15" s="197"/>
      <c r="GJ15" s="197">
        <v>0.1095890410958904</v>
      </c>
      <c r="GK15" s="197">
        <v>5.6586041610119112E-2</v>
      </c>
      <c r="GL15" s="197">
        <v>0.20162825897706282</v>
      </c>
      <c r="GM15" s="197"/>
      <c r="GN15" s="197">
        <v>0.19444444444444445</v>
      </c>
      <c r="GO15" s="197">
        <v>0.11951371043417636</v>
      </c>
      <c r="GP15" s="197">
        <v>0.30032975278389923</v>
      </c>
      <c r="GQ15" s="186">
        <v>40</v>
      </c>
      <c r="GR15" s="186">
        <v>39</v>
      </c>
      <c r="GS15" s="178">
        <v>37</v>
      </c>
      <c r="GT15" s="178">
        <v>40</v>
      </c>
      <c r="GU15" s="178">
        <v>40</v>
      </c>
      <c r="GV15" s="178">
        <v>51</v>
      </c>
      <c r="GW15" s="178">
        <v>49</v>
      </c>
      <c r="GX15" s="178">
        <v>48</v>
      </c>
      <c r="GY15" s="178">
        <v>49</v>
      </c>
      <c r="GZ15" s="178">
        <v>48</v>
      </c>
      <c r="HA15" s="178">
        <v>48</v>
      </c>
      <c r="HB15" s="178">
        <v>49</v>
      </c>
      <c r="HC15" s="178">
        <v>49</v>
      </c>
      <c r="HD15" s="178">
        <v>55</v>
      </c>
      <c r="HE15" s="178">
        <v>51</v>
      </c>
      <c r="HF15" s="178">
        <v>50</v>
      </c>
      <c r="HG15" s="178">
        <v>50</v>
      </c>
      <c r="HH15" s="178">
        <v>52</v>
      </c>
      <c r="HI15" s="178">
        <v>52</v>
      </c>
      <c r="HJ15" s="178">
        <v>49</v>
      </c>
      <c r="HK15" s="178">
        <v>53</v>
      </c>
      <c r="HL15" s="178">
        <v>50</v>
      </c>
      <c r="HM15" s="178">
        <v>52</v>
      </c>
      <c r="HN15" s="186">
        <v>18</v>
      </c>
      <c r="HO15" s="187">
        <v>1.7142857142857144E-2</v>
      </c>
      <c r="HP15" s="217">
        <v>1644</v>
      </c>
      <c r="HQ15" s="217">
        <v>1493</v>
      </c>
      <c r="HR15" s="217">
        <v>151</v>
      </c>
      <c r="HS15" s="1704">
        <v>9.1849148418491483E-2</v>
      </c>
    </row>
    <row r="16" spans="1:227" ht="13.8" customHeight="1" x14ac:dyDescent="0.25">
      <c r="A16" s="183" t="s">
        <v>612</v>
      </c>
      <c r="B16" s="183"/>
      <c r="C16" s="183" t="s">
        <v>37</v>
      </c>
      <c r="D16" s="183" t="s">
        <v>37</v>
      </c>
      <c r="E16" s="183" t="s">
        <v>37</v>
      </c>
      <c r="F16" s="183" t="s">
        <v>138</v>
      </c>
      <c r="G16" s="183" t="s">
        <v>486</v>
      </c>
      <c r="H16" s="183" t="s">
        <v>37</v>
      </c>
      <c r="I16" s="183" t="s">
        <v>127</v>
      </c>
      <c r="J16" s="183" t="s">
        <v>704</v>
      </c>
      <c r="K16" s="183" t="s">
        <v>133</v>
      </c>
      <c r="L16" s="184">
        <v>23280</v>
      </c>
      <c r="M16" s="184">
        <v>23505</v>
      </c>
      <c r="N16" s="184">
        <v>23940</v>
      </c>
      <c r="O16" s="184">
        <v>24325</v>
      </c>
      <c r="P16" s="184">
        <v>24680</v>
      </c>
      <c r="Q16" s="184">
        <v>24925</v>
      </c>
      <c r="R16" s="184">
        <v>25605</v>
      </c>
      <c r="S16" s="184">
        <v>26230</v>
      </c>
      <c r="T16" s="184">
        <v>26505</v>
      </c>
      <c r="U16" s="184">
        <v>26715</v>
      </c>
      <c r="V16" s="184">
        <v>1165</v>
      </c>
      <c r="W16" s="184">
        <v>1230</v>
      </c>
      <c r="X16" s="184">
        <v>1310</v>
      </c>
      <c r="Y16" s="184">
        <v>1420</v>
      </c>
      <c r="Z16" s="184">
        <v>1490</v>
      </c>
      <c r="AA16" s="184">
        <v>1510</v>
      </c>
      <c r="AB16" s="184">
        <v>1600</v>
      </c>
      <c r="AC16" s="184">
        <v>1685</v>
      </c>
      <c r="AD16" s="184">
        <v>1730</v>
      </c>
      <c r="AE16" s="184">
        <v>1725</v>
      </c>
      <c r="AF16" s="187">
        <v>0.76271186440677963</v>
      </c>
      <c r="AG16" s="187">
        <v>5.5084745762711863E-2</v>
      </c>
      <c r="AH16" s="187">
        <v>7.8087167070217914E-2</v>
      </c>
      <c r="AI16" s="187">
        <v>8.4140435835351093E-2</v>
      </c>
      <c r="AJ16" s="187">
        <v>1.2711864406779662E-2</v>
      </c>
      <c r="AK16" s="187">
        <v>7.2639225181598066E-3</v>
      </c>
      <c r="AL16" s="187">
        <v>0.23728813559322035</v>
      </c>
      <c r="AM16" s="184">
        <v>2740</v>
      </c>
      <c r="AN16" s="187">
        <v>0.49069003285870755</v>
      </c>
      <c r="AO16" s="187">
        <v>0.14603870025556773</v>
      </c>
      <c r="AP16" s="187">
        <v>0.3632712668857247</v>
      </c>
      <c r="AQ16" s="184">
        <v>329</v>
      </c>
      <c r="AR16" s="184">
        <v>338</v>
      </c>
      <c r="AS16" s="184">
        <v>395</v>
      </c>
      <c r="AT16" s="184">
        <v>376</v>
      </c>
      <c r="AU16" s="184">
        <v>335</v>
      </c>
      <c r="AV16" s="186">
        <v>17</v>
      </c>
      <c r="AW16" s="186">
        <v>25</v>
      </c>
      <c r="AX16" s="186">
        <v>19</v>
      </c>
      <c r="AY16" s="186">
        <v>21</v>
      </c>
      <c r="AZ16" s="186">
        <v>16</v>
      </c>
      <c r="BA16" s="186">
        <v>23</v>
      </c>
      <c r="BB16" s="187">
        <v>6.8656716417910449E-2</v>
      </c>
      <c r="BC16" s="187">
        <v>4.6181975108283008E-2</v>
      </c>
      <c r="BD16" s="187">
        <v>0.10091176895173444</v>
      </c>
      <c r="BE16" s="193">
        <v>30</v>
      </c>
      <c r="BF16" s="184">
        <v>673</v>
      </c>
      <c r="BG16" s="184">
        <v>453</v>
      </c>
      <c r="BH16" s="184">
        <v>177</v>
      </c>
      <c r="BI16" s="184">
        <v>0.11220050150894859</v>
      </c>
      <c r="BJ16" s="184">
        <v>2659</v>
      </c>
      <c r="BK16" s="184">
        <v>4378</v>
      </c>
      <c r="BL16" s="186">
        <v>2528</v>
      </c>
      <c r="BM16" s="186">
        <v>1469</v>
      </c>
      <c r="BN16" s="186">
        <v>3</v>
      </c>
      <c r="BO16" s="186">
        <v>311</v>
      </c>
      <c r="BP16" s="186">
        <v>538</v>
      </c>
      <c r="BQ16" s="186">
        <v>207</v>
      </c>
      <c r="BR16" s="193">
        <v>245</v>
      </c>
      <c r="BS16" s="193">
        <v>215</v>
      </c>
      <c r="BT16" s="193">
        <v>195</v>
      </c>
      <c r="BU16" s="186">
        <v>763</v>
      </c>
      <c r="BV16" s="186">
        <v>300</v>
      </c>
      <c r="BW16" s="222">
        <f t="shared" si="6"/>
        <v>0.39318479685452162</v>
      </c>
      <c r="BX16" s="186">
        <v>94</v>
      </c>
      <c r="BY16" s="193">
        <v>1</v>
      </c>
      <c r="BZ16" s="1676">
        <v>954</v>
      </c>
      <c r="CA16" s="222">
        <v>7.3577047663118927E-2</v>
      </c>
      <c r="CB16" s="200">
        <v>320</v>
      </c>
      <c r="CC16" s="200">
        <v>315</v>
      </c>
      <c r="CD16" s="200">
        <v>310</v>
      </c>
      <c r="CE16" s="200">
        <v>340</v>
      </c>
      <c r="CF16" s="186">
        <v>690</v>
      </c>
      <c r="CG16" s="187">
        <v>0.20273333333333335</v>
      </c>
      <c r="CH16" s="186">
        <v>720</v>
      </c>
      <c r="CI16" s="187">
        <v>0.17546666666666672</v>
      </c>
      <c r="CJ16" s="186">
        <v>740</v>
      </c>
      <c r="CK16" s="187">
        <v>0.19153333333333336</v>
      </c>
      <c r="CL16" s="186">
        <v>640</v>
      </c>
      <c r="CM16" s="187">
        <v>0.17419999999999999</v>
      </c>
      <c r="CN16" s="186">
        <v>705</v>
      </c>
      <c r="CO16" s="187">
        <v>0.16993333333333335</v>
      </c>
      <c r="CP16" s="186">
        <v>590</v>
      </c>
      <c r="CQ16" s="187">
        <v>0.14603960396039603</v>
      </c>
      <c r="CR16" s="184">
        <v>345</v>
      </c>
      <c r="CS16" s="184">
        <v>15</v>
      </c>
      <c r="CT16" s="184">
        <v>330</v>
      </c>
      <c r="CU16" s="187">
        <v>0.95079867129533424</v>
      </c>
      <c r="CV16" s="186">
        <v>149</v>
      </c>
      <c r="CW16" s="186">
        <v>198</v>
      </c>
      <c r="CX16" s="187">
        <v>0.44137272070529121</v>
      </c>
      <c r="CY16" s="187">
        <v>0.60952388106850341</v>
      </c>
      <c r="CZ16" s="187">
        <v>0.39868699754486908</v>
      </c>
      <c r="DA16" s="187">
        <v>0.50545916039350647</v>
      </c>
      <c r="DB16" s="187">
        <v>0.54628440930361477</v>
      </c>
      <c r="DC16" s="187">
        <v>0.65141413994848563</v>
      </c>
      <c r="DD16" s="182">
        <v>161</v>
      </c>
      <c r="DE16" s="182">
        <v>13</v>
      </c>
      <c r="DF16" s="143">
        <v>8.0745341614906832E-2</v>
      </c>
      <c r="DG16" s="143">
        <v>4.7793188465854376E-2</v>
      </c>
      <c r="DH16" s="143">
        <v>0.13323808263660591</v>
      </c>
      <c r="DI16" s="178" t="str">
        <f t="shared" si="0"/>
        <v>No Sig diff</v>
      </c>
      <c r="DJ16" s="182">
        <v>213</v>
      </c>
      <c r="DK16" s="182">
        <v>28</v>
      </c>
      <c r="DL16" s="143">
        <v>0.13145539906103287</v>
      </c>
      <c r="DM16" s="143">
        <v>9.2538847220180187E-2</v>
      </c>
      <c r="DN16" s="143">
        <v>0.18342986810827064</v>
      </c>
      <c r="DO16" s="178" t="str">
        <f t="shared" si="1"/>
        <v>No Sig diff</v>
      </c>
      <c r="DP16" s="183">
        <v>221</v>
      </c>
      <c r="DQ16" s="183">
        <v>18</v>
      </c>
      <c r="DR16" s="143">
        <v>8.1447963800904979E-2</v>
      </c>
      <c r="DS16" s="143">
        <v>5.2138724552875479E-2</v>
      </c>
      <c r="DT16" s="143">
        <v>0.12505928434488195</v>
      </c>
      <c r="DU16" s="178" t="str">
        <f t="shared" si="7"/>
        <v>No Sig diff</v>
      </c>
      <c r="DV16" s="178">
        <v>259</v>
      </c>
      <c r="DW16" s="178">
        <v>21</v>
      </c>
      <c r="DX16" s="179">
        <v>8.1081081081081086E-2</v>
      </c>
      <c r="DY16" s="179">
        <v>5.3641549235695814E-2</v>
      </c>
      <c r="DZ16" s="179">
        <v>0.12076571142391865</v>
      </c>
      <c r="EA16" s="178" t="str">
        <f t="shared" si="2"/>
        <v>No Sig diff</v>
      </c>
      <c r="EB16" s="178">
        <v>152</v>
      </c>
      <c r="EC16" s="178">
        <v>33</v>
      </c>
      <c r="ED16" s="143">
        <v>0.21710526315789475</v>
      </c>
      <c r="EE16" s="143">
        <v>0.15897583021997941</v>
      </c>
      <c r="EF16" s="143">
        <v>0.28918128630862894</v>
      </c>
      <c r="EG16" s="178" t="str">
        <f t="shared" si="3"/>
        <v>No Sig diff</v>
      </c>
      <c r="EH16" s="178">
        <v>156</v>
      </c>
      <c r="EI16" s="178">
        <v>39</v>
      </c>
      <c r="EJ16" s="143">
        <v>0.25</v>
      </c>
      <c r="EK16" s="143">
        <v>0.18861184195741063</v>
      </c>
      <c r="EL16" s="143">
        <v>0.32340462376129686</v>
      </c>
      <c r="EM16" s="178" t="str">
        <f t="shared" si="8"/>
        <v>No Sig diff</v>
      </c>
      <c r="EN16" s="183">
        <v>148</v>
      </c>
      <c r="EO16" s="183">
        <v>19</v>
      </c>
      <c r="EP16" s="197">
        <v>0.12837837837837837</v>
      </c>
      <c r="EQ16" s="179">
        <v>8.3749542616648201E-2</v>
      </c>
      <c r="ER16" s="179">
        <v>0.19181063143373209</v>
      </c>
      <c r="ES16" s="178" t="str">
        <f t="shared" si="9"/>
        <v>No Sig diff</v>
      </c>
      <c r="ET16" s="206">
        <v>154</v>
      </c>
      <c r="EU16" s="206">
        <v>22</v>
      </c>
      <c r="EV16" s="179">
        <v>0.14285714285714285</v>
      </c>
      <c r="EW16" s="179">
        <v>9.6271191632122291E-2</v>
      </c>
      <c r="EX16" s="179">
        <v>0.20682698788382736</v>
      </c>
      <c r="EY16" s="178" t="str">
        <f t="shared" si="10"/>
        <v>No Sig diff</v>
      </c>
      <c r="EZ16" s="207">
        <v>287</v>
      </c>
      <c r="FA16" s="186">
        <v>148</v>
      </c>
      <c r="FB16" s="187">
        <v>0.51567944250871078</v>
      </c>
      <c r="FC16" s="187">
        <v>0.45803701743184799</v>
      </c>
      <c r="FD16" s="187">
        <v>0.57290767675478294</v>
      </c>
      <c r="FE16" s="208">
        <v>287</v>
      </c>
      <c r="FF16" s="209">
        <v>34</v>
      </c>
      <c r="FG16" s="208">
        <v>57</v>
      </c>
      <c r="FH16" s="209">
        <v>26.05263157894737</v>
      </c>
      <c r="FI16" s="187">
        <f t="shared" si="11"/>
        <v>0.2337461300309597</v>
      </c>
      <c r="FJ16" s="186">
        <v>281</v>
      </c>
      <c r="FK16" s="186">
        <v>171</v>
      </c>
      <c r="FL16" s="187">
        <v>0.60854092526690395</v>
      </c>
      <c r="FM16" s="187">
        <v>0.55037759347384574</v>
      </c>
      <c r="FN16" s="187">
        <v>0.66377662499053558</v>
      </c>
      <c r="FO16" s="198">
        <v>281</v>
      </c>
      <c r="FP16" s="199">
        <v>34</v>
      </c>
      <c r="FQ16" s="198">
        <v>56</v>
      </c>
      <c r="FR16" s="199">
        <v>27.053571428571423</v>
      </c>
      <c r="FS16" s="210">
        <v>0.20430672268907579</v>
      </c>
      <c r="FT16" s="200">
        <v>2914</v>
      </c>
      <c r="FU16" s="200">
        <v>2738</v>
      </c>
      <c r="FV16" s="200">
        <v>176</v>
      </c>
      <c r="FW16" s="200">
        <v>144</v>
      </c>
      <c r="FX16" s="200">
        <v>32</v>
      </c>
      <c r="FY16" s="187">
        <f t="shared" si="4"/>
        <v>0.81818181818181823</v>
      </c>
      <c r="FZ16" s="187">
        <f t="shared" si="5"/>
        <v>0.18181818181818182</v>
      </c>
      <c r="GA16" s="197">
        <v>0.85523886335006882</v>
      </c>
      <c r="GB16" s="197">
        <v>0.14476113664993123</v>
      </c>
      <c r="GC16" s="197">
        <v>0.10589945678565693</v>
      </c>
      <c r="GD16" s="197">
        <v>0.19796894649729968</v>
      </c>
      <c r="GE16" s="197">
        <v>0.9014757716031061</v>
      </c>
      <c r="GF16" s="197">
        <v>9.852422839689394E-2</v>
      </c>
      <c r="GG16" s="197">
        <v>6.877515560848059E-2</v>
      </c>
      <c r="GH16" s="197">
        <v>0.14807679808484558</v>
      </c>
      <c r="GI16" s="197">
        <v>0.90265936870775587</v>
      </c>
      <c r="GJ16" s="197">
        <v>9.7340631292244212E-2</v>
      </c>
      <c r="GK16" s="197">
        <v>6.877515560848059E-2</v>
      </c>
      <c r="GL16" s="197">
        <v>0.14807679808484558</v>
      </c>
      <c r="GM16" s="197">
        <v>0.76029450914425445</v>
      </c>
      <c r="GN16" s="197">
        <v>0.2397054908557455</v>
      </c>
      <c r="GO16" s="197">
        <v>0.19288785338762213</v>
      </c>
      <c r="GP16" s="197">
        <v>0.30458113826424538</v>
      </c>
      <c r="GQ16" s="186">
        <v>74</v>
      </c>
      <c r="GR16" s="186">
        <v>72</v>
      </c>
      <c r="GS16" s="178">
        <v>72</v>
      </c>
      <c r="GT16" s="178">
        <v>74</v>
      </c>
      <c r="GU16" s="178">
        <v>72</v>
      </c>
      <c r="GV16" s="178">
        <v>85</v>
      </c>
      <c r="GW16" s="178">
        <v>82</v>
      </c>
      <c r="GX16" s="178">
        <v>82</v>
      </c>
      <c r="GY16" s="178">
        <v>81</v>
      </c>
      <c r="GZ16" s="178">
        <v>82</v>
      </c>
      <c r="HA16" s="178">
        <v>82</v>
      </c>
      <c r="HB16" s="178">
        <v>81</v>
      </c>
      <c r="HC16" s="178">
        <v>83</v>
      </c>
      <c r="HD16" s="178">
        <v>89</v>
      </c>
      <c r="HE16" s="178">
        <v>82</v>
      </c>
      <c r="HF16" s="178">
        <v>76</v>
      </c>
      <c r="HG16" s="178">
        <v>76</v>
      </c>
      <c r="HH16" s="178">
        <v>75</v>
      </c>
      <c r="HI16" s="178">
        <v>77</v>
      </c>
      <c r="HJ16" s="178">
        <v>77</v>
      </c>
      <c r="HK16" s="178">
        <v>82</v>
      </c>
      <c r="HL16" s="178">
        <v>80</v>
      </c>
      <c r="HM16" s="178">
        <v>80</v>
      </c>
      <c r="HN16" s="186">
        <v>23</v>
      </c>
      <c r="HO16" s="187">
        <v>1.3990267639902677E-2</v>
      </c>
      <c r="HP16" s="217">
        <v>2494</v>
      </c>
      <c r="HQ16" s="217">
        <v>2125</v>
      </c>
      <c r="HR16" s="217">
        <v>369</v>
      </c>
      <c r="HS16" s="1704">
        <v>0.14795509222133119</v>
      </c>
    </row>
    <row r="17" spans="1:227" ht="13.8" customHeight="1" x14ac:dyDescent="0.25">
      <c r="A17" s="183" t="s">
        <v>613</v>
      </c>
      <c r="B17" s="183"/>
      <c r="C17" s="183" t="s">
        <v>102</v>
      </c>
      <c r="D17" s="183" t="s">
        <v>102</v>
      </c>
      <c r="E17" s="183" t="s">
        <v>102</v>
      </c>
      <c r="F17" s="183" t="s">
        <v>102</v>
      </c>
      <c r="G17" s="183" t="s">
        <v>476</v>
      </c>
      <c r="H17" s="183" t="s">
        <v>142</v>
      </c>
      <c r="I17" s="183" t="s">
        <v>140</v>
      </c>
      <c r="J17" s="183" t="s">
        <v>703</v>
      </c>
      <c r="K17" s="183" t="s">
        <v>102</v>
      </c>
      <c r="L17" s="184">
        <v>18190</v>
      </c>
      <c r="M17" s="184">
        <v>18585</v>
      </c>
      <c r="N17" s="184">
        <v>19055</v>
      </c>
      <c r="O17" s="184">
        <v>19605</v>
      </c>
      <c r="P17" s="184">
        <v>19925</v>
      </c>
      <c r="Q17" s="184">
        <v>20205</v>
      </c>
      <c r="R17" s="184">
        <v>20375</v>
      </c>
      <c r="S17" s="184">
        <v>20565</v>
      </c>
      <c r="T17" s="184">
        <v>20850</v>
      </c>
      <c r="U17" s="184">
        <v>21065</v>
      </c>
      <c r="V17" s="184">
        <v>1015</v>
      </c>
      <c r="W17" s="184">
        <v>1105</v>
      </c>
      <c r="X17" s="184">
        <v>1200</v>
      </c>
      <c r="Y17" s="184">
        <v>1320</v>
      </c>
      <c r="Z17" s="184">
        <v>1365</v>
      </c>
      <c r="AA17" s="184">
        <v>1365</v>
      </c>
      <c r="AB17" s="184">
        <v>1320</v>
      </c>
      <c r="AC17" s="184">
        <v>1305</v>
      </c>
      <c r="AD17" s="184">
        <v>1385</v>
      </c>
      <c r="AE17" s="184">
        <v>1420</v>
      </c>
      <c r="AF17" s="187">
        <v>0.89266817838246415</v>
      </c>
      <c r="AG17" s="187">
        <v>4.1572184429327287E-2</v>
      </c>
      <c r="AH17" s="187">
        <v>3.3257747543461828E-2</v>
      </c>
      <c r="AI17" s="187">
        <v>2.5699168556311415E-2</v>
      </c>
      <c r="AJ17" s="187">
        <v>6.8027210884353739E-3</v>
      </c>
      <c r="AK17" s="187">
        <v>0</v>
      </c>
      <c r="AL17" s="187">
        <v>0.10733182161753591</v>
      </c>
      <c r="AM17" s="184">
        <v>2610</v>
      </c>
      <c r="AN17" s="187">
        <v>0.78024502297090348</v>
      </c>
      <c r="AO17" s="187">
        <v>7.2358346094946402E-2</v>
      </c>
      <c r="AP17" s="187">
        <v>0.14739663093415006</v>
      </c>
      <c r="AQ17" s="184">
        <v>230</v>
      </c>
      <c r="AR17" s="184">
        <v>212</v>
      </c>
      <c r="AS17" s="184">
        <v>237</v>
      </c>
      <c r="AT17" s="184">
        <v>258</v>
      </c>
      <c r="AU17" s="184">
        <v>230</v>
      </c>
      <c r="AV17" s="186">
        <v>4</v>
      </c>
      <c r="AW17" s="186">
        <v>5</v>
      </c>
      <c r="AX17" s="186">
        <v>3</v>
      </c>
      <c r="AY17" s="186">
        <v>3</v>
      </c>
      <c r="AZ17" s="186">
        <v>3</v>
      </c>
      <c r="BA17" s="186">
        <v>8</v>
      </c>
      <c r="BB17" s="187">
        <v>3.4782608695652174E-2</v>
      </c>
      <c r="BC17" s="187">
        <v>1.7728315594474731E-2</v>
      </c>
      <c r="BD17" s="187">
        <v>6.7121731615965546E-2</v>
      </c>
      <c r="BE17" s="193">
        <v>5</v>
      </c>
      <c r="BF17" s="184">
        <v>347</v>
      </c>
      <c r="BG17" s="184">
        <v>472</v>
      </c>
      <c r="BH17" s="184">
        <v>203</v>
      </c>
      <c r="BI17" s="184">
        <v>0.14428556510470478</v>
      </c>
      <c r="BJ17" s="184">
        <v>2468</v>
      </c>
      <c r="BK17" s="184">
        <v>4544</v>
      </c>
      <c r="BL17" s="186">
        <v>2646</v>
      </c>
      <c r="BM17" s="186">
        <v>1671</v>
      </c>
      <c r="BN17" s="186">
        <v>1</v>
      </c>
      <c r="BO17" s="186">
        <v>365</v>
      </c>
      <c r="BP17" s="186">
        <v>438</v>
      </c>
      <c r="BQ17" s="186">
        <v>171</v>
      </c>
      <c r="BR17" s="193">
        <v>50</v>
      </c>
      <c r="BS17" s="193">
        <v>60</v>
      </c>
      <c r="BT17" s="193">
        <v>45</v>
      </c>
      <c r="BU17" s="186">
        <v>304</v>
      </c>
      <c r="BV17" s="186">
        <v>73</v>
      </c>
      <c r="BW17" s="222">
        <f t="shared" si="6"/>
        <v>0.24013157894736842</v>
      </c>
      <c r="BX17" s="186">
        <v>32</v>
      </c>
      <c r="BY17" s="193">
        <v>10</v>
      </c>
      <c r="BZ17" s="1676">
        <v>153</v>
      </c>
      <c r="CA17" s="222">
        <v>1.7888460189407224E-2</v>
      </c>
      <c r="CB17" s="200">
        <v>50</v>
      </c>
      <c r="CC17" s="200">
        <v>75</v>
      </c>
      <c r="CD17" s="200">
        <v>80</v>
      </c>
      <c r="CE17" s="200">
        <v>66</v>
      </c>
      <c r="CF17" s="186">
        <v>200</v>
      </c>
      <c r="CG17" s="187">
        <v>5.5E-2</v>
      </c>
      <c r="CH17" s="186">
        <v>195</v>
      </c>
      <c r="CI17" s="187">
        <v>4.2428571428571434E-2</v>
      </c>
      <c r="CJ17" s="186">
        <v>200</v>
      </c>
      <c r="CK17" s="187">
        <v>5.1071428571428566E-2</v>
      </c>
      <c r="CL17" s="186">
        <v>160</v>
      </c>
      <c r="CM17" s="187">
        <v>4.8785714285714279E-2</v>
      </c>
      <c r="CN17" s="186">
        <v>210</v>
      </c>
      <c r="CO17" s="187">
        <v>5.0499999999999996E-2</v>
      </c>
      <c r="CP17" s="186">
        <v>205</v>
      </c>
      <c r="CQ17" s="187">
        <v>5.2295918367346941E-2</v>
      </c>
      <c r="CR17" s="184">
        <v>247</v>
      </c>
      <c r="CS17" s="184">
        <v>8</v>
      </c>
      <c r="CT17" s="184">
        <v>239</v>
      </c>
      <c r="CU17" s="187">
        <v>0.89712698548558967</v>
      </c>
      <c r="CV17" s="186">
        <v>130</v>
      </c>
      <c r="CW17" s="186">
        <v>168</v>
      </c>
      <c r="CX17" s="187">
        <v>0.51632972644659469</v>
      </c>
      <c r="CY17" s="187">
        <v>0.66402832692714997</v>
      </c>
      <c r="CZ17" s="187">
        <v>0.48058990740273499</v>
      </c>
      <c r="DA17" s="187">
        <v>0.60588621530441222</v>
      </c>
      <c r="DB17" s="187">
        <v>0.64215388951563079</v>
      </c>
      <c r="DC17" s="187">
        <v>0.75728343917928798</v>
      </c>
      <c r="DD17" s="182">
        <v>194</v>
      </c>
      <c r="DE17" s="182">
        <v>7</v>
      </c>
      <c r="DF17" s="143">
        <v>3.608247422680412E-2</v>
      </c>
      <c r="DG17" s="143">
        <v>1.758630667851303E-2</v>
      </c>
      <c r="DH17" s="143">
        <v>7.2594279974277642E-2</v>
      </c>
      <c r="DI17" s="178" t="str">
        <f t="shared" si="0"/>
        <v>Sig better than Eng.</v>
      </c>
      <c r="DJ17" s="182">
        <v>208</v>
      </c>
      <c r="DK17" s="182">
        <v>7</v>
      </c>
      <c r="DL17" s="143">
        <v>3.3653846153846152E-2</v>
      </c>
      <c r="DM17" s="143">
        <v>1.6395766201128759E-2</v>
      </c>
      <c r="DN17" s="143">
        <v>6.782504175599266E-2</v>
      </c>
      <c r="DO17" s="178" t="str">
        <f t="shared" si="1"/>
        <v>Sig better than Eng.</v>
      </c>
      <c r="DP17" s="183">
        <v>226</v>
      </c>
      <c r="DQ17" s="183">
        <v>10</v>
      </c>
      <c r="DR17" s="143">
        <v>4.4247787610619468E-2</v>
      </c>
      <c r="DS17" s="143">
        <v>2.4209353106802618E-2</v>
      </c>
      <c r="DT17" s="143">
        <v>7.9520665589665557E-2</v>
      </c>
      <c r="DU17" s="178" t="str">
        <f t="shared" si="7"/>
        <v>Sig better than Eng.</v>
      </c>
      <c r="DV17" s="178">
        <v>234</v>
      </c>
      <c r="DW17" s="178">
        <v>9</v>
      </c>
      <c r="DX17" s="179">
        <v>3.8461538461538464E-2</v>
      </c>
      <c r="DY17" s="179">
        <v>2.0364448140159225E-2</v>
      </c>
      <c r="DZ17" s="179">
        <v>7.1467560160631355E-2</v>
      </c>
      <c r="EA17" s="178" t="str">
        <f t="shared" si="2"/>
        <v>Sig better than Eng.</v>
      </c>
      <c r="EB17" s="182">
        <v>165</v>
      </c>
      <c r="EC17" s="182">
        <v>20</v>
      </c>
      <c r="ED17" s="143">
        <v>0.12121212121212122</v>
      </c>
      <c r="EE17" s="143">
        <v>7.9852303583502038E-2</v>
      </c>
      <c r="EF17" s="143">
        <v>0.17980820353905713</v>
      </c>
      <c r="EG17" s="178" t="str">
        <f t="shared" si="3"/>
        <v>Sig better than Eng.</v>
      </c>
      <c r="EH17" s="182">
        <v>144</v>
      </c>
      <c r="EI17" s="182">
        <v>14</v>
      </c>
      <c r="EJ17" s="143">
        <v>9.7222222222222224E-2</v>
      </c>
      <c r="EK17" s="143">
        <v>5.8799052664080885E-2</v>
      </c>
      <c r="EL17" s="143">
        <v>0.15657665503447649</v>
      </c>
      <c r="EM17" s="178" t="str">
        <f t="shared" si="8"/>
        <v>Sig better than Eng.</v>
      </c>
      <c r="EN17" s="183">
        <v>168</v>
      </c>
      <c r="EO17" s="183">
        <v>17</v>
      </c>
      <c r="EP17" s="197">
        <v>0.10119047619047619</v>
      </c>
      <c r="EQ17" s="179">
        <v>6.4142045214917287E-2</v>
      </c>
      <c r="ER17" s="179">
        <v>0.15606941644509648</v>
      </c>
      <c r="ES17" s="178" t="str">
        <f t="shared" si="9"/>
        <v>Sig better than Eng.</v>
      </c>
      <c r="ET17" s="206">
        <v>157</v>
      </c>
      <c r="EU17" s="206">
        <v>14</v>
      </c>
      <c r="EV17" s="179">
        <v>8.9171974522292988E-2</v>
      </c>
      <c r="EW17" s="179">
        <v>5.3860798787169005E-2</v>
      </c>
      <c r="EX17" s="179">
        <v>0.14410718194465799</v>
      </c>
      <c r="EY17" s="178" t="str">
        <f t="shared" si="10"/>
        <v>Sig better than Eng.</v>
      </c>
      <c r="EZ17" s="207">
        <v>272</v>
      </c>
      <c r="FA17" s="186">
        <v>163</v>
      </c>
      <c r="FB17" s="187">
        <v>0.59926470588235292</v>
      </c>
      <c r="FC17" s="187">
        <v>0.54003535664635594</v>
      </c>
      <c r="FD17" s="187">
        <v>0.6557292692763258</v>
      </c>
      <c r="FE17" s="208">
        <v>272</v>
      </c>
      <c r="FF17" s="209">
        <v>34</v>
      </c>
      <c r="FG17" s="208">
        <v>54</v>
      </c>
      <c r="FH17" s="209">
        <v>27.407407407407408</v>
      </c>
      <c r="FI17" s="187">
        <f t="shared" si="11"/>
        <v>0.19389978213507622</v>
      </c>
      <c r="FJ17" s="186">
        <v>291</v>
      </c>
      <c r="FK17" s="186">
        <v>187</v>
      </c>
      <c r="FL17" s="187">
        <v>0.6426116838487973</v>
      </c>
      <c r="FM17" s="187">
        <v>0.58602068090959913</v>
      </c>
      <c r="FN17" s="187">
        <v>0.69548654108008678</v>
      </c>
      <c r="FO17" s="198">
        <v>291</v>
      </c>
      <c r="FP17" s="199">
        <v>34</v>
      </c>
      <c r="FQ17" s="198">
        <v>58</v>
      </c>
      <c r="FR17" s="199">
        <v>28.379310344827584</v>
      </c>
      <c r="FS17" s="210">
        <v>0.16531440162271813</v>
      </c>
      <c r="FT17" s="200">
        <v>3289</v>
      </c>
      <c r="FU17" s="200">
        <v>3245</v>
      </c>
      <c r="FV17" s="200">
        <v>44</v>
      </c>
      <c r="FW17" s="200">
        <v>36</v>
      </c>
      <c r="FX17" s="200">
        <v>8</v>
      </c>
      <c r="FY17" s="187">
        <f t="shared" si="4"/>
        <v>0.81818181818181823</v>
      </c>
      <c r="FZ17" s="187">
        <f t="shared" si="5"/>
        <v>0.18181818181818182</v>
      </c>
      <c r="GA17" s="197">
        <v>0.88936076994900526</v>
      </c>
      <c r="GB17" s="197">
        <v>3.9210658622423331E-2</v>
      </c>
      <c r="GC17" s="197">
        <v>2.1261640780226743E-2</v>
      </c>
      <c r="GD17" s="197">
        <v>8.0052890963794948E-2</v>
      </c>
      <c r="GE17" s="197">
        <v>0.91070530776413128</v>
      </c>
      <c r="GF17" s="197">
        <v>1.7866120807297277E-2</v>
      </c>
      <c r="GG17" s="197">
        <v>8.1306524115839253E-3</v>
      </c>
      <c r="GH17" s="197">
        <v>5.2334539866256941E-2</v>
      </c>
      <c r="GI17" s="197">
        <v>0.89753070458952811</v>
      </c>
      <c r="GJ17" s="197">
        <v>3.1040723981900449E-2</v>
      </c>
      <c r="GK17" s="197">
        <v>1.4399085841634563E-2</v>
      </c>
      <c r="GL17" s="197">
        <v>6.6490776169296717E-2</v>
      </c>
      <c r="GM17" s="197">
        <v>0.82585191769015309</v>
      </c>
      <c r="GN17" s="197">
        <v>0.10271951088127559</v>
      </c>
      <c r="GO17" s="197">
        <v>7.6896904231561619E-2</v>
      </c>
      <c r="GP17" s="197">
        <v>0.16739031564409299</v>
      </c>
      <c r="GQ17" s="186">
        <v>72</v>
      </c>
      <c r="GR17" s="186">
        <v>69</v>
      </c>
      <c r="GS17" s="178">
        <v>70</v>
      </c>
      <c r="GT17" s="178">
        <v>70</v>
      </c>
      <c r="GU17" s="178">
        <v>70</v>
      </c>
      <c r="GV17" s="178">
        <v>69</v>
      </c>
      <c r="GW17" s="178">
        <v>66</v>
      </c>
      <c r="GX17" s="178">
        <v>65</v>
      </c>
      <c r="GY17" s="178">
        <v>64</v>
      </c>
      <c r="GZ17" s="178">
        <v>66</v>
      </c>
      <c r="HA17" s="178">
        <v>66</v>
      </c>
      <c r="HB17" s="178">
        <v>63</v>
      </c>
      <c r="HC17" s="178">
        <v>68</v>
      </c>
      <c r="HD17" s="178">
        <v>86</v>
      </c>
      <c r="HE17" s="178">
        <v>81</v>
      </c>
      <c r="HF17" s="178">
        <v>77</v>
      </c>
      <c r="HG17" s="178">
        <v>73</v>
      </c>
      <c r="HH17" s="178">
        <v>77</v>
      </c>
      <c r="HI17" s="178">
        <v>76</v>
      </c>
      <c r="HJ17" s="178">
        <v>75</v>
      </c>
      <c r="HK17" s="178">
        <v>83</v>
      </c>
      <c r="HL17" s="178">
        <v>80</v>
      </c>
      <c r="HM17" s="178">
        <v>79</v>
      </c>
      <c r="HN17" s="186">
        <v>20</v>
      </c>
      <c r="HO17" s="187">
        <v>1.5117157974300832E-2</v>
      </c>
      <c r="HP17" s="217">
        <v>2067</v>
      </c>
      <c r="HQ17" s="217">
        <v>1975</v>
      </c>
      <c r="HR17" s="217">
        <v>92</v>
      </c>
      <c r="HS17" s="1704">
        <v>4.450895016932753E-2</v>
      </c>
    </row>
    <row r="18" spans="1:227" ht="13.8" customHeight="1" x14ac:dyDescent="0.25">
      <c r="A18" s="183" t="s">
        <v>614</v>
      </c>
      <c r="B18" s="183"/>
      <c r="C18" s="183" t="s">
        <v>102</v>
      </c>
      <c r="D18" s="183" t="s">
        <v>102</v>
      </c>
      <c r="E18" s="183" t="s">
        <v>102</v>
      </c>
      <c r="F18" s="183" t="s">
        <v>102</v>
      </c>
      <c r="G18" s="183" t="s">
        <v>481</v>
      </c>
      <c r="H18" s="183" t="s">
        <v>142</v>
      </c>
      <c r="I18" s="183" t="s">
        <v>140</v>
      </c>
      <c r="J18" s="183" t="s">
        <v>703</v>
      </c>
      <c r="K18" s="183" t="s">
        <v>102</v>
      </c>
      <c r="L18" s="184">
        <v>16860</v>
      </c>
      <c r="M18" s="184">
        <v>17050</v>
      </c>
      <c r="N18" s="184">
        <v>17235</v>
      </c>
      <c r="O18" s="184">
        <v>17490</v>
      </c>
      <c r="P18" s="184">
        <v>17540</v>
      </c>
      <c r="Q18" s="184">
        <v>17695</v>
      </c>
      <c r="R18" s="184">
        <v>17985</v>
      </c>
      <c r="S18" s="184">
        <v>18150</v>
      </c>
      <c r="T18" s="184">
        <v>18425</v>
      </c>
      <c r="U18" s="184">
        <v>18995</v>
      </c>
      <c r="V18" s="184">
        <v>1095</v>
      </c>
      <c r="W18" s="184">
        <v>1100</v>
      </c>
      <c r="X18" s="184">
        <v>1120</v>
      </c>
      <c r="Y18" s="184">
        <v>1200</v>
      </c>
      <c r="Z18" s="184">
        <v>1220</v>
      </c>
      <c r="AA18" s="184">
        <v>1205</v>
      </c>
      <c r="AB18" s="184">
        <v>1225</v>
      </c>
      <c r="AC18" s="184">
        <v>1230</v>
      </c>
      <c r="AD18" s="184">
        <v>1245</v>
      </c>
      <c r="AE18" s="184">
        <v>1320</v>
      </c>
      <c r="AF18" s="187">
        <v>0.80475799835931094</v>
      </c>
      <c r="AG18" s="187">
        <v>4.2657916324856437E-2</v>
      </c>
      <c r="AH18" s="187">
        <v>5.0861361771944218E-2</v>
      </c>
      <c r="AI18" s="187">
        <v>9.5980311730926984E-2</v>
      </c>
      <c r="AJ18" s="187">
        <v>5.742411812961444E-3</v>
      </c>
      <c r="AK18" s="187">
        <v>0</v>
      </c>
      <c r="AL18" s="187">
        <v>0.19524200164068908</v>
      </c>
      <c r="AM18" s="184">
        <v>2250</v>
      </c>
      <c r="AN18" s="187">
        <v>0.604982206405694</v>
      </c>
      <c r="AO18" s="187">
        <v>0.20862989323843417</v>
      </c>
      <c r="AP18" s="187">
        <v>0.18638790035587188</v>
      </c>
      <c r="AQ18" s="184">
        <v>243</v>
      </c>
      <c r="AR18" s="184">
        <v>242</v>
      </c>
      <c r="AS18" s="184">
        <v>260</v>
      </c>
      <c r="AT18" s="184">
        <v>236</v>
      </c>
      <c r="AU18" s="184">
        <v>254</v>
      </c>
      <c r="AV18" s="186">
        <v>11</v>
      </c>
      <c r="AW18" s="186">
        <v>9</v>
      </c>
      <c r="AX18" s="186">
        <v>6</v>
      </c>
      <c r="AY18" s="186">
        <v>9</v>
      </c>
      <c r="AZ18" s="186">
        <v>11</v>
      </c>
      <c r="BA18" s="186">
        <v>13</v>
      </c>
      <c r="BB18" s="187">
        <v>5.1181102362204724E-2</v>
      </c>
      <c r="BC18" s="187">
        <v>3.0151261764165438E-2</v>
      </c>
      <c r="BD18" s="187">
        <v>8.5584426969453661E-2</v>
      </c>
      <c r="BE18" s="193">
        <v>21</v>
      </c>
      <c r="BF18" s="184">
        <v>382</v>
      </c>
      <c r="BG18" s="184">
        <v>376</v>
      </c>
      <c r="BH18" s="184">
        <v>179</v>
      </c>
      <c r="BI18" s="184">
        <v>0.14581754480108117</v>
      </c>
      <c r="BJ18" s="184">
        <v>2212</v>
      </c>
      <c r="BK18" s="184">
        <v>3909</v>
      </c>
      <c r="BL18" s="186">
        <v>2175</v>
      </c>
      <c r="BM18" s="186">
        <v>1420</v>
      </c>
      <c r="BN18" s="186">
        <v>1</v>
      </c>
      <c r="BO18" s="186">
        <v>260</v>
      </c>
      <c r="BP18" s="186">
        <v>376</v>
      </c>
      <c r="BQ18" s="186">
        <v>118</v>
      </c>
      <c r="BR18" s="193">
        <v>100</v>
      </c>
      <c r="BS18" s="193">
        <v>95</v>
      </c>
      <c r="BT18" s="193">
        <v>95</v>
      </c>
      <c r="BU18" s="186">
        <v>384</v>
      </c>
      <c r="BV18" s="186">
        <v>122</v>
      </c>
      <c r="BW18" s="222">
        <f t="shared" si="6"/>
        <v>0.31770833333333331</v>
      </c>
      <c r="BX18" s="186">
        <v>26</v>
      </c>
      <c r="BY18" s="193">
        <v>7</v>
      </c>
      <c r="BZ18" s="1676">
        <v>248</v>
      </c>
      <c r="CA18" s="222">
        <v>3.1746031746031744E-2</v>
      </c>
      <c r="CB18" s="200">
        <v>165</v>
      </c>
      <c r="CC18" s="200">
        <v>130</v>
      </c>
      <c r="CD18" s="200">
        <v>155</v>
      </c>
      <c r="CE18" s="200">
        <v>145</v>
      </c>
      <c r="CF18" s="186">
        <v>405</v>
      </c>
      <c r="CG18" s="187">
        <v>0.11745454545454544</v>
      </c>
      <c r="CH18" s="186">
        <v>410</v>
      </c>
      <c r="CI18" s="187">
        <v>0.11699999999999998</v>
      </c>
      <c r="CJ18" s="186">
        <v>455</v>
      </c>
      <c r="CK18" s="187">
        <v>0.12945454545454546</v>
      </c>
      <c r="CL18" s="186">
        <v>420</v>
      </c>
      <c r="CM18" s="187">
        <v>0.11809090909090911</v>
      </c>
      <c r="CN18" s="186">
        <v>430</v>
      </c>
      <c r="CO18" s="187">
        <v>0.11572727272727272</v>
      </c>
      <c r="CP18" s="186">
        <v>370</v>
      </c>
      <c r="CQ18" s="187">
        <v>0.10914454277286136</v>
      </c>
      <c r="CR18" s="184">
        <v>237</v>
      </c>
      <c r="CS18" s="184">
        <v>2</v>
      </c>
      <c r="CT18" s="184">
        <v>235</v>
      </c>
      <c r="CU18" s="187">
        <v>0.99147727272727271</v>
      </c>
      <c r="CV18" s="186">
        <v>107</v>
      </c>
      <c r="CW18" s="186">
        <v>138</v>
      </c>
      <c r="CX18" s="187">
        <v>0.46357004386608791</v>
      </c>
      <c r="CY18" s="187">
        <v>0.59349185514040581</v>
      </c>
      <c r="CZ18" s="187">
        <v>0.39287546928976086</v>
      </c>
      <c r="DA18" s="187">
        <v>0.51920014902798606</v>
      </c>
      <c r="DB18" s="187">
        <v>0.52337579384151411</v>
      </c>
      <c r="DC18" s="187">
        <v>0.64828609420478922</v>
      </c>
      <c r="DD18" s="182">
        <v>177</v>
      </c>
      <c r="DE18" s="182">
        <v>8</v>
      </c>
      <c r="DF18" s="143">
        <v>4.519774011299435E-2</v>
      </c>
      <c r="DG18" s="143">
        <v>2.3077636816594912E-2</v>
      </c>
      <c r="DH18" s="143">
        <v>8.663978611332683E-2</v>
      </c>
      <c r="DI18" s="178" t="str">
        <f t="shared" si="0"/>
        <v>Sig better than Eng.</v>
      </c>
      <c r="DJ18" s="182">
        <v>178</v>
      </c>
      <c r="DK18" s="182">
        <v>12</v>
      </c>
      <c r="DL18" s="143">
        <v>6.741573033707865E-2</v>
      </c>
      <c r="DM18" s="143">
        <v>3.898189964215943E-2</v>
      </c>
      <c r="DN18" s="143">
        <v>0.11412652239347418</v>
      </c>
      <c r="DO18" s="178" t="str">
        <f t="shared" si="1"/>
        <v>No Sig diff</v>
      </c>
      <c r="DP18" s="183">
        <v>204</v>
      </c>
      <c r="DQ18" s="183">
        <v>11</v>
      </c>
      <c r="DR18" s="143">
        <v>5.3921568627450983E-2</v>
      </c>
      <c r="DS18" s="143">
        <v>3.0372420984158512E-2</v>
      </c>
      <c r="DT18" s="143">
        <v>9.3960130217705773E-2</v>
      </c>
      <c r="DU18" s="178" t="str">
        <f t="shared" si="7"/>
        <v>Sig better than Eng.</v>
      </c>
      <c r="DV18" s="178">
        <v>197</v>
      </c>
      <c r="DW18" s="178">
        <v>17</v>
      </c>
      <c r="DX18" s="179">
        <v>8.6294416243654817E-2</v>
      </c>
      <c r="DY18" s="179">
        <v>5.4574988236147239E-2</v>
      </c>
      <c r="DZ18" s="179">
        <v>0.13383959032194798</v>
      </c>
      <c r="EA18" s="178" t="str">
        <f t="shared" si="2"/>
        <v>No Sig diff</v>
      </c>
      <c r="EB18" s="178">
        <v>147</v>
      </c>
      <c r="EC18" s="178">
        <v>25</v>
      </c>
      <c r="ED18" s="143">
        <v>0.17006802721088435</v>
      </c>
      <c r="EE18" s="143">
        <v>0.11793015070055879</v>
      </c>
      <c r="EF18" s="143">
        <v>0.23901056865893572</v>
      </c>
      <c r="EG18" s="178" t="str">
        <f t="shared" si="3"/>
        <v>No Sig diff</v>
      </c>
      <c r="EH18" s="178">
        <v>165</v>
      </c>
      <c r="EI18" s="178">
        <v>29</v>
      </c>
      <c r="EJ18" s="143">
        <v>0.17575757575757575</v>
      </c>
      <c r="EK18" s="143">
        <v>0.12525193987760452</v>
      </c>
      <c r="EL18" s="143">
        <v>0.24101745421930615</v>
      </c>
      <c r="EM18" s="178" t="str">
        <f t="shared" si="8"/>
        <v>No Sig diff</v>
      </c>
      <c r="EN18" s="183">
        <v>149</v>
      </c>
      <c r="EO18" s="183">
        <v>32</v>
      </c>
      <c r="EP18" s="197">
        <v>0.21476510067114093</v>
      </c>
      <c r="EQ18" s="179">
        <v>0.15643634438513321</v>
      </c>
      <c r="ER18" s="179">
        <v>0.28743182688299307</v>
      </c>
      <c r="ES18" s="178" t="str">
        <f t="shared" si="9"/>
        <v>No Sig diff</v>
      </c>
      <c r="ET18" s="206">
        <v>143</v>
      </c>
      <c r="EU18" s="206">
        <v>20</v>
      </c>
      <c r="EV18" s="179">
        <v>0.13986013986013987</v>
      </c>
      <c r="EW18" s="179">
        <v>9.2396955251221199E-2</v>
      </c>
      <c r="EX18" s="179">
        <v>0.2061662650599326</v>
      </c>
      <c r="EY18" s="178" t="str">
        <f t="shared" si="10"/>
        <v>No Sig diff</v>
      </c>
      <c r="EZ18" s="207">
        <v>228</v>
      </c>
      <c r="FA18" s="186">
        <v>130</v>
      </c>
      <c r="FB18" s="187">
        <v>0.57017543859649122</v>
      </c>
      <c r="FC18" s="187">
        <v>0.50527816193920483</v>
      </c>
      <c r="FD18" s="187">
        <v>0.63274719453833861</v>
      </c>
      <c r="FE18" s="208">
        <v>228</v>
      </c>
      <c r="FF18" s="209">
        <v>34</v>
      </c>
      <c r="FG18" s="208">
        <v>45</v>
      </c>
      <c r="FH18" s="209">
        <v>23.866666666666671</v>
      </c>
      <c r="FI18" s="187">
        <f t="shared" si="11"/>
        <v>0.29803921568627439</v>
      </c>
      <c r="FJ18" s="186">
        <v>247</v>
      </c>
      <c r="FK18" s="186">
        <v>141</v>
      </c>
      <c r="FL18" s="187">
        <v>0.57085020242914974</v>
      </c>
      <c r="FM18" s="187">
        <v>0.50850446183921483</v>
      </c>
      <c r="FN18" s="187">
        <v>0.63102590193936048</v>
      </c>
      <c r="FO18" s="198">
        <v>247</v>
      </c>
      <c r="FP18" s="199">
        <v>34</v>
      </c>
      <c r="FQ18" s="198">
        <v>49</v>
      </c>
      <c r="FR18" s="199">
        <v>24.959183673469393</v>
      </c>
      <c r="FS18" s="210">
        <v>0.26590636254501782</v>
      </c>
      <c r="FT18" s="200">
        <v>2747</v>
      </c>
      <c r="FU18" s="200">
        <v>2657</v>
      </c>
      <c r="FV18" s="200">
        <v>90</v>
      </c>
      <c r="FW18" s="200">
        <v>75</v>
      </c>
      <c r="FX18" s="200">
        <v>15</v>
      </c>
      <c r="FY18" s="187">
        <f t="shared" si="4"/>
        <v>0.83333333333333337</v>
      </c>
      <c r="FZ18" s="187">
        <f t="shared" si="5"/>
        <v>0.16666666666666666</v>
      </c>
      <c r="GA18" s="197">
        <v>0.90808540874330357</v>
      </c>
      <c r="GB18" s="197">
        <v>9.1914591256696501E-2</v>
      </c>
      <c r="GC18" s="197">
        <v>6.7227027172261908E-2</v>
      </c>
      <c r="GD18" s="197">
        <v>0.1593496190820943</v>
      </c>
      <c r="GE18" s="197">
        <v>0.95988835725677835</v>
      </c>
      <c r="GF18" s="197">
        <v>4.0111642743221688E-2</v>
      </c>
      <c r="GG18" s="197">
        <v>2.3753540562369307E-2</v>
      </c>
      <c r="GH18" s="197">
        <v>8.9084377199980441E-2</v>
      </c>
      <c r="GI18" s="197">
        <v>0.91131967447756923</v>
      </c>
      <c r="GJ18" s="197">
        <v>8.8680325522430783E-2</v>
      </c>
      <c r="GK18" s="197">
        <v>5.8070662732992634E-2</v>
      </c>
      <c r="GL18" s="197">
        <v>0.14575823782296227</v>
      </c>
      <c r="GM18" s="197">
        <v>0.83214431767063357</v>
      </c>
      <c r="GN18" s="197">
        <v>0.16785568232936654</v>
      </c>
      <c r="GO18" s="197">
        <v>0.12997636711378782</v>
      </c>
      <c r="GP18" s="197">
        <v>0.24446062618017678</v>
      </c>
      <c r="GQ18" s="186">
        <v>65</v>
      </c>
      <c r="GR18" s="186">
        <v>63</v>
      </c>
      <c r="GS18" s="178">
        <v>63</v>
      </c>
      <c r="GT18" s="178">
        <v>64</v>
      </c>
      <c r="GU18" s="178">
        <v>63</v>
      </c>
      <c r="GV18" s="178">
        <v>74</v>
      </c>
      <c r="GW18" s="178">
        <v>65</v>
      </c>
      <c r="GX18" s="178">
        <v>66</v>
      </c>
      <c r="GY18" s="178">
        <v>64</v>
      </c>
      <c r="GZ18" s="178">
        <v>66</v>
      </c>
      <c r="HA18" s="178">
        <v>71</v>
      </c>
      <c r="HB18" s="178">
        <v>66</v>
      </c>
      <c r="HC18" s="178">
        <v>67</v>
      </c>
      <c r="HD18" s="178">
        <v>72</v>
      </c>
      <c r="HE18" s="178">
        <v>68</v>
      </c>
      <c r="HF18" s="178">
        <v>67</v>
      </c>
      <c r="HG18" s="178">
        <v>63</v>
      </c>
      <c r="HH18" s="178">
        <v>66</v>
      </c>
      <c r="HI18" s="178">
        <v>66</v>
      </c>
      <c r="HJ18" s="178">
        <v>63</v>
      </c>
      <c r="HK18" s="178">
        <v>69</v>
      </c>
      <c r="HL18" s="178">
        <v>69</v>
      </c>
      <c r="HM18" s="178">
        <v>68</v>
      </c>
      <c r="HN18" s="186">
        <v>26</v>
      </c>
      <c r="HO18" s="187">
        <v>2.1346469622331693E-2</v>
      </c>
      <c r="HP18" s="217">
        <v>1900</v>
      </c>
      <c r="HQ18" s="217">
        <v>1785</v>
      </c>
      <c r="HR18" s="217">
        <v>115</v>
      </c>
      <c r="HS18" s="1704">
        <v>6.0526315789473685E-2</v>
      </c>
    </row>
    <row r="19" spans="1:227" ht="13.8" customHeight="1" x14ac:dyDescent="0.25">
      <c r="A19" s="183" t="s">
        <v>620</v>
      </c>
      <c r="B19" s="183"/>
      <c r="C19" s="183" t="s">
        <v>101</v>
      </c>
      <c r="D19" s="183" t="s">
        <v>680</v>
      </c>
      <c r="E19" s="183" t="s">
        <v>101</v>
      </c>
      <c r="F19" s="183" t="s">
        <v>101</v>
      </c>
      <c r="G19" s="183" t="s">
        <v>468</v>
      </c>
      <c r="H19" s="183" t="s">
        <v>143</v>
      </c>
      <c r="I19" s="183" t="s">
        <v>144</v>
      </c>
      <c r="J19" s="183" t="s">
        <v>703</v>
      </c>
      <c r="K19" s="183" t="s">
        <v>101</v>
      </c>
      <c r="L19" s="184">
        <v>16890</v>
      </c>
      <c r="M19" s="184">
        <v>17035</v>
      </c>
      <c r="N19" s="184">
        <v>17080</v>
      </c>
      <c r="O19" s="184">
        <v>17315</v>
      </c>
      <c r="P19" s="184">
        <v>17440</v>
      </c>
      <c r="Q19" s="184">
        <v>17640</v>
      </c>
      <c r="R19" s="184">
        <v>17925</v>
      </c>
      <c r="S19" s="184">
        <v>18020</v>
      </c>
      <c r="T19" s="184">
        <v>18165</v>
      </c>
      <c r="U19" s="184">
        <v>18135</v>
      </c>
      <c r="V19" s="184">
        <v>985</v>
      </c>
      <c r="W19" s="184">
        <v>970</v>
      </c>
      <c r="X19" s="184">
        <v>935</v>
      </c>
      <c r="Y19" s="184">
        <v>955</v>
      </c>
      <c r="Z19" s="184">
        <v>1005</v>
      </c>
      <c r="AA19" s="184">
        <v>1025</v>
      </c>
      <c r="AB19" s="184">
        <v>1095</v>
      </c>
      <c r="AC19" s="184">
        <v>1110</v>
      </c>
      <c r="AD19" s="184">
        <v>1155</v>
      </c>
      <c r="AE19" s="184">
        <v>1095</v>
      </c>
      <c r="AF19" s="187">
        <v>0.83729433272394882</v>
      </c>
      <c r="AG19" s="187">
        <v>4.3875685557586835E-2</v>
      </c>
      <c r="AH19" s="187">
        <v>6.2157221206581355E-2</v>
      </c>
      <c r="AI19" s="187">
        <v>4.3875685557586835E-2</v>
      </c>
      <c r="AJ19" s="187">
        <v>7.3126142595978062E-3</v>
      </c>
      <c r="AK19" s="187">
        <v>5.4844606946983544E-3</v>
      </c>
      <c r="AL19" s="187">
        <v>0.16270566727605118</v>
      </c>
      <c r="AM19" s="184">
        <v>2085</v>
      </c>
      <c r="AN19" s="187">
        <v>0.66314779270633395</v>
      </c>
      <c r="AO19" s="187">
        <v>0.16794625719769674</v>
      </c>
      <c r="AP19" s="187">
        <v>0.16890595009596929</v>
      </c>
      <c r="AQ19" s="184">
        <v>203</v>
      </c>
      <c r="AR19" s="184">
        <v>201</v>
      </c>
      <c r="AS19" s="184">
        <v>193</v>
      </c>
      <c r="AT19" s="184">
        <v>194</v>
      </c>
      <c r="AU19" s="184">
        <v>199</v>
      </c>
      <c r="AV19" s="186">
        <v>6</v>
      </c>
      <c r="AW19" s="186">
        <v>6</v>
      </c>
      <c r="AX19" s="186">
        <v>3</v>
      </c>
      <c r="AY19" s="186">
        <v>6</v>
      </c>
      <c r="AZ19" s="186">
        <v>3</v>
      </c>
      <c r="BA19" s="186">
        <v>11</v>
      </c>
      <c r="BB19" s="187">
        <v>5.5276381909547742E-2</v>
      </c>
      <c r="BC19" s="187">
        <v>3.1142457209597071E-2</v>
      </c>
      <c r="BD19" s="187">
        <v>9.625486565987218E-2</v>
      </c>
      <c r="BE19" s="193">
        <v>9</v>
      </c>
      <c r="BF19" s="184">
        <v>298</v>
      </c>
      <c r="BG19" s="184">
        <v>371</v>
      </c>
      <c r="BH19" s="184">
        <v>148</v>
      </c>
      <c r="BI19" s="184">
        <v>0.15448969415237962</v>
      </c>
      <c r="BJ19" s="184">
        <v>2199</v>
      </c>
      <c r="BK19" s="184">
        <v>3972</v>
      </c>
      <c r="BL19" s="186">
        <v>2190</v>
      </c>
      <c r="BM19" s="186">
        <v>1385</v>
      </c>
      <c r="BN19" s="186">
        <v>5</v>
      </c>
      <c r="BO19" s="186">
        <v>246</v>
      </c>
      <c r="BP19" s="186">
        <v>405</v>
      </c>
      <c r="BQ19" s="186">
        <v>149</v>
      </c>
      <c r="BR19" s="193">
        <v>80</v>
      </c>
      <c r="BS19" s="193">
        <v>105</v>
      </c>
      <c r="BT19" s="193">
        <v>70</v>
      </c>
      <c r="BU19" s="186">
        <v>375</v>
      </c>
      <c r="BV19" s="186">
        <v>107</v>
      </c>
      <c r="BW19" s="222">
        <f t="shared" si="6"/>
        <v>0.28533333333333333</v>
      </c>
      <c r="BX19" s="186">
        <v>35</v>
      </c>
      <c r="BY19" s="193">
        <v>7</v>
      </c>
      <c r="BZ19" s="1676">
        <v>286</v>
      </c>
      <c r="CA19" s="222">
        <v>3.7725893681572351E-2</v>
      </c>
      <c r="CB19" s="200">
        <v>150</v>
      </c>
      <c r="CC19" s="200">
        <v>145</v>
      </c>
      <c r="CD19" s="200">
        <v>135</v>
      </c>
      <c r="CE19" s="200">
        <v>125</v>
      </c>
      <c r="CF19" s="186">
        <v>345</v>
      </c>
      <c r="CG19" s="187">
        <v>9.7272727272727275E-2</v>
      </c>
      <c r="CH19" s="186">
        <v>340</v>
      </c>
      <c r="CI19" s="187">
        <v>8.827272727272728E-2</v>
      </c>
      <c r="CJ19" s="186">
        <v>350</v>
      </c>
      <c r="CK19" s="187">
        <v>0.10281818181818182</v>
      </c>
      <c r="CL19" s="186">
        <v>305</v>
      </c>
      <c r="CM19" s="187">
        <v>9.7727272727272746E-2</v>
      </c>
      <c r="CN19" s="186">
        <v>335</v>
      </c>
      <c r="CO19" s="187">
        <v>0.10109090909090908</v>
      </c>
      <c r="CP19" s="186">
        <v>335</v>
      </c>
      <c r="CQ19" s="187">
        <v>0.10105580693815988</v>
      </c>
      <c r="CR19" s="184">
        <v>198</v>
      </c>
      <c r="CS19" s="184">
        <v>8</v>
      </c>
      <c r="CT19" s="184">
        <v>190</v>
      </c>
      <c r="CU19" s="187">
        <v>0.95203417272382795</v>
      </c>
      <c r="CV19" s="186">
        <v>93</v>
      </c>
      <c r="CW19" s="186">
        <v>115</v>
      </c>
      <c r="CX19" s="187">
        <v>0.51884419876961396</v>
      </c>
      <c r="CY19" s="187">
        <v>0.62537395540632246</v>
      </c>
      <c r="CZ19" s="187">
        <v>0.41930894701947735</v>
      </c>
      <c r="DA19" s="187">
        <v>0.56005564757734805</v>
      </c>
      <c r="DB19" s="187">
        <v>0.53433430731905218</v>
      </c>
      <c r="DC19" s="187">
        <v>0.67201974671269327</v>
      </c>
      <c r="DD19" s="182">
        <v>161</v>
      </c>
      <c r="DE19" s="182">
        <v>11</v>
      </c>
      <c r="DF19" s="143">
        <v>6.8322981366459631E-2</v>
      </c>
      <c r="DG19" s="143">
        <v>3.8575583671797267E-2</v>
      </c>
      <c r="DH19" s="143">
        <v>0.11818994731518039</v>
      </c>
      <c r="DI19" s="178" t="str">
        <f t="shared" si="0"/>
        <v>No Sig diff</v>
      </c>
      <c r="DJ19" s="182">
        <v>168</v>
      </c>
      <c r="DK19" s="182">
        <v>11</v>
      </c>
      <c r="DL19" s="143">
        <v>6.5476190476190479E-2</v>
      </c>
      <c r="DM19" s="143">
        <v>3.695089521739349E-2</v>
      </c>
      <c r="DN19" s="143">
        <v>0.11342875703903946</v>
      </c>
      <c r="DO19" s="178" t="str">
        <f t="shared" si="1"/>
        <v>No Sig diff</v>
      </c>
      <c r="DP19" s="183">
        <v>115</v>
      </c>
      <c r="DQ19" s="183">
        <v>6</v>
      </c>
      <c r="DR19" s="143">
        <v>5.2173913043478258E-2</v>
      </c>
      <c r="DS19" s="143">
        <v>2.4128549061825513E-2</v>
      </c>
      <c r="DT19" s="143">
        <v>0.10917054519277661</v>
      </c>
      <c r="DU19" s="178" t="str">
        <f t="shared" si="7"/>
        <v>No Sig diff</v>
      </c>
      <c r="DV19" s="178">
        <v>172</v>
      </c>
      <c r="DW19" s="178">
        <v>14</v>
      </c>
      <c r="DX19" s="179">
        <v>8.1395348837209308E-2</v>
      </c>
      <c r="DY19" s="179">
        <v>4.910271749221258E-2</v>
      </c>
      <c r="DZ19" s="179">
        <v>0.13197777987310397</v>
      </c>
      <c r="EA19" s="178" t="str">
        <f t="shared" si="2"/>
        <v>No Sig diff</v>
      </c>
      <c r="EB19" s="178">
        <v>181</v>
      </c>
      <c r="EC19" s="178">
        <v>18</v>
      </c>
      <c r="ED19" s="143">
        <v>9.9447513812154692E-2</v>
      </c>
      <c r="EE19" s="143">
        <v>6.3834231714869225E-2</v>
      </c>
      <c r="EF19" s="143">
        <v>0.15170972187047022</v>
      </c>
      <c r="EG19" s="178" t="str">
        <f t="shared" si="3"/>
        <v>Sig better than Eng.</v>
      </c>
      <c r="EH19" s="178">
        <v>172</v>
      </c>
      <c r="EI19" s="178">
        <v>27</v>
      </c>
      <c r="EJ19" s="143">
        <v>0.15697674418604651</v>
      </c>
      <c r="EK19" s="143">
        <v>0.11018266234093407</v>
      </c>
      <c r="EL19" s="143">
        <v>0.21875830077786704</v>
      </c>
      <c r="EM19" s="178" t="str">
        <f t="shared" si="8"/>
        <v>No Sig diff</v>
      </c>
      <c r="EN19" s="183">
        <v>196</v>
      </c>
      <c r="EO19" s="183">
        <v>24</v>
      </c>
      <c r="EP19" s="197">
        <v>0.12244897959183673</v>
      </c>
      <c r="EQ19" s="179">
        <v>8.3682204688779863E-2</v>
      </c>
      <c r="ER19" s="179">
        <v>0.1757307275757328</v>
      </c>
      <c r="ES19" s="178" t="str">
        <f t="shared" si="9"/>
        <v>Sig better than Eng.</v>
      </c>
      <c r="ET19" s="206">
        <v>178</v>
      </c>
      <c r="EU19" s="206">
        <v>26</v>
      </c>
      <c r="EV19" s="179">
        <v>0.14606741573033707</v>
      </c>
      <c r="EW19" s="179">
        <v>0.10167044863273805</v>
      </c>
      <c r="EX19" s="179">
        <v>0.20541826030550761</v>
      </c>
      <c r="EY19" s="178" t="str">
        <f t="shared" si="10"/>
        <v>No Sig diff</v>
      </c>
      <c r="EZ19" s="207">
        <v>197</v>
      </c>
      <c r="FA19" s="186">
        <v>96</v>
      </c>
      <c r="FB19" s="187">
        <v>0.48730964467005078</v>
      </c>
      <c r="FC19" s="187">
        <v>0.41842434381975807</v>
      </c>
      <c r="FD19" s="187">
        <v>0.55668039785380308</v>
      </c>
      <c r="FE19" s="208">
        <v>197</v>
      </c>
      <c r="FF19" s="209">
        <v>34</v>
      </c>
      <c r="FG19" s="208">
        <v>39</v>
      </c>
      <c r="FH19" s="209">
        <v>24.076923076923077</v>
      </c>
      <c r="FI19" s="187">
        <f t="shared" si="11"/>
        <v>0.29185520361990952</v>
      </c>
      <c r="FJ19" s="186">
        <v>215</v>
      </c>
      <c r="FK19" s="186">
        <v>140</v>
      </c>
      <c r="FL19" s="187">
        <v>0.65116279069767447</v>
      </c>
      <c r="FM19" s="187">
        <v>0.58530853616604794</v>
      </c>
      <c r="FN19" s="187">
        <v>0.71171013822168405</v>
      </c>
      <c r="FO19" s="198">
        <v>215</v>
      </c>
      <c r="FP19" s="199">
        <v>34</v>
      </c>
      <c r="FQ19" s="198">
        <v>43</v>
      </c>
      <c r="FR19" s="199">
        <v>24.232558139534884</v>
      </c>
      <c r="FS19" s="210">
        <v>0.28727770177838574</v>
      </c>
      <c r="FT19" s="200">
        <v>2770</v>
      </c>
      <c r="FU19" s="200">
        <v>2686</v>
      </c>
      <c r="FV19" s="200">
        <v>84</v>
      </c>
      <c r="FW19" s="200">
        <v>74</v>
      </c>
      <c r="FX19" s="200">
        <v>10</v>
      </c>
      <c r="FY19" s="187">
        <f t="shared" si="4"/>
        <v>0.88095238095238093</v>
      </c>
      <c r="FZ19" s="187">
        <f t="shared" si="5"/>
        <v>0.11904761904761904</v>
      </c>
      <c r="GA19" s="197">
        <v>0.90972777222777235</v>
      </c>
      <c r="GB19" s="197">
        <v>9.0272227772227778E-2</v>
      </c>
      <c r="GC19" s="197">
        <v>4.2986910653413021E-2</v>
      </c>
      <c r="GD19" s="197">
        <v>0.13784827338561564</v>
      </c>
      <c r="GE19" s="197">
        <v>0.88209429459429456</v>
      </c>
      <c r="GF19" s="197">
        <v>0.11790570540570541</v>
      </c>
      <c r="GG19" s="197">
        <v>6.6278187495025204E-2</v>
      </c>
      <c r="GH19" s="197">
        <v>0.1752358718003717</v>
      </c>
      <c r="GI19" s="197">
        <v>0.87754884004884015</v>
      </c>
      <c r="GJ19" s="197">
        <v>0.12245115995115995</v>
      </c>
      <c r="GK19" s="197">
        <v>6.6278187495025204E-2</v>
      </c>
      <c r="GL19" s="197">
        <v>0.1752358718003717</v>
      </c>
      <c r="GM19" s="197">
        <v>0.77176874162520082</v>
      </c>
      <c r="GN19" s="197">
        <v>0.22823125837479907</v>
      </c>
      <c r="GO19" s="197">
        <v>0.16395460040058435</v>
      </c>
      <c r="GP19" s="197">
        <v>0.30869018535562776</v>
      </c>
      <c r="GQ19" s="186">
        <v>58</v>
      </c>
      <c r="GR19" s="186">
        <v>56</v>
      </c>
      <c r="GS19" s="178">
        <v>57</v>
      </c>
      <c r="GT19" s="178">
        <v>58</v>
      </c>
      <c r="GU19" s="178">
        <v>56</v>
      </c>
      <c r="GV19" s="178">
        <v>68</v>
      </c>
      <c r="GW19" s="178">
        <v>66</v>
      </c>
      <c r="GX19" s="178">
        <v>62</v>
      </c>
      <c r="GY19" s="178">
        <v>65</v>
      </c>
      <c r="GZ19" s="178">
        <v>63</v>
      </c>
      <c r="HA19" s="178">
        <v>65</v>
      </c>
      <c r="HB19" s="178">
        <v>65</v>
      </c>
      <c r="HC19" s="178">
        <v>66</v>
      </c>
      <c r="HD19" s="178">
        <v>56</v>
      </c>
      <c r="HE19" s="178">
        <v>52</v>
      </c>
      <c r="HF19" s="178">
        <v>49</v>
      </c>
      <c r="HG19" s="178">
        <v>48</v>
      </c>
      <c r="HH19" s="178">
        <v>48</v>
      </c>
      <c r="HI19" s="178">
        <v>51</v>
      </c>
      <c r="HJ19" s="178">
        <v>46</v>
      </c>
      <c r="HK19" s="178">
        <v>52</v>
      </c>
      <c r="HL19" s="178">
        <v>49</v>
      </c>
      <c r="HM19" s="178">
        <v>51</v>
      </c>
      <c r="HN19" s="186">
        <v>19</v>
      </c>
      <c r="HO19" s="187">
        <v>1.736745886654479E-2</v>
      </c>
      <c r="HP19" s="217">
        <v>1659</v>
      </c>
      <c r="HQ19" s="217">
        <v>1527</v>
      </c>
      <c r="HR19" s="217">
        <v>132</v>
      </c>
      <c r="HS19" s="1704">
        <v>7.956600361663653E-2</v>
      </c>
    </row>
    <row r="20" spans="1:227" ht="13.8" customHeight="1" x14ac:dyDescent="0.25">
      <c r="A20" s="183" t="s">
        <v>49</v>
      </c>
      <c r="B20" s="183"/>
      <c r="C20" s="183" t="s">
        <v>34</v>
      </c>
      <c r="D20" s="183" t="s">
        <v>675</v>
      </c>
      <c r="E20" s="183" t="s">
        <v>34</v>
      </c>
      <c r="F20" s="183" t="s">
        <v>34</v>
      </c>
      <c r="G20" s="183" t="s">
        <v>446</v>
      </c>
      <c r="H20" s="183" t="s">
        <v>168</v>
      </c>
      <c r="I20" s="183" t="s">
        <v>127</v>
      </c>
      <c r="J20" s="183" t="s">
        <v>704</v>
      </c>
      <c r="K20" s="183" t="s">
        <v>133</v>
      </c>
      <c r="L20" s="184">
        <v>14170</v>
      </c>
      <c r="M20" s="184">
        <v>14160</v>
      </c>
      <c r="N20" s="184">
        <v>14375</v>
      </c>
      <c r="O20" s="184">
        <v>14435</v>
      </c>
      <c r="P20" s="184">
        <v>14450</v>
      </c>
      <c r="Q20" s="184">
        <v>14610</v>
      </c>
      <c r="R20" s="184">
        <v>14625</v>
      </c>
      <c r="S20" s="184">
        <v>14590</v>
      </c>
      <c r="T20" s="184">
        <v>14850</v>
      </c>
      <c r="U20" s="184">
        <v>15185</v>
      </c>
      <c r="V20" s="184">
        <v>770</v>
      </c>
      <c r="W20" s="184">
        <v>775</v>
      </c>
      <c r="X20" s="184">
        <v>805</v>
      </c>
      <c r="Y20" s="184">
        <v>800</v>
      </c>
      <c r="Z20" s="184">
        <v>830</v>
      </c>
      <c r="AA20" s="184">
        <v>815</v>
      </c>
      <c r="AB20" s="184">
        <v>860</v>
      </c>
      <c r="AC20" s="184">
        <v>905</v>
      </c>
      <c r="AD20" s="184">
        <v>945</v>
      </c>
      <c r="AE20" s="184">
        <v>990</v>
      </c>
      <c r="AF20" s="187">
        <v>0.89910313901345296</v>
      </c>
      <c r="AG20" s="187">
        <v>2.1300448430493273E-2</v>
      </c>
      <c r="AH20" s="187">
        <v>4.708520179372197E-2</v>
      </c>
      <c r="AI20" s="187">
        <v>2.8026905829596414E-2</v>
      </c>
      <c r="AJ20" s="187">
        <v>0</v>
      </c>
      <c r="AK20" s="187">
        <v>4.4843049327354259E-3</v>
      </c>
      <c r="AL20" s="187">
        <v>0.10089686098654709</v>
      </c>
      <c r="AM20" s="184">
        <v>1660</v>
      </c>
      <c r="AN20" s="187">
        <v>0.59975889089813139</v>
      </c>
      <c r="AO20" s="187">
        <v>0.20253164556962025</v>
      </c>
      <c r="AP20" s="187">
        <v>0.19770946353224833</v>
      </c>
      <c r="AQ20" s="184">
        <v>150</v>
      </c>
      <c r="AR20" s="184">
        <v>168</v>
      </c>
      <c r="AS20" s="184">
        <v>169</v>
      </c>
      <c r="AT20" s="184">
        <v>178</v>
      </c>
      <c r="AU20" s="184">
        <v>202</v>
      </c>
      <c r="AV20" s="186">
        <v>7</v>
      </c>
      <c r="AW20" s="186">
        <v>5</v>
      </c>
      <c r="AX20" s="186">
        <v>7</v>
      </c>
      <c r="AY20" s="186">
        <v>4</v>
      </c>
      <c r="AZ20" s="186">
        <v>6</v>
      </c>
      <c r="BA20" s="186">
        <v>16</v>
      </c>
      <c r="BB20" s="187">
        <v>7.9207920792079209E-2</v>
      </c>
      <c r="BC20" s="187">
        <v>4.9341090217535556E-2</v>
      </c>
      <c r="BD20" s="187">
        <v>0.12478058102419014</v>
      </c>
      <c r="BE20" s="193">
        <v>9</v>
      </c>
      <c r="BF20" s="184">
        <v>299</v>
      </c>
      <c r="BG20" s="184">
        <v>296</v>
      </c>
      <c r="BH20" s="184">
        <v>106</v>
      </c>
      <c r="BI20" s="184">
        <v>0.10826011162237827</v>
      </c>
      <c r="BJ20" s="184">
        <v>1701</v>
      </c>
      <c r="BK20" s="184">
        <v>2930</v>
      </c>
      <c r="BL20" s="186">
        <v>1708</v>
      </c>
      <c r="BM20" s="186">
        <v>897</v>
      </c>
      <c r="BN20" s="186">
        <v>3</v>
      </c>
      <c r="BO20" s="186">
        <v>278</v>
      </c>
      <c r="BP20" s="186">
        <v>406</v>
      </c>
      <c r="BQ20" s="186">
        <v>124</v>
      </c>
      <c r="BR20" s="193">
        <v>135</v>
      </c>
      <c r="BS20" s="193">
        <v>105</v>
      </c>
      <c r="BT20" s="193">
        <v>95</v>
      </c>
      <c r="BU20" s="186">
        <v>405</v>
      </c>
      <c r="BV20" s="186">
        <v>156</v>
      </c>
      <c r="BW20" s="222">
        <f t="shared" si="6"/>
        <v>0.38518518518518519</v>
      </c>
      <c r="BX20" s="186">
        <v>30</v>
      </c>
      <c r="BY20" s="193">
        <v>3</v>
      </c>
      <c r="BZ20" s="1676">
        <v>345</v>
      </c>
      <c r="CA20" s="222">
        <v>5.3889409559512651E-2</v>
      </c>
      <c r="CB20" s="200">
        <v>165</v>
      </c>
      <c r="CC20" s="200">
        <v>165</v>
      </c>
      <c r="CD20" s="200">
        <v>155</v>
      </c>
      <c r="CE20" s="200">
        <v>155</v>
      </c>
      <c r="CF20" s="186">
        <v>415</v>
      </c>
      <c r="CG20" s="187">
        <v>0.16354545454545455</v>
      </c>
      <c r="CH20" s="186">
        <v>425</v>
      </c>
      <c r="CI20" s="187">
        <v>0.15463636363636366</v>
      </c>
      <c r="CJ20" s="186">
        <v>420</v>
      </c>
      <c r="CK20" s="187">
        <v>0.15981818181818183</v>
      </c>
      <c r="CL20" s="186">
        <v>420</v>
      </c>
      <c r="CM20" s="187">
        <v>0.1598181818181818</v>
      </c>
      <c r="CN20" s="186">
        <v>445</v>
      </c>
      <c r="CO20" s="187">
        <v>0.15672727272727272</v>
      </c>
      <c r="CP20" s="186">
        <v>435</v>
      </c>
      <c r="CQ20" s="187">
        <v>0.16322701688555347</v>
      </c>
      <c r="CR20" s="184">
        <v>181</v>
      </c>
      <c r="CS20" s="184">
        <v>5</v>
      </c>
      <c r="CT20" s="184">
        <v>176</v>
      </c>
      <c r="CU20" s="187">
        <v>0.97242984471245353</v>
      </c>
      <c r="CV20" s="186">
        <v>73</v>
      </c>
      <c r="CW20" s="186">
        <v>95</v>
      </c>
      <c r="CX20" s="187">
        <v>0.42210762312085143</v>
      </c>
      <c r="CY20" s="187">
        <v>0.5499432456088803</v>
      </c>
      <c r="CZ20" s="187">
        <v>0.34456265326077334</v>
      </c>
      <c r="DA20" s="187">
        <v>0.48862388422554792</v>
      </c>
      <c r="DB20" s="187">
        <v>0.4660727025222357</v>
      </c>
      <c r="DC20" s="187">
        <v>0.61177357998414772</v>
      </c>
      <c r="DD20" s="182">
        <v>128</v>
      </c>
      <c r="DE20" s="182">
        <v>6</v>
      </c>
      <c r="DF20" s="143">
        <v>4.6875E-2</v>
      </c>
      <c r="DG20" s="143">
        <v>2.1657844171923776E-2</v>
      </c>
      <c r="DH20" s="143">
        <v>9.8497522450943217E-2</v>
      </c>
      <c r="DI20" s="178" t="str">
        <f t="shared" si="0"/>
        <v>No Sig diff</v>
      </c>
      <c r="DJ20" s="182">
        <v>156</v>
      </c>
      <c r="DK20" s="182">
        <v>9</v>
      </c>
      <c r="DL20" s="143">
        <v>5.7692307692307696E-2</v>
      </c>
      <c r="DM20" s="143">
        <v>3.0645742163795515E-2</v>
      </c>
      <c r="DN20" s="143">
        <v>0.10599877410776384</v>
      </c>
      <c r="DO20" s="178" t="str">
        <f t="shared" si="1"/>
        <v>No Sig diff</v>
      </c>
      <c r="DP20" s="183">
        <v>132</v>
      </c>
      <c r="DQ20" s="183">
        <v>9</v>
      </c>
      <c r="DR20" s="143">
        <v>6.8181818181818177E-2</v>
      </c>
      <c r="DS20" s="143">
        <v>3.6282334854811568E-2</v>
      </c>
      <c r="DT20" s="143">
        <v>0.12450406283489571</v>
      </c>
      <c r="DU20" s="178" t="str">
        <f t="shared" si="7"/>
        <v>No Sig diff</v>
      </c>
      <c r="DV20" s="178">
        <v>165</v>
      </c>
      <c r="DW20" s="178">
        <v>17</v>
      </c>
      <c r="DX20" s="179">
        <v>0.10303030303030303</v>
      </c>
      <c r="DY20" s="179">
        <v>6.5326799711821093E-2</v>
      </c>
      <c r="DZ20" s="179">
        <v>0.15879741175262088</v>
      </c>
      <c r="EA20" s="178" t="str">
        <f t="shared" si="2"/>
        <v>No Sig diff</v>
      </c>
      <c r="EB20" s="178">
        <v>135</v>
      </c>
      <c r="EC20" s="178">
        <v>25</v>
      </c>
      <c r="ED20" s="143">
        <v>0.18518518518518517</v>
      </c>
      <c r="EE20" s="143">
        <v>0.12869783265528051</v>
      </c>
      <c r="EF20" s="143">
        <v>0.25909310009649444</v>
      </c>
      <c r="EG20" s="178" t="str">
        <f t="shared" si="3"/>
        <v>No Sig diff</v>
      </c>
      <c r="EH20" s="178">
        <v>120</v>
      </c>
      <c r="EI20" s="178">
        <v>27</v>
      </c>
      <c r="EJ20" s="143">
        <v>0.22500000000000001</v>
      </c>
      <c r="EK20" s="143">
        <v>0.15949154668383531</v>
      </c>
      <c r="EL20" s="143">
        <v>0.30756899484645162</v>
      </c>
      <c r="EM20" s="178" t="str">
        <f t="shared" si="8"/>
        <v>No Sig diff</v>
      </c>
      <c r="EN20" s="183">
        <v>121</v>
      </c>
      <c r="EO20" s="183">
        <v>18</v>
      </c>
      <c r="EP20" s="197">
        <v>0.1487603305785124</v>
      </c>
      <c r="EQ20" s="179">
        <v>9.6217408704644847E-2</v>
      </c>
      <c r="ER20" s="179">
        <v>0.22291903200226135</v>
      </c>
      <c r="ES20" s="178" t="str">
        <f t="shared" si="9"/>
        <v>No Sig diff</v>
      </c>
      <c r="ET20" s="206">
        <v>125</v>
      </c>
      <c r="EU20" s="206">
        <v>27</v>
      </c>
      <c r="EV20" s="179">
        <v>0.216</v>
      </c>
      <c r="EW20" s="179">
        <v>0.15290810140879452</v>
      </c>
      <c r="EX20" s="179">
        <v>0.2960270422175349</v>
      </c>
      <c r="EY20" s="178" t="str">
        <f t="shared" si="10"/>
        <v>No Sig diff</v>
      </c>
      <c r="EZ20" s="207">
        <v>179</v>
      </c>
      <c r="FA20" s="186">
        <v>88</v>
      </c>
      <c r="FB20" s="187">
        <v>0.49162011173184356</v>
      </c>
      <c r="FC20" s="187">
        <v>0.41933238292420277</v>
      </c>
      <c r="FD20" s="187">
        <v>0.56425995975699406</v>
      </c>
      <c r="FE20" s="208">
        <v>179</v>
      </c>
      <c r="FF20" s="209">
        <v>34</v>
      </c>
      <c r="FG20" s="208">
        <v>35</v>
      </c>
      <c r="FH20" s="209">
        <v>23.971428571428568</v>
      </c>
      <c r="FI20" s="187">
        <f t="shared" si="11"/>
        <v>0.29495798319327743</v>
      </c>
      <c r="FJ20" s="186">
        <v>172</v>
      </c>
      <c r="FK20" s="186">
        <v>106</v>
      </c>
      <c r="FL20" s="187">
        <v>0.61627906976744184</v>
      </c>
      <c r="FM20" s="187">
        <v>0.5418179440123243</v>
      </c>
      <c r="FN20" s="187">
        <v>0.6856596956084211</v>
      </c>
      <c r="FO20" s="198">
        <v>172</v>
      </c>
      <c r="FP20" s="199">
        <v>34</v>
      </c>
      <c r="FQ20" s="198">
        <v>34</v>
      </c>
      <c r="FR20" s="199">
        <v>26.941176470588232</v>
      </c>
      <c r="FS20" s="210">
        <v>0.20761245674740494</v>
      </c>
      <c r="FT20" s="200">
        <v>2048</v>
      </c>
      <c r="FU20" s="200">
        <v>2022</v>
      </c>
      <c r="FV20" s="200">
        <v>26</v>
      </c>
      <c r="FW20" s="200">
        <v>22</v>
      </c>
      <c r="FX20" s="200">
        <v>4</v>
      </c>
      <c r="FY20" s="187">
        <f t="shared" si="4"/>
        <v>0.84615384615384615</v>
      </c>
      <c r="FZ20" s="187">
        <f t="shared" si="5"/>
        <v>0.15384615384615385</v>
      </c>
      <c r="GA20" s="197">
        <v>0.92550505050505061</v>
      </c>
      <c r="GB20" s="197">
        <v>7.4494949494949489E-2</v>
      </c>
      <c r="GC20" s="197">
        <v>4.283011146065737E-2</v>
      </c>
      <c r="GD20" s="197">
        <v>0.15590067811002259</v>
      </c>
      <c r="GE20" s="197">
        <v>0.9412878787878789</v>
      </c>
      <c r="GF20" s="197">
        <v>5.8712121212121209E-2</v>
      </c>
      <c r="GG20" s="197">
        <v>2.8956279687604513E-2</v>
      </c>
      <c r="GH20" s="197">
        <v>0.12971104936160943</v>
      </c>
      <c r="GI20" s="197">
        <v>0.93118686868686884</v>
      </c>
      <c r="GJ20" s="197">
        <v>6.8813131313131312E-2</v>
      </c>
      <c r="GK20" s="197">
        <v>3.5767126237989492E-2</v>
      </c>
      <c r="GL20" s="197">
        <v>0.14293193307195745</v>
      </c>
      <c r="GM20" s="197">
        <v>0.79608585858585845</v>
      </c>
      <c r="GN20" s="197">
        <v>0.20391414141414141</v>
      </c>
      <c r="GO20" s="197">
        <v>0.14776236248775229</v>
      </c>
      <c r="GP20" s="197">
        <v>0.31138092047245669</v>
      </c>
      <c r="GQ20" s="186">
        <v>57</v>
      </c>
      <c r="GR20" s="186">
        <v>52</v>
      </c>
      <c r="GS20" s="178">
        <v>53</v>
      </c>
      <c r="GT20" s="178">
        <v>55</v>
      </c>
      <c r="GU20" s="178">
        <v>53</v>
      </c>
      <c r="GV20" s="178">
        <v>42</v>
      </c>
      <c r="GW20" s="178">
        <v>40</v>
      </c>
      <c r="GX20" s="178">
        <v>41</v>
      </c>
      <c r="GY20" s="178">
        <v>40</v>
      </c>
      <c r="GZ20" s="178">
        <v>41</v>
      </c>
      <c r="HA20" s="178">
        <v>41</v>
      </c>
      <c r="HB20" s="178">
        <v>40</v>
      </c>
      <c r="HC20" s="178">
        <v>41</v>
      </c>
      <c r="HD20" s="178">
        <v>41</v>
      </c>
      <c r="HE20" s="178">
        <v>38</v>
      </c>
      <c r="HF20" s="178">
        <v>37</v>
      </c>
      <c r="HG20" s="178">
        <v>37</v>
      </c>
      <c r="HH20" s="178">
        <v>37</v>
      </c>
      <c r="HI20" s="178">
        <v>38</v>
      </c>
      <c r="HJ20" s="178">
        <v>36</v>
      </c>
      <c r="HK20" s="178">
        <v>37</v>
      </c>
      <c r="HL20" s="178">
        <v>36</v>
      </c>
      <c r="HM20" s="178">
        <v>38</v>
      </c>
      <c r="HN20" s="186">
        <v>22</v>
      </c>
      <c r="HO20" s="187">
        <v>2.4663677130044841E-2</v>
      </c>
      <c r="HP20" s="217">
        <v>1387</v>
      </c>
      <c r="HQ20" s="217">
        <v>1218</v>
      </c>
      <c r="HR20" s="217">
        <v>169</v>
      </c>
      <c r="HS20" s="1704">
        <v>0.12184571016582552</v>
      </c>
    </row>
    <row r="21" spans="1:227" ht="13.8" customHeight="1" x14ac:dyDescent="0.25">
      <c r="A21" s="183" t="s">
        <v>50</v>
      </c>
      <c r="B21" s="183"/>
      <c r="C21" s="183" t="s">
        <v>34</v>
      </c>
      <c r="D21" s="183" t="s">
        <v>674</v>
      </c>
      <c r="E21" s="183" t="s">
        <v>34</v>
      </c>
      <c r="F21" s="183" t="s">
        <v>34</v>
      </c>
      <c r="G21" s="183" t="s">
        <v>447</v>
      </c>
      <c r="H21" s="183" t="s">
        <v>50</v>
      </c>
      <c r="I21" s="183" t="s">
        <v>127</v>
      </c>
      <c r="J21" s="183" t="s">
        <v>704</v>
      </c>
      <c r="K21" s="183" t="s">
        <v>133</v>
      </c>
      <c r="L21" s="184">
        <v>13875</v>
      </c>
      <c r="M21" s="184">
        <v>13885</v>
      </c>
      <c r="N21" s="184">
        <v>14085</v>
      </c>
      <c r="O21" s="184">
        <v>14295</v>
      </c>
      <c r="P21" s="184">
        <v>14475</v>
      </c>
      <c r="Q21" s="184">
        <v>14595</v>
      </c>
      <c r="R21" s="184">
        <v>14705</v>
      </c>
      <c r="S21" s="184">
        <v>14760</v>
      </c>
      <c r="T21" s="184">
        <v>14890</v>
      </c>
      <c r="U21" s="184">
        <v>15055</v>
      </c>
      <c r="V21" s="184">
        <v>680</v>
      </c>
      <c r="W21" s="184">
        <v>650</v>
      </c>
      <c r="X21" s="184">
        <v>690</v>
      </c>
      <c r="Y21" s="184">
        <v>730</v>
      </c>
      <c r="Z21" s="184">
        <v>725</v>
      </c>
      <c r="AA21" s="184">
        <v>805</v>
      </c>
      <c r="AB21" s="184">
        <v>850</v>
      </c>
      <c r="AC21" s="184">
        <v>875</v>
      </c>
      <c r="AD21" s="184">
        <v>910</v>
      </c>
      <c r="AE21" s="184">
        <v>955</v>
      </c>
      <c r="AF21" s="187">
        <v>0.88173302107728335</v>
      </c>
      <c r="AG21" s="187">
        <v>3.864168618266979E-2</v>
      </c>
      <c r="AH21" s="187">
        <v>4.6838407494145202E-2</v>
      </c>
      <c r="AI21" s="187">
        <v>1.9906323185011711E-2</v>
      </c>
      <c r="AJ21" s="187">
        <v>5.8548009367681503E-3</v>
      </c>
      <c r="AK21" s="187">
        <v>7.0257611241217799E-3</v>
      </c>
      <c r="AL21" s="187">
        <v>0.11826697892271663</v>
      </c>
      <c r="AM21" s="184">
        <v>1580</v>
      </c>
      <c r="AN21" s="187">
        <v>0.6198608475648324</v>
      </c>
      <c r="AO21" s="187">
        <v>0.12397216951296648</v>
      </c>
      <c r="AP21" s="187">
        <v>0.25616698292220114</v>
      </c>
      <c r="AQ21" s="184">
        <v>180</v>
      </c>
      <c r="AR21" s="184">
        <v>169</v>
      </c>
      <c r="AS21" s="184">
        <v>185</v>
      </c>
      <c r="AT21" s="184">
        <v>195</v>
      </c>
      <c r="AU21" s="184">
        <v>199</v>
      </c>
      <c r="AV21" s="186">
        <v>11</v>
      </c>
      <c r="AW21" s="186">
        <v>12</v>
      </c>
      <c r="AX21" s="186">
        <v>7</v>
      </c>
      <c r="AY21" s="186">
        <v>13</v>
      </c>
      <c r="AZ21" s="186">
        <v>8</v>
      </c>
      <c r="BA21" s="186">
        <v>9</v>
      </c>
      <c r="BB21" s="187">
        <v>4.5226130653266333E-2</v>
      </c>
      <c r="BC21" s="187">
        <v>2.3973316045364932E-2</v>
      </c>
      <c r="BD21" s="187">
        <v>8.3704172312679903E-2</v>
      </c>
      <c r="BE21" s="193">
        <v>14</v>
      </c>
      <c r="BF21" s="184">
        <v>316</v>
      </c>
      <c r="BG21" s="184">
        <v>254</v>
      </c>
      <c r="BH21" s="184">
        <v>103</v>
      </c>
      <c r="BI21" s="184">
        <v>0.11967164501186521</v>
      </c>
      <c r="BJ21" s="184">
        <v>1619</v>
      </c>
      <c r="BK21" s="184">
        <v>2755</v>
      </c>
      <c r="BL21" s="186">
        <v>1633</v>
      </c>
      <c r="BM21" s="186">
        <v>831</v>
      </c>
      <c r="BN21" s="186">
        <v>0</v>
      </c>
      <c r="BO21" s="186">
        <v>297</v>
      </c>
      <c r="BP21" s="186">
        <v>388</v>
      </c>
      <c r="BQ21" s="186">
        <v>117</v>
      </c>
      <c r="BR21" s="193">
        <v>135</v>
      </c>
      <c r="BS21" s="193">
        <v>145</v>
      </c>
      <c r="BT21" s="193">
        <v>140</v>
      </c>
      <c r="BU21" s="186">
        <v>388</v>
      </c>
      <c r="BV21" s="186">
        <v>152</v>
      </c>
      <c r="BW21" s="222">
        <f t="shared" si="6"/>
        <v>0.39175257731958762</v>
      </c>
      <c r="BX21" s="186">
        <v>44</v>
      </c>
      <c r="BY21" s="193">
        <v>3</v>
      </c>
      <c r="BZ21" s="1676">
        <v>296</v>
      </c>
      <c r="CA21" s="222">
        <v>4.3929949539922825E-2</v>
      </c>
      <c r="CB21" s="200">
        <v>190</v>
      </c>
      <c r="CC21" s="200">
        <v>180</v>
      </c>
      <c r="CD21" s="200">
        <v>200</v>
      </c>
      <c r="CE21" s="200">
        <v>175</v>
      </c>
      <c r="CF21" s="186">
        <v>405</v>
      </c>
      <c r="CG21" s="187">
        <v>0.17611111111111108</v>
      </c>
      <c r="CH21" s="186">
        <v>375</v>
      </c>
      <c r="CI21" s="187">
        <v>0.15288888888888888</v>
      </c>
      <c r="CJ21" s="186">
        <v>460</v>
      </c>
      <c r="CK21" s="187">
        <v>0.18899999999999997</v>
      </c>
      <c r="CL21" s="186">
        <v>370</v>
      </c>
      <c r="CM21" s="187">
        <v>0.15466666666666665</v>
      </c>
      <c r="CN21" s="186">
        <v>420</v>
      </c>
      <c r="CO21" s="187">
        <v>0.16600000000000001</v>
      </c>
      <c r="CP21" s="186">
        <v>405</v>
      </c>
      <c r="CQ21" s="187">
        <v>0.16396761133603238</v>
      </c>
      <c r="CR21" s="184">
        <v>188</v>
      </c>
      <c r="CS21" s="184">
        <v>14</v>
      </c>
      <c r="CT21" s="184">
        <v>174</v>
      </c>
      <c r="CU21" s="187">
        <v>0.91221703151023581</v>
      </c>
      <c r="CV21" s="186">
        <v>68</v>
      </c>
      <c r="CW21" s="186">
        <v>86</v>
      </c>
      <c r="CX21" s="187">
        <v>0.35166311538860562</v>
      </c>
      <c r="CY21" s="187">
        <v>0.46023725729608089</v>
      </c>
      <c r="CZ21" s="187">
        <v>0.3214116321508444</v>
      </c>
      <c r="DA21" s="187">
        <v>0.46491507656072817</v>
      </c>
      <c r="DB21" s="187">
        <v>0.42089495809986699</v>
      </c>
      <c r="DC21" s="187">
        <v>0.56785907920074208</v>
      </c>
      <c r="DD21" s="182">
        <v>130</v>
      </c>
      <c r="DE21" s="182">
        <v>7</v>
      </c>
      <c r="DF21" s="143">
        <v>5.3846153846153849E-2</v>
      </c>
      <c r="DG21" s="143">
        <v>2.632495898818149E-2</v>
      </c>
      <c r="DH21" s="143">
        <v>0.10697797253915731</v>
      </c>
      <c r="DI21" s="178" t="str">
        <f t="shared" si="0"/>
        <v>No Sig diff</v>
      </c>
      <c r="DJ21" s="182">
        <v>154</v>
      </c>
      <c r="DK21" s="182">
        <v>11</v>
      </c>
      <c r="DL21" s="143">
        <v>7.1428571428571425E-2</v>
      </c>
      <c r="DM21" s="143">
        <v>4.0349744563473719E-2</v>
      </c>
      <c r="DN21" s="143">
        <v>0.12336807085566588</v>
      </c>
      <c r="DO21" s="178" t="str">
        <f t="shared" si="1"/>
        <v>No Sig diff</v>
      </c>
      <c r="DP21" s="183">
        <v>127</v>
      </c>
      <c r="DQ21" s="183">
        <v>12</v>
      </c>
      <c r="DR21" s="143">
        <v>9.4488188976377951E-2</v>
      </c>
      <c r="DS21" s="143">
        <v>5.4879198646489942E-2</v>
      </c>
      <c r="DT21" s="143">
        <v>0.15790854517443623</v>
      </c>
      <c r="DU21" s="178" t="str">
        <f t="shared" si="7"/>
        <v>No Sig diff</v>
      </c>
      <c r="DV21" s="178">
        <v>158</v>
      </c>
      <c r="DW21" s="178">
        <v>10</v>
      </c>
      <c r="DX21" s="179">
        <v>6.3291139240506333E-2</v>
      </c>
      <c r="DY21" s="179">
        <v>3.4738438192433274E-2</v>
      </c>
      <c r="DZ21" s="179">
        <v>0.11257522911149487</v>
      </c>
      <c r="EA21" s="178" t="str">
        <f t="shared" si="2"/>
        <v>No Sig diff</v>
      </c>
      <c r="EB21" s="178">
        <v>110</v>
      </c>
      <c r="EC21" s="178">
        <v>24</v>
      </c>
      <c r="ED21" s="143">
        <v>0.21818181818181817</v>
      </c>
      <c r="EE21" s="143">
        <v>0.15122956180325126</v>
      </c>
      <c r="EF21" s="143">
        <v>0.30415338354662314</v>
      </c>
      <c r="EG21" s="178" t="str">
        <f t="shared" si="3"/>
        <v>No Sig diff</v>
      </c>
      <c r="EH21" s="178">
        <v>113</v>
      </c>
      <c r="EI21" s="178">
        <v>17</v>
      </c>
      <c r="EJ21" s="143">
        <v>0.15044247787610621</v>
      </c>
      <c r="EK21" s="143">
        <v>9.6100867119634975E-2</v>
      </c>
      <c r="EL21" s="143">
        <v>0.22776926598753502</v>
      </c>
      <c r="EM21" s="178" t="str">
        <f t="shared" si="8"/>
        <v>No Sig diff</v>
      </c>
      <c r="EN21" s="183">
        <v>98</v>
      </c>
      <c r="EO21" s="183">
        <v>16</v>
      </c>
      <c r="EP21" s="197">
        <v>0.16326530612244897</v>
      </c>
      <c r="EQ21" s="179">
        <v>0.10306803521803502</v>
      </c>
      <c r="ER21" s="179">
        <v>0.24886583568023959</v>
      </c>
      <c r="ES21" s="178" t="str">
        <f t="shared" si="9"/>
        <v>No Sig diff</v>
      </c>
      <c r="ET21" s="206">
        <v>126</v>
      </c>
      <c r="EU21" s="206">
        <v>11</v>
      </c>
      <c r="EV21" s="179">
        <v>8.7301587301587297E-2</v>
      </c>
      <c r="EW21" s="179">
        <v>4.9446843632529658E-2</v>
      </c>
      <c r="EX21" s="179">
        <v>0.14957632705118967</v>
      </c>
      <c r="EY21" s="178" t="str">
        <f t="shared" si="10"/>
        <v>Sig better than Eng.</v>
      </c>
      <c r="EZ21" s="207">
        <v>171</v>
      </c>
      <c r="FA21" s="186">
        <v>83</v>
      </c>
      <c r="FB21" s="187">
        <v>0.4853801169590643</v>
      </c>
      <c r="FC21" s="187">
        <v>0.41161906981424612</v>
      </c>
      <c r="FD21" s="187">
        <v>0.55978359386904153</v>
      </c>
      <c r="FE21" s="208">
        <v>171</v>
      </c>
      <c r="FF21" s="209">
        <v>34</v>
      </c>
      <c r="FG21" s="208">
        <v>34</v>
      </c>
      <c r="FH21" s="209">
        <v>22.558823529411764</v>
      </c>
      <c r="FI21" s="187">
        <f t="shared" si="11"/>
        <v>0.33650519031141868</v>
      </c>
      <c r="FJ21" s="186">
        <v>169</v>
      </c>
      <c r="FK21" s="186">
        <v>90</v>
      </c>
      <c r="FL21" s="187">
        <v>0.53254437869822491</v>
      </c>
      <c r="FM21" s="187">
        <v>0.45743480329711905</v>
      </c>
      <c r="FN21" s="187">
        <v>0.60620733485106337</v>
      </c>
      <c r="FO21" s="198">
        <v>169</v>
      </c>
      <c r="FP21" s="199">
        <v>34</v>
      </c>
      <c r="FQ21" s="198">
        <v>33</v>
      </c>
      <c r="FR21" s="199">
        <v>22.090909090909093</v>
      </c>
      <c r="FS21" s="210">
        <v>0.35026737967914429</v>
      </c>
      <c r="FT21" s="200">
        <v>1894</v>
      </c>
      <c r="FU21" s="200">
        <v>1869</v>
      </c>
      <c r="FV21" s="200">
        <v>25</v>
      </c>
      <c r="FW21" s="200">
        <v>20</v>
      </c>
      <c r="FX21" s="200">
        <v>5</v>
      </c>
      <c r="FY21" s="187">
        <f t="shared" si="4"/>
        <v>0.8</v>
      </c>
      <c r="FZ21" s="187">
        <f t="shared" si="5"/>
        <v>0.2</v>
      </c>
      <c r="GA21" s="197">
        <v>0.84947089947089938</v>
      </c>
      <c r="GB21" s="197">
        <v>0.15052910052910054</v>
      </c>
      <c r="GC21" s="197">
        <v>8.5202569718038565E-2</v>
      </c>
      <c r="GD21" s="197">
        <v>0.21470101193978974</v>
      </c>
      <c r="GE21" s="197">
        <v>0.87645502645502649</v>
      </c>
      <c r="GF21" s="197">
        <v>0.12354497354497355</v>
      </c>
      <c r="GG21" s="197">
        <v>7.1039064247299846E-2</v>
      </c>
      <c r="GH21" s="197">
        <v>0.19341659749446916</v>
      </c>
      <c r="GI21" s="197">
        <v>0.8838624338624339</v>
      </c>
      <c r="GJ21" s="197">
        <v>0.11613756613756615</v>
      </c>
      <c r="GK21" s="197">
        <v>7.1039064247299846E-2</v>
      </c>
      <c r="GL21" s="197">
        <v>0.19341659749446916</v>
      </c>
      <c r="GM21" s="197">
        <v>0.71941659704817595</v>
      </c>
      <c r="GN21" s="197">
        <v>0.28058340295182405</v>
      </c>
      <c r="GO21" s="197">
        <v>0.16829549205620981</v>
      </c>
      <c r="GP21" s="197">
        <v>0.3265716491399448</v>
      </c>
      <c r="GQ21" s="186">
        <v>53</v>
      </c>
      <c r="GR21" s="186">
        <v>51</v>
      </c>
      <c r="GS21" s="178">
        <v>51</v>
      </c>
      <c r="GT21" s="178">
        <v>52</v>
      </c>
      <c r="GU21" s="178">
        <v>51</v>
      </c>
      <c r="GV21" s="178">
        <v>58</v>
      </c>
      <c r="GW21" s="178">
        <v>54</v>
      </c>
      <c r="GX21" s="178">
        <v>56</v>
      </c>
      <c r="GY21" s="178">
        <v>52</v>
      </c>
      <c r="GZ21" s="178">
        <v>55</v>
      </c>
      <c r="HA21" s="178">
        <v>57</v>
      </c>
      <c r="HB21" s="178">
        <v>55</v>
      </c>
      <c r="HC21" s="178">
        <v>56</v>
      </c>
      <c r="HD21" s="178">
        <v>37</v>
      </c>
      <c r="HE21" s="178">
        <v>34</v>
      </c>
      <c r="HF21" s="178">
        <v>33</v>
      </c>
      <c r="HG21" s="178">
        <v>33</v>
      </c>
      <c r="HH21" s="178">
        <v>33</v>
      </c>
      <c r="HI21" s="178">
        <v>33</v>
      </c>
      <c r="HJ21" s="178">
        <v>33</v>
      </c>
      <c r="HK21" s="178">
        <v>35</v>
      </c>
      <c r="HL21" s="178">
        <v>34</v>
      </c>
      <c r="HM21" s="178">
        <v>34</v>
      </c>
      <c r="HN21" s="186">
        <v>12</v>
      </c>
      <c r="HO21" s="187">
        <v>1.405152224824356E-2</v>
      </c>
      <c r="HP21" s="217">
        <v>1322</v>
      </c>
      <c r="HQ21" s="217">
        <v>1162</v>
      </c>
      <c r="HR21" s="217">
        <v>160</v>
      </c>
      <c r="HS21" s="1704">
        <v>0.12102874432677761</v>
      </c>
    </row>
    <row r="22" spans="1:227" ht="13.8" customHeight="1" x14ac:dyDescent="0.25">
      <c r="A22" s="183" t="s">
        <v>51</v>
      </c>
      <c r="B22" s="183"/>
      <c r="C22" s="183" t="s">
        <v>33</v>
      </c>
      <c r="D22" s="183" t="s">
        <v>33</v>
      </c>
      <c r="E22" s="183" t="s">
        <v>33</v>
      </c>
      <c r="F22" s="183" t="s">
        <v>33</v>
      </c>
      <c r="G22" s="183" t="s">
        <v>464</v>
      </c>
      <c r="H22" s="183" t="s">
        <v>131</v>
      </c>
      <c r="I22" s="183" t="s">
        <v>132</v>
      </c>
      <c r="J22" s="183" t="s">
        <v>33</v>
      </c>
      <c r="K22" s="183" t="s">
        <v>33</v>
      </c>
      <c r="L22" s="184">
        <v>15625</v>
      </c>
      <c r="M22" s="184">
        <v>15845</v>
      </c>
      <c r="N22" s="184">
        <v>16080</v>
      </c>
      <c r="O22" s="184">
        <v>16165</v>
      </c>
      <c r="P22" s="184">
        <v>16350</v>
      </c>
      <c r="Q22" s="184">
        <v>16480</v>
      </c>
      <c r="R22" s="184">
        <v>16875</v>
      </c>
      <c r="S22" s="184">
        <v>17185</v>
      </c>
      <c r="T22" s="184">
        <v>17290</v>
      </c>
      <c r="U22" s="184">
        <v>17405</v>
      </c>
      <c r="V22" s="184">
        <v>935</v>
      </c>
      <c r="W22" s="184">
        <v>940</v>
      </c>
      <c r="X22" s="184">
        <v>970</v>
      </c>
      <c r="Y22" s="184">
        <v>1025</v>
      </c>
      <c r="Z22" s="184">
        <v>1100</v>
      </c>
      <c r="AA22" s="184">
        <v>1170</v>
      </c>
      <c r="AB22" s="184">
        <v>1285</v>
      </c>
      <c r="AC22" s="184">
        <v>1305</v>
      </c>
      <c r="AD22" s="184">
        <v>1330</v>
      </c>
      <c r="AE22" s="184">
        <v>1310</v>
      </c>
      <c r="AF22" s="187">
        <v>0.57689364957918898</v>
      </c>
      <c r="AG22" s="187">
        <v>5.9678653404743688E-2</v>
      </c>
      <c r="AH22" s="187">
        <v>7.1155317521040554E-2</v>
      </c>
      <c r="AI22" s="187">
        <v>0.24483550114766642</v>
      </c>
      <c r="AJ22" s="187">
        <v>3.8255547054322873E-2</v>
      </c>
      <c r="AK22" s="187">
        <v>9.181331293037491E-3</v>
      </c>
      <c r="AL22" s="187">
        <v>0.42310635042081102</v>
      </c>
      <c r="AM22" s="184">
        <v>2405</v>
      </c>
      <c r="AN22" s="187">
        <v>0.44675540765391014</v>
      </c>
      <c r="AO22" s="187">
        <v>0.38019966722129783</v>
      </c>
      <c r="AP22" s="187">
        <v>0.17304492512479203</v>
      </c>
      <c r="AQ22" s="184">
        <v>278</v>
      </c>
      <c r="AR22" s="184">
        <v>290</v>
      </c>
      <c r="AS22" s="184">
        <v>295</v>
      </c>
      <c r="AT22" s="184">
        <v>260</v>
      </c>
      <c r="AU22" s="184">
        <v>242</v>
      </c>
      <c r="AV22" s="186">
        <v>16</v>
      </c>
      <c r="AW22" s="186">
        <v>8</v>
      </c>
      <c r="AX22" s="186">
        <v>11</v>
      </c>
      <c r="AY22" s="186">
        <v>12</v>
      </c>
      <c r="AZ22" s="186">
        <v>8</v>
      </c>
      <c r="BA22" s="186">
        <v>20</v>
      </c>
      <c r="BB22" s="187">
        <v>8.2644628099173556E-2</v>
      </c>
      <c r="BC22" s="187">
        <v>5.4134868300491863E-2</v>
      </c>
      <c r="BD22" s="187">
        <v>0.12419737488990565</v>
      </c>
      <c r="BE22" s="193">
        <v>25</v>
      </c>
      <c r="BF22" s="184">
        <v>379</v>
      </c>
      <c r="BG22" s="184">
        <v>343</v>
      </c>
      <c r="BH22" s="184">
        <v>285</v>
      </c>
      <c r="BI22" s="184">
        <v>0.19692138070707646</v>
      </c>
      <c r="BJ22" s="184">
        <v>2149</v>
      </c>
      <c r="BK22" s="184">
        <v>3986</v>
      </c>
      <c r="BL22" s="186">
        <v>2183</v>
      </c>
      <c r="BM22" s="186">
        <v>1076</v>
      </c>
      <c r="BN22" s="186">
        <v>1</v>
      </c>
      <c r="BO22" s="186">
        <v>300</v>
      </c>
      <c r="BP22" s="186">
        <v>546</v>
      </c>
      <c r="BQ22" s="186">
        <v>260</v>
      </c>
      <c r="BR22" s="193">
        <v>200</v>
      </c>
      <c r="BS22" s="193">
        <v>185</v>
      </c>
      <c r="BT22" s="193">
        <v>160</v>
      </c>
      <c r="BU22" s="186">
        <v>523</v>
      </c>
      <c r="BV22" s="186">
        <v>219</v>
      </c>
      <c r="BW22" s="222">
        <f t="shared" si="6"/>
        <v>0.41873804971319312</v>
      </c>
      <c r="BX22" s="186">
        <v>47</v>
      </c>
      <c r="BY22" s="193">
        <v>3</v>
      </c>
      <c r="BZ22" s="1676">
        <v>382</v>
      </c>
      <c r="CA22" s="222">
        <v>5.8276125095347062E-2</v>
      </c>
      <c r="CB22" s="200">
        <v>280</v>
      </c>
      <c r="CC22" s="200">
        <v>300</v>
      </c>
      <c r="CD22" s="200">
        <v>300</v>
      </c>
      <c r="CE22" s="200">
        <v>280</v>
      </c>
      <c r="CF22" s="186">
        <v>780</v>
      </c>
      <c r="CG22" s="187">
        <v>0.23018181818181818</v>
      </c>
      <c r="CH22" s="186">
        <v>810</v>
      </c>
      <c r="CI22" s="187">
        <v>0.21772727272727277</v>
      </c>
      <c r="CJ22" s="186">
        <v>750</v>
      </c>
      <c r="CK22" s="187">
        <v>0.22318181818181818</v>
      </c>
      <c r="CL22" s="186">
        <v>705</v>
      </c>
      <c r="CM22" s="187">
        <v>0.23072727272727275</v>
      </c>
      <c r="CN22" s="186">
        <v>725</v>
      </c>
      <c r="CO22" s="187">
        <v>0.21154545454545454</v>
      </c>
      <c r="CP22" s="186">
        <v>735</v>
      </c>
      <c r="CQ22" s="187">
        <v>0.19573901464713714</v>
      </c>
      <c r="CR22" s="184">
        <v>243</v>
      </c>
      <c r="CS22" s="184">
        <v>9</v>
      </c>
      <c r="CT22" s="184">
        <v>234</v>
      </c>
      <c r="CU22" s="187">
        <v>0.96748431604046592</v>
      </c>
      <c r="CV22" s="186">
        <v>83</v>
      </c>
      <c r="CW22" s="186">
        <v>121</v>
      </c>
      <c r="CX22" s="187">
        <v>0.36981045743336588</v>
      </c>
      <c r="CY22" s="187">
        <v>0.52300648035510899</v>
      </c>
      <c r="CZ22" s="187">
        <v>0.29619960630889919</v>
      </c>
      <c r="DA22" s="187">
        <v>0.41789582527245578</v>
      </c>
      <c r="DB22" s="187">
        <v>0.45330934839463238</v>
      </c>
      <c r="DC22" s="187">
        <v>0.58032648318403168</v>
      </c>
      <c r="DD22" s="182">
        <v>182</v>
      </c>
      <c r="DE22" s="182">
        <v>13</v>
      </c>
      <c r="DF22" s="143">
        <v>7.1428571428571425E-2</v>
      </c>
      <c r="DG22" s="143">
        <v>4.2215244868037641E-2</v>
      </c>
      <c r="DH22" s="143">
        <v>0.11835957525047065</v>
      </c>
      <c r="DI22" s="178" t="str">
        <f t="shared" si="0"/>
        <v>No Sig diff</v>
      </c>
      <c r="DJ22" s="182">
        <v>199</v>
      </c>
      <c r="DK22" s="182">
        <v>23</v>
      </c>
      <c r="DL22" s="143">
        <v>0.11557788944723618</v>
      </c>
      <c r="DM22" s="143">
        <v>7.8261508207020325E-2</v>
      </c>
      <c r="DN22" s="143">
        <v>0.16745482173099549</v>
      </c>
      <c r="DO22" s="178" t="str">
        <f t="shared" si="1"/>
        <v>No Sig diff</v>
      </c>
      <c r="DP22" s="183">
        <v>164</v>
      </c>
      <c r="DQ22" s="183">
        <v>16</v>
      </c>
      <c r="DR22" s="143">
        <v>9.7560975609756101E-2</v>
      </c>
      <c r="DS22" s="143">
        <v>6.0946967227705207E-2</v>
      </c>
      <c r="DT22" s="143">
        <v>0.15259657006354138</v>
      </c>
      <c r="DU22" s="178" t="str">
        <f t="shared" si="7"/>
        <v>No Sig diff</v>
      </c>
      <c r="DV22" s="178">
        <v>175</v>
      </c>
      <c r="DW22" s="178">
        <v>13</v>
      </c>
      <c r="DX22" s="179">
        <v>7.4285714285714288E-2</v>
      </c>
      <c r="DY22" s="179">
        <v>4.3924003825929425E-2</v>
      </c>
      <c r="DZ22" s="179">
        <v>0.12293584521283889</v>
      </c>
      <c r="EA22" s="178" t="str">
        <f t="shared" si="2"/>
        <v>No Sig diff</v>
      </c>
      <c r="EB22" s="178">
        <v>171</v>
      </c>
      <c r="EC22" s="178">
        <v>34</v>
      </c>
      <c r="ED22" s="143">
        <v>0.19883040935672514</v>
      </c>
      <c r="EE22" s="143">
        <v>0.14591834770221057</v>
      </c>
      <c r="EF22" s="143">
        <v>0.26497652417351536</v>
      </c>
      <c r="EG22" s="178" t="str">
        <f t="shared" si="3"/>
        <v>No Sig diff</v>
      </c>
      <c r="EH22" s="178">
        <v>175</v>
      </c>
      <c r="EI22" s="178">
        <v>32</v>
      </c>
      <c r="EJ22" s="143">
        <v>0.18285714285714286</v>
      </c>
      <c r="EK22" s="143">
        <v>0.13260870016222265</v>
      </c>
      <c r="EL22" s="143">
        <v>0.24672984509484641</v>
      </c>
      <c r="EM22" s="178" t="str">
        <f t="shared" si="8"/>
        <v>No Sig diff</v>
      </c>
      <c r="EN22" s="183">
        <v>188</v>
      </c>
      <c r="EO22" s="183">
        <v>36</v>
      </c>
      <c r="EP22" s="197">
        <v>0.19148936170212766</v>
      </c>
      <c r="EQ22" s="179">
        <v>0.14164627861962834</v>
      </c>
      <c r="ER22" s="179">
        <v>0.25368776067987386</v>
      </c>
      <c r="ES22" s="178" t="str">
        <f t="shared" si="9"/>
        <v>No Sig diff</v>
      </c>
      <c r="ET22" s="206">
        <v>173</v>
      </c>
      <c r="EU22" s="206">
        <v>38</v>
      </c>
      <c r="EV22" s="179">
        <v>0.21965317919075145</v>
      </c>
      <c r="EW22" s="179">
        <v>0.16442041037655816</v>
      </c>
      <c r="EX22" s="179">
        <v>0.28706567978088754</v>
      </c>
      <c r="EY22" s="178" t="str">
        <f t="shared" si="10"/>
        <v>No Sig diff</v>
      </c>
      <c r="EZ22" s="207">
        <v>213</v>
      </c>
      <c r="FA22" s="186">
        <v>77</v>
      </c>
      <c r="FB22" s="187">
        <v>0.36150234741784038</v>
      </c>
      <c r="FC22" s="187">
        <v>0.29996303420485582</v>
      </c>
      <c r="FD22" s="187">
        <v>0.42794877601411613</v>
      </c>
      <c r="FE22" s="208">
        <v>213</v>
      </c>
      <c r="FF22" s="209">
        <v>32</v>
      </c>
      <c r="FG22" s="208">
        <v>42</v>
      </c>
      <c r="FH22" s="209">
        <v>22.095238095238102</v>
      </c>
      <c r="FI22" s="187">
        <f t="shared" si="11"/>
        <v>0.30952380952380931</v>
      </c>
      <c r="FJ22" s="186">
        <v>276</v>
      </c>
      <c r="FK22" s="186">
        <v>140</v>
      </c>
      <c r="FL22" s="187">
        <v>0.50724637681159424</v>
      </c>
      <c r="FM22" s="187">
        <v>0.44857125889871413</v>
      </c>
      <c r="FN22" s="187">
        <v>0.56572254880532213</v>
      </c>
      <c r="FO22" s="198">
        <v>276</v>
      </c>
      <c r="FP22" s="199">
        <v>34</v>
      </c>
      <c r="FQ22" s="198">
        <v>55</v>
      </c>
      <c r="FR22" s="199">
        <v>22.472727272727269</v>
      </c>
      <c r="FS22" s="210">
        <v>0.33903743315508034</v>
      </c>
      <c r="FT22" s="200">
        <v>2421</v>
      </c>
      <c r="FU22" s="200">
        <v>2397</v>
      </c>
      <c r="FV22" s="200">
        <v>24</v>
      </c>
      <c r="FW22" s="200">
        <v>18</v>
      </c>
      <c r="FX22" s="200">
        <v>6</v>
      </c>
      <c r="FY22" s="187">
        <f t="shared" si="4"/>
        <v>0.75</v>
      </c>
      <c r="FZ22" s="187">
        <f t="shared" si="5"/>
        <v>0.25</v>
      </c>
      <c r="GA22" s="197">
        <v>0.89145702782066427</v>
      </c>
      <c r="GB22" s="197">
        <v>0.1085429721793358</v>
      </c>
      <c r="GC22" s="197">
        <v>6.5066148885121536E-2</v>
      </c>
      <c r="GD22" s="197">
        <v>0.16697738327579825</v>
      </c>
      <c r="GE22" s="197">
        <v>0.94403778040141684</v>
      </c>
      <c r="GF22" s="197">
        <v>5.5962219598583232E-2</v>
      </c>
      <c r="GG22" s="197">
        <v>2.8820370601525466E-2</v>
      </c>
      <c r="GH22" s="197">
        <v>0.10722860307950929</v>
      </c>
      <c r="GI22" s="197">
        <v>0.88092210819483541</v>
      </c>
      <c r="GJ22" s="197">
        <v>0.1190778918051645</v>
      </c>
      <c r="GK22" s="197">
        <v>7.6104144741722793E-2</v>
      </c>
      <c r="GL22" s="197">
        <v>0.18336640412773555</v>
      </c>
      <c r="GM22" s="197">
        <v>0.72868041049859233</v>
      </c>
      <c r="GN22" s="197">
        <v>0.27131958950140767</v>
      </c>
      <c r="GO22" s="197">
        <v>0.20122466904115702</v>
      </c>
      <c r="GP22" s="197">
        <v>0.34756778676870415</v>
      </c>
      <c r="GQ22" s="186">
        <v>73</v>
      </c>
      <c r="GR22" s="186">
        <v>71</v>
      </c>
      <c r="GS22" s="178">
        <v>70</v>
      </c>
      <c r="GT22" s="178">
        <v>72</v>
      </c>
      <c r="GU22" s="178">
        <v>71</v>
      </c>
      <c r="GV22" s="178">
        <v>56</v>
      </c>
      <c r="GW22" s="178">
        <v>55</v>
      </c>
      <c r="GX22" s="178">
        <v>53</v>
      </c>
      <c r="GY22" s="178">
        <v>55</v>
      </c>
      <c r="GZ22" s="178">
        <v>54</v>
      </c>
      <c r="HA22" s="178">
        <v>53</v>
      </c>
      <c r="HB22" s="178">
        <v>56</v>
      </c>
      <c r="HC22" s="178">
        <v>56</v>
      </c>
      <c r="HD22" s="178">
        <v>66</v>
      </c>
      <c r="HE22" s="178">
        <v>64</v>
      </c>
      <c r="HF22" s="178">
        <v>60</v>
      </c>
      <c r="HG22" s="178">
        <v>64</v>
      </c>
      <c r="HH22" s="178">
        <v>59</v>
      </c>
      <c r="HI22" s="178">
        <v>61</v>
      </c>
      <c r="HJ22" s="178">
        <v>64</v>
      </c>
      <c r="HK22" s="178">
        <v>65</v>
      </c>
      <c r="HL22" s="178">
        <v>63</v>
      </c>
      <c r="HM22" s="178">
        <v>60</v>
      </c>
      <c r="HN22" s="186">
        <v>26</v>
      </c>
      <c r="HO22" s="187">
        <v>1.9892884468247895E-2</v>
      </c>
      <c r="HP22" s="217">
        <v>2123</v>
      </c>
      <c r="HQ22" s="217">
        <v>1864</v>
      </c>
      <c r="HR22" s="217">
        <v>259</v>
      </c>
      <c r="HS22" s="1704">
        <v>0.12199717381064532</v>
      </c>
    </row>
    <row r="23" spans="1:227" ht="13.8" customHeight="1" x14ac:dyDescent="0.25">
      <c r="A23" s="183" t="s">
        <v>52</v>
      </c>
      <c r="B23" s="183"/>
      <c r="C23" s="183" t="s">
        <v>427</v>
      </c>
      <c r="D23" s="183" t="s">
        <v>427</v>
      </c>
      <c r="E23" s="183" t="s">
        <v>100</v>
      </c>
      <c r="F23" s="183" t="s">
        <v>100</v>
      </c>
      <c r="G23" s="183" t="s">
        <v>451</v>
      </c>
      <c r="H23" s="183" t="s">
        <v>52</v>
      </c>
      <c r="I23" s="183" t="s">
        <v>127</v>
      </c>
      <c r="J23" s="183" t="s">
        <v>704</v>
      </c>
      <c r="K23" s="183" t="s">
        <v>128</v>
      </c>
      <c r="L23" s="184">
        <v>18555</v>
      </c>
      <c r="M23" s="184">
        <v>18535</v>
      </c>
      <c r="N23" s="184">
        <v>18740</v>
      </c>
      <c r="O23" s="184">
        <v>18880</v>
      </c>
      <c r="P23" s="184">
        <v>19110</v>
      </c>
      <c r="Q23" s="184">
        <v>19395</v>
      </c>
      <c r="R23" s="184">
        <v>19645</v>
      </c>
      <c r="S23" s="184">
        <v>19930</v>
      </c>
      <c r="T23" s="184">
        <v>20235</v>
      </c>
      <c r="U23" s="184">
        <v>20490</v>
      </c>
      <c r="V23" s="184">
        <v>960</v>
      </c>
      <c r="W23" s="184">
        <v>995</v>
      </c>
      <c r="X23" s="184">
        <v>1000</v>
      </c>
      <c r="Y23" s="184">
        <v>1025</v>
      </c>
      <c r="Z23" s="184">
        <v>1065</v>
      </c>
      <c r="AA23" s="184">
        <v>1165</v>
      </c>
      <c r="AB23" s="184">
        <v>1225</v>
      </c>
      <c r="AC23" s="184">
        <v>1320</v>
      </c>
      <c r="AD23" s="184">
        <v>1410</v>
      </c>
      <c r="AE23" s="184">
        <v>1430</v>
      </c>
      <c r="AF23" s="187">
        <v>0.83437499999999998</v>
      </c>
      <c r="AG23" s="187">
        <v>7.5781249999999994E-2</v>
      </c>
      <c r="AH23" s="187">
        <v>4.6093750000000003E-2</v>
      </c>
      <c r="AI23" s="187">
        <v>3.4375000000000003E-2</v>
      </c>
      <c r="AJ23" s="187">
        <v>4.6874999999999998E-3</v>
      </c>
      <c r="AK23" s="187">
        <v>4.6874999999999998E-3</v>
      </c>
      <c r="AL23" s="187">
        <v>0.16562499999999999</v>
      </c>
      <c r="AM23" s="184">
        <v>2345</v>
      </c>
      <c r="AN23" s="187">
        <v>0.4166311300639659</v>
      </c>
      <c r="AO23" s="187">
        <v>0.2298507462686567</v>
      </c>
      <c r="AP23" s="187">
        <v>0.35351812366737739</v>
      </c>
      <c r="AQ23" s="184">
        <v>268</v>
      </c>
      <c r="AR23" s="184">
        <v>267</v>
      </c>
      <c r="AS23" s="184">
        <v>297</v>
      </c>
      <c r="AT23" s="184">
        <v>321</v>
      </c>
      <c r="AU23" s="184">
        <v>285</v>
      </c>
      <c r="AV23" s="186">
        <v>30</v>
      </c>
      <c r="AW23" s="186">
        <v>20</v>
      </c>
      <c r="AX23" s="186">
        <v>31</v>
      </c>
      <c r="AY23" s="186">
        <v>19</v>
      </c>
      <c r="AZ23" s="186">
        <v>17</v>
      </c>
      <c r="BA23" s="186">
        <v>18</v>
      </c>
      <c r="BB23" s="187">
        <v>6.3157894736842107E-2</v>
      </c>
      <c r="BC23" s="187">
        <v>4.0320286324222479E-2</v>
      </c>
      <c r="BD23" s="187">
        <v>9.7615102118150499E-2</v>
      </c>
      <c r="BE23" s="193">
        <v>35</v>
      </c>
      <c r="BF23" s="184">
        <v>464</v>
      </c>
      <c r="BG23" s="184">
        <v>346</v>
      </c>
      <c r="BH23" s="184">
        <v>223</v>
      </c>
      <c r="BI23" s="184">
        <v>0.15733980667725542</v>
      </c>
      <c r="BJ23" s="184">
        <v>2358</v>
      </c>
      <c r="BK23" s="184">
        <v>4123</v>
      </c>
      <c r="BL23" s="186">
        <v>2370</v>
      </c>
      <c r="BM23" s="186">
        <v>1004</v>
      </c>
      <c r="BN23" s="186">
        <v>2</v>
      </c>
      <c r="BO23" s="186">
        <v>421</v>
      </c>
      <c r="BP23" s="186">
        <v>698</v>
      </c>
      <c r="BQ23" s="186">
        <v>245</v>
      </c>
      <c r="BR23" s="193">
        <v>300</v>
      </c>
      <c r="BS23" s="193">
        <v>285</v>
      </c>
      <c r="BT23" s="193">
        <v>235</v>
      </c>
      <c r="BU23" s="186">
        <v>697</v>
      </c>
      <c r="BV23" s="186">
        <v>280</v>
      </c>
      <c r="BW23" s="222">
        <f t="shared" si="6"/>
        <v>0.40172166427546629</v>
      </c>
      <c r="BX23" s="186">
        <v>56</v>
      </c>
      <c r="BY23" s="193">
        <v>1</v>
      </c>
      <c r="BZ23" s="1676">
        <v>653</v>
      </c>
      <c r="CA23" s="222">
        <v>7.3927318012000448E-2</v>
      </c>
      <c r="CB23" s="200">
        <v>380</v>
      </c>
      <c r="CC23" s="200">
        <v>445</v>
      </c>
      <c r="CD23" s="200">
        <v>420</v>
      </c>
      <c r="CE23" s="200">
        <v>390</v>
      </c>
      <c r="CF23" s="186">
        <v>1070</v>
      </c>
      <c r="CG23" s="187">
        <v>0.28491666666666665</v>
      </c>
      <c r="CH23" s="186">
        <v>1035</v>
      </c>
      <c r="CI23" s="187">
        <v>0.25833333333333336</v>
      </c>
      <c r="CJ23" s="186">
        <v>1095</v>
      </c>
      <c r="CK23" s="187">
        <v>0.28950000000000004</v>
      </c>
      <c r="CL23" s="186">
        <v>970</v>
      </c>
      <c r="CM23" s="187">
        <v>0.26874999999999999</v>
      </c>
      <c r="CN23" s="186">
        <v>1030</v>
      </c>
      <c r="CO23" s="187">
        <v>0.27366666666666667</v>
      </c>
      <c r="CP23" s="186">
        <v>1010</v>
      </c>
      <c r="CQ23" s="187">
        <v>0.25602027883396705</v>
      </c>
      <c r="CR23" s="184">
        <v>282</v>
      </c>
      <c r="CS23" s="184">
        <v>14</v>
      </c>
      <c r="CT23" s="184">
        <v>268</v>
      </c>
      <c r="CU23" s="187">
        <v>0.9510487396272832</v>
      </c>
      <c r="CV23" s="186">
        <v>87</v>
      </c>
      <c r="CW23" s="186">
        <v>115</v>
      </c>
      <c r="CX23" s="187">
        <v>0.31667658923114633</v>
      </c>
      <c r="CY23" s="187">
        <v>0.42742557459181335</v>
      </c>
      <c r="CZ23" s="187">
        <v>0.2713876119009872</v>
      </c>
      <c r="DA23" s="187">
        <v>0.38282278121029534</v>
      </c>
      <c r="DB23" s="187">
        <v>0.37125981974450212</v>
      </c>
      <c r="DC23" s="187">
        <v>0.48895289236431427</v>
      </c>
      <c r="DD23" s="182">
        <v>155</v>
      </c>
      <c r="DE23" s="182">
        <v>7</v>
      </c>
      <c r="DF23" s="143">
        <v>4.5161290322580643E-2</v>
      </c>
      <c r="DG23" s="143">
        <v>2.2045753492620307E-2</v>
      </c>
      <c r="DH23" s="143">
        <v>9.0276677648195372E-2</v>
      </c>
      <c r="DI23" s="178" t="str">
        <f t="shared" si="0"/>
        <v>Sig better than Eng.</v>
      </c>
      <c r="DJ23" s="182">
        <v>201</v>
      </c>
      <c r="DK23" s="182">
        <v>20</v>
      </c>
      <c r="DL23" s="143">
        <v>9.950248756218906E-2</v>
      </c>
      <c r="DM23" s="143">
        <v>6.5338926232430275E-2</v>
      </c>
      <c r="DN23" s="143">
        <v>0.14868737036346685</v>
      </c>
      <c r="DO23" s="178" t="str">
        <f t="shared" si="1"/>
        <v>No Sig diff</v>
      </c>
      <c r="DP23" s="183">
        <v>151</v>
      </c>
      <c r="DQ23" s="183">
        <v>12</v>
      </c>
      <c r="DR23" s="143">
        <v>7.9470198675496692E-2</v>
      </c>
      <c r="DS23" s="143">
        <v>4.604266587121892E-2</v>
      </c>
      <c r="DT23" s="143">
        <v>0.13376356324041994</v>
      </c>
      <c r="DU23" s="178" t="str">
        <f t="shared" si="7"/>
        <v>No Sig diff</v>
      </c>
      <c r="DV23" s="178">
        <v>218</v>
      </c>
      <c r="DW23" s="178">
        <v>21</v>
      </c>
      <c r="DX23" s="179">
        <v>9.6330275229357804E-2</v>
      </c>
      <c r="DY23" s="179">
        <v>6.3870955682172159E-2</v>
      </c>
      <c r="DZ23" s="179">
        <v>0.14276967436230478</v>
      </c>
      <c r="EA23" s="178" t="str">
        <f t="shared" si="2"/>
        <v>No Sig diff</v>
      </c>
      <c r="EB23" s="182">
        <v>168</v>
      </c>
      <c r="EC23" s="182">
        <v>28</v>
      </c>
      <c r="ED23" s="143">
        <v>0.16666666666666666</v>
      </c>
      <c r="EE23" s="143">
        <v>0.11790131485380641</v>
      </c>
      <c r="EF23" s="143">
        <v>0.23033513071277231</v>
      </c>
      <c r="EG23" s="178" t="str">
        <f t="shared" si="3"/>
        <v>No Sig diff</v>
      </c>
      <c r="EH23" s="182">
        <v>185</v>
      </c>
      <c r="EI23" s="182">
        <v>34</v>
      </c>
      <c r="EJ23" s="143">
        <v>0.18378378378378379</v>
      </c>
      <c r="EK23" s="143">
        <v>0.13460281913919561</v>
      </c>
      <c r="EL23" s="143">
        <v>0.2458298425725948</v>
      </c>
      <c r="EM23" s="178" t="str">
        <f t="shared" si="8"/>
        <v>No Sig diff</v>
      </c>
      <c r="EN23" s="183">
        <v>192</v>
      </c>
      <c r="EO23" s="183">
        <v>57</v>
      </c>
      <c r="EP23" s="197">
        <v>0.296875</v>
      </c>
      <c r="EQ23" s="179">
        <v>0.23674735383073847</v>
      </c>
      <c r="ER23" s="179">
        <v>0.36497129925888039</v>
      </c>
      <c r="ES23" s="178" t="str">
        <f t="shared" si="9"/>
        <v>Sig worse than Eng.</v>
      </c>
      <c r="ET23" s="206">
        <v>188</v>
      </c>
      <c r="EU23" s="206">
        <v>39</v>
      </c>
      <c r="EV23" s="179">
        <v>0.20744680851063829</v>
      </c>
      <c r="EW23" s="179">
        <v>0.15562878542840139</v>
      </c>
      <c r="EX23" s="179">
        <v>0.27098107942457483</v>
      </c>
      <c r="EY23" s="178" t="str">
        <f t="shared" si="10"/>
        <v>No Sig diff</v>
      </c>
      <c r="EZ23" s="207">
        <v>250</v>
      </c>
      <c r="FA23" s="186">
        <v>132</v>
      </c>
      <c r="FB23" s="187">
        <v>0.52800000000000002</v>
      </c>
      <c r="FC23" s="187">
        <v>0.46616258903849139</v>
      </c>
      <c r="FD23" s="187">
        <v>0.58898994618976364</v>
      </c>
      <c r="FE23" s="208">
        <v>250</v>
      </c>
      <c r="FF23" s="209">
        <v>34</v>
      </c>
      <c r="FG23" s="208">
        <v>50</v>
      </c>
      <c r="FH23" s="209">
        <v>22.36</v>
      </c>
      <c r="FI23" s="187">
        <f t="shared" si="11"/>
        <v>0.34235294117647058</v>
      </c>
      <c r="FJ23" s="186">
        <v>253</v>
      </c>
      <c r="FK23" s="186">
        <v>137</v>
      </c>
      <c r="FL23" s="187">
        <v>0.54150197628458496</v>
      </c>
      <c r="FM23" s="187">
        <v>0.47994063804216835</v>
      </c>
      <c r="FN23" s="187">
        <v>0.6018218628267451</v>
      </c>
      <c r="FO23" s="198">
        <v>253</v>
      </c>
      <c r="FP23" s="199">
        <v>34</v>
      </c>
      <c r="FQ23" s="198">
        <v>50</v>
      </c>
      <c r="FR23" s="199">
        <v>24.740000000000006</v>
      </c>
      <c r="FS23" s="210">
        <v>0.27235294117647041</v>
      </c>
      <c r="FT23" s="200">
        <v>2884</v>
      </c>
      <c r="FU23" s="200">
        <v>2719</v>
      </c>
      <c r="FV23" s="200">
        <v>165</v>
      </c>
      <c r="FW23" s="200">
        <v>134</v>
      </c>
      <c r="FX23" s="200">
        <v>31</v>
      </c>
      <c r="FY23" s="187">
        <f t="shared" si="4"/>
        <v>0.81212121212121213</v>
      </c>
      <c r="FZ23" s="187">
        <f t="shared" si="5"/>
        <v>0.18787878787878787</v>
      </c>
      <c r="GA23" s="197">
        <v>0.83216741591741583</v>
      </c>
      <c r="GB23" s="197">
        <v>0.16783258408258406</v>
      </c>
      <c r="GC23" s="197">
        <v>0.13481123375916229</v>
      </c>
      <c r="GD23" s="197">
        <v>0.24417148861634683</v>
      </c>
      <c r="GE23" s="197">
        <v>0.84033272283272276</v>
      </c>
      <c r="GF23" s="197">
        <v>0.15966727716727719</v>
      </c>
      <c r="GG23" s="197">
        <v>0.12060131558197143</v>
      </c>
      <c r="GH23" s="197">
        <v>0.22580925295913523</v>
      </c>
      <c r="GI23" s="197">
        <v>0.81671092796092803</v>
      </c>
      <c r="GJ23" s="197">
        <v>0.18328907203907199</v>
      </c>
      <c r="GK23" s="197">
        <v>0.14772594103731715</v>
      </c>
      <c r="GL23" s="197">
        <v>0.2599586367030608</v>
      </c>
      <c r="GM23" s="197">
        <v>0.6699114774114775</v>
      </c>
      <c r="GN23" s="197">
        <v>0.33008852258852261</v>
      </c>
      <c r="GO23" s="197">
        <v>0.27049843060050693</v>
      </c>
      <c r="GP23" s="197">
        <v>0.40270685367004644</v>
      </c>
      <c r="GQ23" s="186">
        <v>93</v>
      </c>
      <c r="GR23" s="186">
        <v>90</v>
      </c>
      <c r="GS23" s="178">
        <v>90</v>
      </c>
      <c r="GT23" s="178">
        <v>92</v>
      </c>
      <c r="GU23" s="178">
        <v>90</v>
      </c>
      <c r="GV23" s="178">
        <v>66</v>
      </c>
      <c r="GW23" s="178">
        <v>56</v>
      </c>
      <c r="GX23" s="178">
        <v>60</v>
      </c>
      <c r="GY23" s="178">
        <v>58</v>
      </c>
      <c r="GZ23" s="178">
        <v>60</v>
      </c>
      <c r="HA23" s="178">
        <v>64</v>
      </c>
      <c r="HB23" s="178">
        <v>57</v>
      </c>
      <c r="HC23" s="178">
        <v>61</v>
      </c>
      <c r="HD23" s="178">
        <v>50</v>
      </c>
      <c r="HE23" s="178">
        <v>45</v>
      </c>
      <c r="HF23" s="178">
        <v>41</v>
      </c>
      <c r="HG23" s="178">
        <v>41</v>
      </c>
      <c r="HH23" s="178">
        <v>41</v>
      </c>
      <c r="HI23" s="178">
        <v>41</v>
      </c>
      <c r="HJ23" s="178">
        <v>41</v>
      </c>
      <c r="HK23" s="178">
        <v>44</v>
      </c>
      <c r="HL23" s="178">
        <v>40</v>
      </c>
      <c r="HM23" s="178">
        <v>45</v>
      </c>
      <c r="HN23" s="186">
        <v>17</v>
      </c>
      <c r="HO23" s="187">
        <v>1.328125E-2</v>
      </c>
      <c r="HP23" s="217">
        <v>2075</v>
      </c>
      <c r="HQ23" s="217">
        <v>1726</v>
      </c>
      <c r="HR23" s="217">
        <v>349</v>
      </c>
      <c r="HS23" s="1704">
        <v>0.16819277108433736</v>
      </c>
    </row>
    <row r="24" spans="1:227" ht="13.8" customHeight="1" x14ac:dyDescent="0.25">
      <c r="A24" s="183" t="s">
        <v>621</v>
      </c>
      <c r="B24" s="183"/>
      <c r="C24" s="183" t="s">
        <v>33</v>
      </c>
      <c r="D24" s="183" t="s">
        <v>33</v>
      </c>
      <c r="E24" s="183" t="s">
        <v>33</v>
      </c>
      <c r="F24" s="183" t="s">
        <v>33</v>
      </c>
      <c r="G24" s="183" t="s">
        <v>465</v>
      </c>
      <c r="H24" s="183" t="s">
        <v>169</v>
      </c>
      <c r="I24" s="183" t="s">
        <v>132</v>
      </c>
      <c r="J24" s="183" t="s">
        <v>33</v>
      </c>
      <c r="K24" s="183" t="s">
        <v>33</v>
      </c>
      <c r="L24" s="184">
        <v>22545</v>
      </c>
      <c r="M24" s="184">
        <v>22820</v>
      </c>
      <c r="N24" s="184">
        <v>22870</v>
      </c>
      <c r="O24" s="184">
        <v>23175</v>
      </c>
      <c r="P24" s="184">
        <v>23725</v>
      </c>
      <c r="Q24" s="184">
        <v>24090</v>
      </c>
      <c r="R24" s="184">
        <v>24460</v>
      </c>
      <c r="S24" s="184">
        <v>24445</v>
      </c>
      <c r="T24" s="184">
        <v>24605</v>
      </c>
      <c r="U24" s="184">
        <v>24745</v>
      </c>
      <c r="V24" s="184">
        <v>1565</v>
      </c>
      <c r="W24" s="184">
        <v>1550</v>
      </c>
      <c r="X24" s="184">
        <v>1525</v>
      </c>
      <c r="Y24" s="184">
        <v>1580</v>
      </c>
      <c r="Z24" s="184">
        <v>1705</v>
      </c>
      <c r="AA24" s="184">
        <v>1710</v>
      </c>
      <c r="AB24" s="184">
        <v>1820</v>
      </c>
      <c r="AC24" s="184">
        <v>1840</v>
      </c>
      <c r="AD24" s="184">
        <v>1825</v>
      </c>
      <c r="AE24" s="184">
        <v>1825</v>
      </c>
      <c r="AF24" s="187">
        <v>0.7443897099069513</v>
      </c>
      <c r="AG24" s="187">
        <v>4.3787629994526546E-2</v>
      </c>
      <c r="AH24" s="187">
        <v>6.7870826491516142E-2</v>
      </c>
      <c r="AI24" s="187">
        <v>0.10509031198686371</v>
      </c>
      <c r="AJ24" s="187">
        <v>3.1746031746031744E-2</v>
      </c>
      <c r="AK24" s="187">
        <v>7.1154898741105635E-3</v>
      </c>
      <c r="AL24" s="187">
        <v>0.2556102900930487</v>
      </c>
      <c r="AM24" s="184">
        <v>3425</v>
      </c>
      <c r="AN24" s="187">
        <v>0.67952088810984512</v>
      </c>
      <c r="AO24" s="187">
        <v>0.12795793163891322</v>
      </c>
      <c r="AP24" s="187">
        <v>0.1925211802512416</v>
      </c>
      <c r="AQ24" s="184">
        <v>316</v>
      </c>
      <c r="AR24" s="184">
        <v>353</v>
      </c>
      <c r="AS24" s="184">
        <v>351</v>
      </c>
      <c r="AT24" s="184">
        <v>329</v>
      </c>
      <c r="AU24" s="184">
        <v>332</v>
      </c>
      <c r="AV24" s="186">
        <v>6</v>
      </c>
      <c r="AW24" s="186">
        <v>11</v>
      </c>
      <c r="AX24" s="186">
        <v>9</v>
      </c>
      <c r="AY24" s="186">
        <v>5</v>
      </c>
      <c r="AZ24" s="186">
        <v>8</v>
      </c>
      <c r="BA24" s="186">
        <v>23</v>
      </c>
      <c r="BB24" s="187">
        <v>6.9277108433734941E-2</v>
      </c>
      <c r="BC24" s="187">
        <v>4.6603311300102486E-2</v>
      </c>
      <c r="BD24" s="187">
        <v>0.10180438974941115</v>
      </c>
      <c r="BE24" s="193">
        <v>10</v>
      </c>
      <c r="BF24" s="184">
        <v>664</v>
      </c>
      <c r="BG24" s="184">
        <v>570</v>
      </c>
      <c r="BH24" s="184">
        <v>221</v>
      </c>
      <c r="BI24" s="184">
        <v>0.13170795051194636</v>
      </c>
      <c r="BJ24" s="184">
        <v>3454</v>
      </c>
      <c r="BK24" s="184">
        <v>5931</v>
      </c>
      <c r="BL24" s="186">
        <v>3289</v>
      </c>
      <c r="BM24" s="186">
        <v>2085</v>
      </c>
      <c r="BN24" s="186">
        <v>1</v>
      </c>
      <c r="BO24" s="186">
        <v>390</v>
      </c>
      <c r="BP24" s="186">
        <v>537</v>
      </c>
      <c r="BQ24" s="186">
        <v>276</v>
      </c>
      <c r="BR24" s="193">
        <v>140</v>
      </c>
      <c r="BS24" s="193">
        <v>130</v>
      </c>
      <c r="BT24" s="193">
        <v>110</v>
      </c>
      <c r="BU24" s="186">
        <v>602</v>
      </c>
      <c r="BV24" s="186">
        <v>174</v>
      </c>
      <c r="BW24" s="222">
        <f t="shared" si="6"/>
        <v>0.28903654485049834</v>
      </c>
      <c r="BX24" s="186">
        <v>48</v>
      </c>
      <c r="BY24" s="193">
        <v>9</v>
      </c>
      <c r="BZ24" s="1676">
        <v>211</v>
      </c>
      <c r="CA24" s="222">
        <v>2.1561414265276926E-2</v>
      </c>
      <c r="CB24" s="200">
        <v>220</v>
      </c>
      <c r="CC24" s="200">
        <v>200</v>
      </c>
      <c r="CD24" s="200">
        <v>185</v>
      </c>
      <c r="CE24" s="200">
        <v>170</v>
      </c>
      <c r="CF24" s="186">
        <v>445</v>
      </c>
      <c r="CG24" s="187">
        <v>0.08</v>
      </c>
      <c r="CH24" s="186">
        <v>485</v>
      </c>
      <c r="CI24" s="187">
        <v>8.257142857142856E-2</v>
      </c>
      <c r="CJ24" s="186">
        <v>450</v>
      </c>
      <c r="CK24" s="187">
        <v>9.1642857142857151E-2</v>
      </c>
      <c r="CL24" s="186">
        <v>405</v>
      </c>
      <c r="CM24" s="187">
        <v>9.6857142857142864E-2</v>
      </c>
      <c r="CN24" s="186">
        <v>365</v>
      </c>
      <c r="CO24" s="187">
        <v>8.7357142857142842E-2</v>
      </c>
      <c r="CP24" s="186">
        <v>410</v>
      </c>
      <c r="CQ24" s="187">
        <v>8.0313418217433888E-2</v>
      </c>
      <c r="CR24" s="184">
        <v>337</v>
      </c>
      <c r="CS24" s="184">
        <v>7</v>
      </c>
      <c r="CT24" s="184">
        <v>330</v>
      </c>
      <c r="CU24" s="187">
        <v>0.98116732804232809</v>
      </c>
      <c r="CV24" s="186">
        <v>122</v>
      </c>
      <c r="CW24" s="186">
        <v>194</v>
      </c>
      <c r="CX24" s="187">
        <v>0.37347750194862989</v>
      </c>
      <c r="CY24" s="187">
        <v>0.58998427864520797</v>
      </c>
      <c r="CZ24" s="187">
        <v>0.31939213882089795</v>
      </c>
      <c r="DA24" s="187">
        <v>0.4230006606384864</v>
      </c>
      <c r="DB24" s="187">
        <v>0.53405685232247369</v>
      </c>
      <c r="DC24" s="187">
        <v>0.63967823641422061</v>
      </c>
      <c r="DD24" s="182">
        <v>267</v>
      </c>
      <c r="DE24" s="182">
        <v>21</v>
      </c>
      <c r="DF24" s="143">
        <v>7.9000000000000001E-2</v>
      </c>
      <c r="DG24" s="143">
        <v>5.1999999999999998E-2</v>
      </c>
      <c r="DH24" s="143">
        <v>0.11700000000000001</v>
      </c>
      <c r="DI24" s="178" t="str">
        <f t="shared" si="0"/>
        <v>No Sig diff</v>
      </c>
      <c r="DJ24" s="182">
        <v>276</v>
      </c>
      <c r="DK24" s="182">
        <v>23</v>
      </c>
      <c r="DL24" s="143">
        <v>8.3000000000000004E-2</v>
      </c>
      <c r="DM24" s="143">
        <v>5.6000000000000001E-2</v>
      </c>
      <c r="DN24" s="143">
        <v>0.122</v>
      </c>
      <c r="DO24" s="178" t="str">
        <f t="shared" si="1"/>
        <v>No Sig diff</v>
      </c>
      <c r="DP24" s="183">
        <v>239</v>
      </c>
      <c r="DQ24" s="183">
        <v>10</v>
      </c>
      <c r="DR24" s="143">
        <v>4.1841004184100417E-2</v>
      </c>
      <c r="DS24" s="143">
        <v>2.2883426077391942E-2</v>
      </c>
      <c r="DT24" s="143">
        <v>7.5293627118033973E-2</v>
      </c>
      <c r="DU24" s="178" t="str">
        <f t="shared" si="7"/>
        <v>Sig better than Eng.</v>
      </c>
      <c r="DV24" s="178">
        <v>265</v>
      </c>
      <c r="DW24" s="178">
        <v>23</v>
      </c>
      <c r="DX24" s="179">
        <v>8.6792452830188674E-2</v>
      </c>
      <c r="DY24" s="179">
        <v>5.8529585664442121E-2</v>
      </c>
      <c r="DZ24" s="179">
        <v>0.1268639136839462</v>
      </c>
      <c r="EA24" s="178" t="str">
        <f t="shared" si="2"/>
        <v>No Sig diff</v>
      </c>
      <c r="EB24" s="182">
        <v>252</v>
      </c>
      <c r="EC24" s="182">
        <v>37</v>
      </c>
      <c r="ED24" s="143">
        <v>0.14699999999999999</v>
      </c>
      <c r="EE24" s="143">
        <v>0.108</v>
      </c>
      <c r="EF24" s="143">
        <v>0.19600000000000001</v>
      </c>
      <c r="EG24" s="178" t="str">
        <f t="shared" si="3"/>
        <v>No Sig diff</v>
      </c>
      <c r="EH24" s="182">
        <v>282</v>
      </c>
      <c r="EI24" s="182">
        <v>34</v>
      </c>
      <c r="EJ24" s="143">
        <v>0.121</v>
      </c>
      <c r="EK24" s="143">
        <v>8.7999999999999995E-2</v>
      </c>
      <c r="EL24" s="143">
        <v>0.16400000000000001</v>
      </c>
      <c r="EM24" s="178" t="str">
        <f t="shared" si="8"/>
        <v>Sig better than Eng.</v>
      </c>
      <c r="EN24" s="183">
        <v>263</v>
      </c>
      <c r="EO24" s="183">
        <v>38</v>
      </c>
      <c r="EP24" s="197">
        <v>0.14448669201520911</v>
      </c>
      <c r="EQ24" s="179">
        <v>0.10711124264128175</v>
      </c>
      <c r="ER24" s="179">
        <v>0.1920981050123905</v>
      </c>
      <c r="ES24" s="178" t="str">
        <f t="shared" si="9"/>
        <v>No Sig diff</v>
      </c>
      <c r="ET24" s="206">
        <v>249</v>
      </c>
      <c r="EU24" s="206">
        <v>34</v>
      </c>
      <c r="EV24" s="179">
        <v>0.13654618473895583</v>
      </c>
      <c r="EW24" s="179">
        <v>9.9385816160059939E-2</v>
      </c>
      <c r="EX24" s="179">
        <v>0.1847505717400014</v>
      </c>
      <c r="EY24" s="178" t="str">
        <f t="shared" si="10"/>
        <v>Sig better than Eng.</v>
      </c>
      <c r="EZ24" s="207">
        <v>324</v>
      </c>
      <c r="FA24" s="186">
        <v>210</v>
      </c>
      <c r="FB24" s="187">
        <v>0.64814814814814814</v>
      </c>
      <c r="FC24" s="187">
        <v>0.5946899178918934</v>
      </c>
      <c r="FD24" s="187">
        <v>0.69813454776699435</v>
      </c>
      <c r="FE24" s="208">
        <v>324</v>
      </c>
      <c r="FF24" s="209">
        <v>34</v>
      </c>
      <c r="FG24" s="208">
        <v>64</v>
      </c>
      <c r="FH24" s="209">
        <v>26.765625000000004</v>
      </c>
      <c r="FI24" s="187">
        <f t="shared" si="11"/>
        <v>0.21277573529411753</v>
      </c>
      <c r="FJ24" s="186">
        <v>330</v>
      </c>
      <c r="FK24" s="186">
        <v>227</v>
      </c>
      <c r="FL24" s="187">
        <v>0.68787878787878787</v>
      </c>
      <c r="FM24" s="187">
        <v>0.63596542157199598</v>
      </c>
      <c r="FN24" s="187">
        <v>0.73546837349358407</v>
      </c>
      <c r="FO24" s="198">
        <v>330</v>
      </c>
      <c r="FP24" s="199">
        <v>34</v>
      </c>
      <c r="FQ24" s="198">
        <v>66</v>
      </c>
      <c r="FR24" s="199">
        <v>24.878787878787882</v>
      </c>
      <c r="FS24" s="210">
        <v>0.26827094474153285</v>
      </c>
      <c r="FT24" s="200">
        <v>2918</v>
      </c>
      <c r="FU24" s="200">
        <v>2877</v>
      </c>
      <c r="FV24" s="200">
        <v>41</v>
      </c>
      <c r="FW24" s="200">
        <v>31</v>
      </c>
      <c r="FX24" s="200">
        <v>10</v>
      </c>
      <c r="FY24" s="187">
        <f t="shared" si="4"/>
        <v>0.75609756097560976</v>
      </c>
      <c r="FZ24" s="187">
        <f t="shared" si="5"/>
        <v>0.24390243902439024</v>
      </c>
      <c r="GA24" s="197">
        <v>0.94883774022429479</v>
      </c>
      <c r="GB24" s="197">
        <v>5.1162259775705154E-2</v>
      </c>
      <c r="GC24" s="197">
        <v>3.5005301144816203E-2</v>
      </c>
      <c r="GD24" s="197">
        <v>0.10293256696562286</v>
      </c>
      <c r="GE24" s="197">
        <v>0.98154979940694231</v>
      </c>
      <c r="GF24" s="197">
        <v>1.8450200593057735E-2</v>
      </c>
      <c r="GG24" s="197">
        <v>1.0833366500687466E-2</v>
      </c>
      <c r="GH24" s="197">
        <v>5.7743180653120271E-2</v>
      </c>
      <c r="GI24" s="197">
        <v>0.94172540811196281</v>
      </c>
      <c r="GJ24" s="197">
        <v>5.8274591888037262E-2</v>
      </c>
      <c r="GK24" s="197">
        <v>3.8966557352548399E-2</v>
      </c>
      <c r="GL24" s="197">
        <v>0.10961620637767483</v>
      </c>
      <c r="GM24" s="197">
        <v>0.85018930649182767</v>
      </c>
      <c r="GN24" s="197">
        <v>0.14981069350817247</v>
      </c>
      <c r="GO24" s="197">
        <v>0.10020126624456825</v>
      </c>
      <c r="GP24" s="197">
        <v>0.19775294244526492</v>
      </c>
      <c r="GQ24" s="186">
        <v>97</v>
      </c>
      <c r="GR24" s="186">
        <v>96</v>
      </c>
      <c r="GS24" s="178">
        <v>96</v>
      </c>
      <c r="GT24" s="178">
        <v>96</v>
      </c>
      <c r="GU24" s="178">
        <v>96</v>
      </c>
      <c r="GV24" s="178">
        <v>83</v>
      </c>
      <c r="GW24" s="178">
        <v>80</v>
      </c>
      <c r="GX24" s="178">
        <v>82</v>
      </c>
      <c r="GY24" s="178">
        <v>80</v>
      </c>
      <c r="GZ24" s="178">
        <v>82</v>
      </c>
      <c r="HA24" s="178">
        <v>82</v>
      </c>
      <c r="HB24" s="178">
        <v>77</v>
      </c>
      <c r="HC24" s="178">
        <v>82</v>
      </c>
      <c r="HD24" s="178">
        <v>96</v>
      </c>
      <c r="HE24" s="178">
        <v>91</v>
      </c>
      <c r="HF24" s="178">
        <v>90</v>
      </c>
      <c r="HG24" s="178">
        <v>88</v>
      </c>
      <c r="HH24" s="178">
        <v>90</v>
      </c>
      <c r="HI24" s="178">
        <v>93</v>
      </c>
      <c r="HJ24" s="178">
        <v>83</v>
      </c>
      <c r="HK24" s="178">
        <v>88</v>
      </c>
      <c r="HL24" s="178">
        <v>84</v>
      </c>
      <c r="HM24" s="178">
        <v>92</v>
      </c>
      <c r="HN24" s="186">
        <v>25</v>
      </c>
      <c r="HO24" s="187">
        <v>1.3683634373289545E-2</v>
      </c>
      <c r="HP24" s="217">
        <v>2936</v>
      </c>
      <c r="HQ24" s="217">
        <v>2702</v>
      </c>
      <c r="HR24" s="217">
        <v>234</v>
      </c>
      <c r="HS24" s="1704">
        <v>7.970027247956403E-2</v>
      </c>
    </row>
    <row r="25" spans="1:227" ht="13.8" customHeight="1" x14ac:dyDescent="0.25">
      <c r="A25" s="183" t="s">
        <v>75</v>
      </c>
      <c r="B25" s="183"/>
      <c r="C25" s="183" t="s">
        <v>37</v>
      </c>
      <c r="D25" s="183" t="s">
        <v>37</v>
      </c>
      <c r="E25" s="183" t="s">
        <v>37</v>
      </c>
      <c r="F25" s="183" t="s">
        <v>138</v>
      </c>
      <c r="G25" s="183" t="s">
        <v>485</v>
      </c>
      <c r="H25" s="183" t="s">
        <v>36</v>
      </c>
      <c r="I25" s="183" t="s">
        <v>127</v>
      </c>
      <c r="J25" s="183" t="s">
        <v>704</v>
      </c>
      <c r="K25" s="183" t="s">
        <v>137</v>
      </c>
      <c r="L25" s="184">
        <v>20310</v>
      </c>
      <c r="M25" s="184">
        <v>20305</v>
      </c>
      <c r="N25" s="184">
        <v>20430</v>
      </c>
      <c r="O25" s="184">
        <v>20645</v>
      </c>
      <c r="P25" s="184">
        <v>20655</v>
      </c>
      <c r="Q25" s="184">
        <v>20545</v>
      </c>
      <c r="R25" s="184">
        <v>20560</v>
      </c>
      <c r="S25" s="184">
        <v>20555</v>
      </c>
      <c r="T25" s="184">
        <v>20615</v>
      </c>
      <c r="U25" s="184">
        <v>20695</v>
      </c>
      <c r="V25" s="184">
        <v>925</v>
      </c>
      <c r="W25" s="184">
        <v>915</v>
      </c>
      <c r="X25" s="184">
        <v>910</v>
      </c>
      <c r="Y25" s="184">
        <v>865</v>
      </c>
      <c r="Z25" s="184">
        <v>915</v>
      </c>
      <c r="AA25" s="184">
        <v>930</v>
      </c>
      <c r="AB25" s="184">
        <v>910</v>
      </c>
      <c r="AC25" s="184">
        <v>900</v>
      </c>
      <c r="AD25" s="184">
        <v>900</v>
      </c>
      <c r="AE25" s="184">
        <v>900</v>
      </c>
      <c r="AF25" s="187">
        <v>0.87982359426681367</v>
      </c>
      <c r="AG25" s="187">
        <v>1.9845644983461964E-2</v>
      </c>
      <c r="AH25" s="187">
        <v>4.8511576626240352E-2</v>
      </c>
      <c r="AI25" s="187">
        <v>4.6306504961411248E-2</v>
      </c>
      <c r="AJ25" s="187">
        <v>4.410143329658214E-3</v>
      </c>
      <c r="AK25" s="187">
        <v>1.1025358324145535E-3</v>
      </c>
      <c r="AL25" s="187">
        <v>0.12017640573318633</v>
      </c>
      <c r="AM25" s="184">
        <v>1815</v>
      </c>
      <c r="AN25" s="187">
        <v>0.6644628099173554</v>
      </c>
      <c r="AO25" s="187">
        <v>0.13829201101928373</v>
      </c>
      <c r="AP25" s="187">
        <v>0.19724517906336089</v>
      </c>
      <c r="AQ25" s="184">
        <v>172</v>
      </c>
      <c r="AR25" s="184">
        <v>165</v>
      </c>
      <c r="AS25" s="184">
        <v>168</v>
      </c>
      <c r="AT25" s="184">
        <v>172</v>
      </c>
      <c r="AU25" s="184">
        <v>164</v>
      </c>
      <c r="AV25" s="186">
        <v>12</v>
      </c>
      <c r="AW25" s="186">
        <v>12</v>
      </c>
      <c r="AX25" s="186">
        <v>7</v>
      </c>
      <c r="AY25" s="186">
        <v>9</v>
      </c>
      <c r="AZ25" s="186">
        <v>6</v>
      </c>
      <c r="BA25" s="186">
        <v>1</v>
      </c>
      <c r="BB25" s="187">
        <v>6.0975609756097563E-3</v>
      </c>
      <c r="BC25" s="187">
        <v>1.0771813904626609E-3</v>
      </c>
      <c r="BD25" s="187">
        <v>3.3726250739703603E-2</v>
      </c>
      <c r="BE25" s="193">
        <v>17</v>
      </c>
      <c r="BF25" s="184">
        <v>272</v>
      </c>
      <c r="BG25" s="184">
        <v>292</v>
      </c>
      <c r="BH25" s="184">
        <v>145</v>
      </c>
      <c r="BI25" s="184">
        <v>0.14277798694365315</v>
      </c>
      <c r="BJ25" s="184">
        <v>2003</v>
      </c>
      <c r="BK25" s="184">
        <v>3568</v>
      </c>
      <c r="BL25" s="186">
        <v>2418</v>
      </c>
      <c r="BM25" s="186">
        <v>1461</v>
      </c>
      <c r="BN25" s="186">
        <v>1</v>
      </c>
      <c r="BO25" s="186">
        <v>289</v>
      </c>
      <c r="BP25" s="186">
        <v>506</v>
      </c>
      <c r="BQ25" s="186">
        <v>161</v>
      </c>
      <c r="BR25" s="193">
        <v>120</v>
      </c>
      <c r="BS25" s="193">
        <v>125</v>
      </c>
      <c r="BT25" s="193">
        <v>110</v>
      </c>
      <c r="BU25" s="186">
        <v>417</v>
      </c>
      <c r="BV25" s="186">
        <v>138</v>
      </c>
      <c r="BW25" s="222">
        <f t="shared" si="6"/>
        <v>0.33093525179856115</v>
      </c>
      <c r="BX25" s="186">
        <v>42</v>
      </c>
      <c r="BY25" s="193">
        <v>5</v>
      </c>
      <c r="BZ25" s="1676">
        <v>340</v>
      </c>
      <c r="CA25" s="222">
        <v>3.6135614836858329E-2</v>
      </c>
      <c r="CB25" s="200">
        <v>165</v>
      </c>
      <c r="CC25" s="200">
        <v>155</v>
      </c>
      <c r="CD25" s="200">
        <v>155</v>
      </c>
      <c r="CE25" s="200">
        <v>140</v>
      </c>
      <c r="CF25" s="186">
        <v>455</v>
      </c>
      <c r="CG25" s="187">
        <v>0.12730769230769229</v>
      </c>
      <c r="CH25" s="186">
        <v>505</v>
      </c>
      <c r="CI25" s="187">
        <v>0.1353076923076923</v>
      </c>
      <c r="CJ25" s="186">
        <v>490</v>
      </c>
      <c r="CK25" s="187">
        <v>0.13253846153846155</v>
      </c>
      <c r="CL25" s="186">
        <v>505</v>
      </c>
      <c r="CM25" s="187">
        <v>0.13207692307692306</v>
      </c>
      <c r="CN25" s="186">
        <v>475</v>
      </c>
      <c r="CO25" s="187">
        <v>0.11769230769230769</v>
      </c>
      <c r="CP25" s="186">
        <v>440</v>
      </c>
      <c r="CQ25" s="187">
        <v>0.14170692431561996</v>
      </c>
      <c r="CR25" s="184">
        <v>178</v>
      </c>
      <c r="CS25" s="184">
        <v>11</v>
      </c>
      <c r="CT25" s="184">
        <v>167</v>
      </c>
      <c r="CU25" s="187">
        <v>0.94481551272722752</v>
      </c>
      <c r="CV25" s="186">
        <v>65</v>
      </c>
      <c r="CW25" s="186">
        <v>80</v>
      </c>
      <c r="CX25" s="187">
        <v>0.39992320616052868</v>
      </c>
      <c r="CY25" s="187">
        <v>0.50120928204092507</v>
      </c>
      <c r="CZ25" s="187">
        <v>0.3185563025613693</v>
      </c>
      <c r="DA25" s="187">
        <v>0.46486881169651639</v>
      </c>
      <c r="DB25" s="187">
        <v>0.40460039183736535</v>
      </c>
      <c r="DC25" s="187">
        <v>0.5544259811303428</v>
      </c>
      <c r="DD25" s="182">
        <v>120</v>
      </c>
      <c r="DE25" s="182">
        <v>6</v>
      </c>
      <c r="DF25" s="143">
        <v>0.05</v>
      </c>
      <c r="DG25" s="143">
        <v>2.3114364414465797E-2</v>
      </c>
      <c r="DH25" s="143">
        <v>0.10480288536236734</v>
      </c>
      <c r="DI25" s="178" t="str">
        <f t="shared" si="0"/>
        <v>No Sig diff</v>
      </c>
      <c r="DJ25" s="182">
        <v>159</v>
      </c>
      <c r="DK25" s="182">
        <v>8</v>
      </c>
      <c r="DL25" s="143">
        <v>5.0314465408805034E-2</v>
      </c>
      <c r="DM25" s="143">
        <v>2.5712676114661916E-2</v>
      </c>
      <c r="DN25" s="143">
        <v>9.6132577326242794E-2</v>
      </c>
      <c r="DO25" s="178" t="str">
        <f t="shared" si="1"/>
        <v>No Sig diff</v>
      </c>
      <c r="DP25" s="183">
        <v>154</v>
      </c>
      <c r="DQ25" s="183">
        <v>12</v>
      </c>
      <c r="DR25" s="143">
        <v>7.792207792207792E-2</v>
      </c>
      <c r="DS25" s="143">
        <v>4.513428609205352E-2</v>
      </c>
      <c r="DT25" s="143">
        <v>0.13125447151770517</v>
      </c>
      <c r="DU25" s="178" t="str">
        <f t="shared" si="7"/>
        <v>No Sig diff</v>
      </c>
      <c r="DV25" s="178">
        <v>200</v>
      </c>
      <c r="DW25" s="178">
        <v>13</v>
      </c>
      <c r="DX25" s="179">
        <v>6.5000000000000002E-2</v>
      </c>
      <c r="DY25" s="179">
        <v>3.8376354649152976E-2</v>
      </c>
      <c r="DZ25" s="179">
        <v>0.10801907929906893</v>
      </c>
      <c r="EA25" s="178" t="str">
        <f t="shared" si="2"/>
        <v>No Sig diff</v>
      </c>
      <c r="EB25" s="182">
        <v>163</v>
      </c>
      <c r="EC25" s="182">
        <v>19</v>
      </c>
      <c r="ED25" s="143">
        <v>0.1165644171779141</v>
      </c>
      <c r="EE25" s="143">
        <v>7.5906003798999769E-2</v>
      </c>
      <c r="EF25" s="143">
        <v>0.17487973684632438</v>
      </c>
      <c r="EG25" s="178" t="str">
        <f t="shared" si="3"/>
        <v>Sig better than Eng.</v>
      </c>
      <c r="EH25" s="182">
        <v>160</v>
      </c>
      <c r="EI25" s="182">
        <v>24</v>
      </c>
      <c r="EJ25" s="143">
        <v>0.15</v>
      </c>
      <c r="EK25" s="143">
        <v>0.10291845645016234</v>
      </c>
      <c r="EL25" s="143">
        <v>0.21349388016989129</v>
      </c>
      <c r="EM25" s="178" t="str">
        <f t="shared" si="8"/>
        <v>No Sig diff</v>
      </c>
      <c r="EN25" s="183">
        <v>175</v>
      </c>
      <c r="EO25" s="183">
        <v>21</v>
      </c>
      <c r="EP25" s="197">
        <v>0.12</v>
      </c>
      <c r="EQ25" s="179">
        <v>7.984170687522997E-2</v>
      </c>
      <c r="ER25" s="179">
        <v>0.17648285636071756</v>
      </c>
      <c r="ES25" s="178" t="str">
        <f t="shared" si="9"/>
        <v>Sig better than Eng.</v>
      </c>
      <c r="ET25" s="206">
        <v>183</v>
      </c>
      <c r="EU25" s="206">
        <v>38</v>
      </c>
      <c r="EV25" s="179">
        <v>0.20765027322404372</v>
      </c>
      <c r="EW25" s="179">
        <v>0.15518964041562014</v>
      </c>
      <c r="EX25" s="179">
        <v>0.27213232187603303</v>
      </c>
      <c r="EY25" s="178" t="str">
        <f t="shared" si="10"/>
        <v>No Sig diff</v>
      </c>
      <c r="EZ25" s="207">
        <v>214</v>
      </c>
      <c r="FA25" s="186">
        <v>116</v>
      </c>
      <c r="FB25" s="187">
        <v>0.54205607476635509</v>
      </c>
      <c r="FC25" s="187">
        <v>0.47514868075029232</v>
      </c>
      <c r="FD25" s="187">
        <v>0.60748021871377078</v>
      </c>
      <c r="FE25" s="208">
        <v>214</v>
      </c>
      <c r="FF25" s="209">
        <v>34</v>
      </c>
      <c r="FG25" s="208">
        <v>42</v>
      </c>
      <c r="FH25" s="209">
        <v>24.166666666666668</v>
      </c>
      <c r="FI25" s="187">
        <f t="shared" si="11"/>
        <v>0.28921568627450978</v>
      </c>
      <c r="FJ25" s="186">
        <v>197</v>
      </c>
      <c r="FK25" s="186">
        <v>114</v>
      </c>
      <c r="FL25" s="187">
        <v>0.57868020304568524</v>
      </c>
      <c r="FM25" s="187">
        <v>0.50887036539732466</v>
      </c>
      <c r="FN25" s="187">
        <v>0.64548023622659589</v>
      </c>
      <c r="FO25" s="198">
        <v>197</v>
      </c>
      <c r="FP25" s="199">
        <v>34</v>
      </c>
      <c r="FQ25" s="198">
        <v>39</v>
      </c>
      <c r="FR25" s="199">
        <v>22.820512820512818</v>
      </c>
      <c r="FS25" s="210">
        <v>0.32880844645550539</v>
      </c>
      <c r="FT25" s="200">
        <v>2557</v>
      </c>
      <c r="FU25" s="200">
        <v>2503</v>
      </c>
      <c r="FV25" s="200">
        <v>54</v>
      </c>
      <c r="FW25" s="200">
        <v>46</v>
      </c>
      <c r="FX25" s="200">
        <v>8</v>
      </c>
      <c r="FY25" s="187">
        <f t="shared" si="4"/>
        <v>0.85185185185185186</v>
      </c>
      <c r="FZ25" s="187">
        <f t="shared" si="5"/>
        <v>0.14814814814814814</v>
      </c>
      <c r="GA25" s="197">
        <v>0.84306526806526816</v>
      </c>
      <c r="GB25" s="197">
        <v>0.15693473193473192</v>
      </c>
      <c r="GC25" s="197">
        <v>0.1071850142576424</v>
      </c>
      <c r="GD25" s="197">
        <v>0.29145419217519991</v>
      </c>
      <c r="GE25" s="197">
        <v>0.86614219114219115</v>
      </c>
      <c r="GF25" s="197">
        <v>0.13385780885780885</v>
      </c>
      <c r="GG25" s="197">
        <v>7.3432373433468923E-2</v>
      </c>
      <c r="GH25" s="197">
        <v>0.23929814820406517</v>
      </c>
      <c r="GI25" s="197">
        <v>0.84114219114219102</v>
      </c>
      <c r="GJ25" s="197">
        <v>0.15885780885780887</v>
      </c>
      <c r="GK25" s="197">
        <v>0.10888765378062988</v>
      </c>
      <c r="GL25" s="197">
        <v>0.2955422258270492</v>
      </c>
      <c r="GM25" s="197">
        <v>0.80011655011655014</v>
      </c>
      <c r="GN25" s="197">
        <v>0.19988344988344989</v>
      </c>
      <c r="GO25" s="197">
        <v>0.14513708450988849</v>
      </c>
      <c r="GP25" s="197">
        <v>0.34644939808203273</v>
      </c>
      <c r="GQ25" s="186">
        <v>46</v>
      </c>
      <c r="GR25" s="186">
        <v>43</v>
      </c>
      <c r="GS25" s="178">
        <v>43</v>
      </c>
      <c r="GT25" s="178">
        <v>45</v>
      </c>
      <c r="GU25" s="178">
        <v>44</v>
      </c>
      <c r="GV25" s="178">
        <v>52</v>
      </c>
      <c r="GW25" s="178">
        <v>51</v>
      </c>
      <c r="GX25" s="178">
        <v>50</v>
      </c>
      <c r="GY25" s="178">
        <v>51</v>
      </c>
      <c r="GZ25" s="178">
        <v>50</v>
      </c>
      <c r="HA25" s="178">
        <v>52</v>
      </c>
      <c r="HB25" s="178">
        <v>51</v>
      </c>
      <c r="HC25" s="178">
        <v>51</v>
      </c>
      <c r="HD25" s="178">
        <v>53</v>
      </c>
      <c r="HE25" s="178">
        <v>50</v>
      </c>
      <c r="HF25" s="178">
        <v>48</v>
      </c>
      <c r="HG25" s="178">
        <v>44</v>
      </c>
      <c r="HH25" s="178">
        <v>48</v>
      </c>
      <c r="HI25" s="178">
        <v>49</v>
      </c>
      <c r="HJ25" s="178">
        <v>48</v>
      </c>
      <c r="HK25" s="178">
        <v>50</v>
      </c>
      <c r="HL25" s="178">
        <v>48</v>
      </c>
      <c r="HM25" s="178">
        <v>50</v>
      </c>
      <c r="HN25" s="186">
        <v>25</v>
      </c>
      <c r="HO25" s="187">
        <v>2.7563395810363836E-2</v>
      </c>
      <c r="HP25" s="217">
        <v>1438</v>
      </c>
      <c r="HQ25" s="217">
        <v>1280</v>
      </c>
      <c r="HR25" s="217">
        <v>158</v>
      </c>
      <c r="HS25" s="1704">
        <v>0.10987482614742698</v>
      </c>
    </row>
    <row r="26" spans="1:227" ht="13.8" customHeight="1" x14ac:dyDescent="0.25">
      <c r="A26" s="183" t="s">
        <v>627</v>
      </c>
      <c r="B26" s="183"/>
      <c r="C26" s="183" t="s">
        <v>102</v>
      </c>
      <c r="D26" s="183" t="s">
        <v>102</v>
      </c>
      <c r="E26" s="183" t="s">
        <v>102</v>
      </c>
      <c r="F26" s="183" t="s">
        <v>102</v>
      </c>
      <c r="G26" s="183" t="s">
        <v>475</v>
      </c>
      <c r="H26" s="183" t="s">
        <v>142</v>
      </c>
      <c r="I26" s="183" t="s">
        <v>140</v>
      </c>
      <c r="J26" s="183" t="s">
        <v>703</v>
      </c>
      <c r="K26" s="183" t="s">
        <v>102</v>
      </c>
      <c r="L26" s="184">
        <v>23535</v>
      </c>
      <c r="M26" s="184">
        <v>23530</v>
      </c>
      <c r="N26" s="184">
        <v>23810</v>
      </c>
      <c r="O26" s="184">
        <v>24125</v>
      </c>
      <c r="P26" s="184">
        <v>24555</v>
      </c>
      <c r="Q26" s="184">
        <v>24770</v>
      </c>
      <c r="R26" s="184">
        <v>25010</v>
      </c>
      <c r="S26" s="184">
        <v>25180</v>
      </c>
      <c r="T26" s="184">
        <v>25165</v>
      </c>
      <c r="U26" s="184">
        <v>25335</v>
      </c>
      <c r="V26" s="184">
        <v>1215</v>
      </c>
      <c r="W26" s="184">
        <v>1180</v>
      </c>
      <c r="X26" s="184">
        <v>1200</v>
      </c>
      <c r="Y26" s="184">
        <v>1260</v>
      </c>
      <c r="Z26" s="184">
        <v>1290</v>
      </c>
      <c r="AA26" s="184">
        <v>1300</v>
      </c>
      <c r="AB26" s="184">
        <v>1280</v>
      </c>
      <c r="AC26" s="184">
        <v>1265</v>
      </c>
      <c r="AD26" s="184">
        <v>1230</v>
      </c>
      <c r="AE26" s="184">
        <v>1220</v>
      </c>
      <c r="AF26" s="187">
        <v>0.90383111806098515</v>
      </c>
      <c r="AG26" s="187">
        <v>5.0039093041438623E-2</v>
      </c>
      <c r="AH26" s="187">
        <v>3.4401876465989051E-2</v>
      </c>
      <c r="AI26" s="187">
        <v>9.3823299452697427E-3</v>
      </c>
      <c r="AJ26" s="187">
        <v>2.3455824863174357E-3</v>
      </c>
      <c r="AK26" s="187">
        <v>0</v>
      </c>
      <c r="AL26" s="187">
        <v>9.616888193901485E-2</v>
      </c>
      <c r="AM26" s="184">
        <v>2740</v>
      </c>
      <c r="AN26" s="187">
        <v>0.72023374726077427</v>
      </c>
      <c r="AO26" s="187">
        <v>8.8020452885317749E-2</v>
      </c>
      <c r="AP26" s="187">
        <v>0.19174579985390797</v>
      </c>
      <c r="AQ26" s="184">
        <v>215</v>
      </c>
      <c r="AR26" s="184">
        <v>227</v>
      </c>
      <c r="AS26" s="184">
        <v>201</v>
      </c>
      <c r="AT26" s="184">
        <v>208</v>
      </c>
      <c r="AU26" s="184">
        <v>187</v>
      </c>
      <c r="AV26" s="186">
        <v>6</v>
      </c>
      <c r="AW26" s="186">
        <v>3</v>
      </c>
      <c r="AX26" s="186">
        <v>7</v>
      </c>
      <c r="AY26" s="186">
        <v>5</v>
      </c>
      <c r="AZ26" s="186">
        <v>3</v>
      </c>
      <c r="BA26" s="186">
        <v>12</v>
      </c>
      <c r="BB26" s="187">
        <v>6.4171122994652413E-2</v>
      </c>
      <c r="BC26" s="187">
        <v>3.7086220493424561E-2</v>
      </c>
      <c r="BD26" s="187">
        <v>0.10880167510714658</v>
      </c>
      <c r="BE26" s="193">
        <v>8</v>
      </c>
      <c r="BF26" s="184">
        <v>356</v>
      </c>
      <c r="BG26" s="184">
        <v>433</v>
      </c>
      <c r="BH26" s="184">
        <v>209</v>
      </c>
      <c r="BI26" s="184">
        <v>0.16072889011779584</v>
      </c>
      <c r="BJ26" s="184">
        <v>2911</v>
      </c>
      <c r="BK26" s="184">
        <v>5302</v>
      </c>
      <c r="BL26" s="186">
        <v>2948</v>
      </c>
      <c r="BM26" s="186">
        <v>1976</v>
      </c>
      <c r="BN26" s="186">
        <v>2</v>
      </c>
      <c r="BO26" s="186">
        <v>342</v>
      </c>
      <c r="BP26" s="186">
        <v>453</v>
      </c>
      <c r="BQ26" s="186">
        <v>175</v>
      </c>
      <c r="BR26" s="193">
        <v>80</v>
      </c>
      <c r="BS26" s="193">
        <v>60</v>
      </c>
      <c r="BT26" s="193">
        <v>60</v>
      </c>
      <c r="BU26" s="186">
        <v>379</v>
      </c>
      <c r="BV26" s="186">
        <v>91</v>
      </c>
      <c r="BW26" s="222">
        <f t="shared" si="6"/>
        <v>0.24010554089709762</v>
      </c>
      <c r="BX26" s="186">
        <v>49</v>
      </c>
      <c r="BY26" s="193">
        <v>10</v>
      </c>
      <c r="BZ26" s="1676">
        <v>165</v>
      </c>
      <c r="CA26" s="222">
        <v>1.7013817281913798E-2</v>
      </c>
      <c r="CB26" s="200">
        <v>70</v>
      </c>
      <c r="CC26" s="200">
        <v>105</v>
      </c>
      <c r="CD26" s="200">
        <v>100</v>
      </c>
      <c r="CE26" s="200">
        <v>95</v>
      </c>
      <c r="CF26" s="186">
        <v>250</v>
      </c>
      <c r="CG26" s="187">
        <v>5.2600000000000001E-2</v>
      </c>
      <c r="CH26" s="186">
        <v>270</v>
      </c>
      <c r="CI26" s="187">
        <v>5.1533333333333348E-2</v>
      </c>
      <c r="CJ26" s="186">
        <v>270</v>
      </c>
      <c r="CK26" s="187">
        <v>6.1333333333333344E-2</v>
      </c>
      <c r="CL26" s="186">
        <v>215</v>
      </c>
      <c r="CM26" s="187">
        <v>6.2000000000000013E-2</v>
      </c>
      <c r="CN26" s="186">
        <v>220</v>
      </c>
      <c r="CO26" s="187">
        <v>6.0333333333333343E-2</v>
      </c>
      <c r="CP26" s="186">
        <v>245</v>
      </c>
      <c r="CQ26" s="187">
        <v>5.9178743961352656E-2</v>
      </c>
      <c r="CR26" s="184">
        <v>187</v>
      </c>
      <c r="CS26" s="184">
        <v>5</v>
      </c>
      <c r="CT26" s="184">
        <v>182</v>
      </c>
      <c r="CU26" s="187">
        <v>0.97033475783475776</v>
      </c>
      <c r="CV26" s="186">
        <v>95</v>
      </c>
      <c r="CW26" s="186">
        <v>118</v>
      </c>
      <c r="CX26" s="187">
        <v>0.55904556457188048</v>
      </c>
      <c r="CY26" s="187">
        <v>0.68774524695577322</v>
      </c>
      <c r="CZ26" s="187">
        <v>0.44970404802433445</v>
      </c>
      <c r="DA26" s="187">
        <v>0.59334336439570501</v>
      </c>
      <c r="DB26" s="187">
        <v>0.57656597835294798</v>
      </c>
      <c r="DC26" s="187">
        <v>0.71400405548231827</v>
      </c>
      <c r="DD26" s="182">
        <v>181</v>
      </c>
      <c r="DE26" s="182">
        <v>12</v>
      </c>
      <c r="DF26" s="143">
        <v>6.6000000000000003E-2</v>
      </c>
      <c r="DG26" s="143">
        <v>3.7999999999999999E-2</v>
      </c>
      <c r="DH26" s="143">
        <v>0.112</v>
      </c>
      <c r="DI26" s="178" t="str">
        <f t="shared" si="0"/>
        <v>No Sig diff</v>
      </c>
      <c r="DJ26" s="182">
        <v>207</v>
      </c>
      <c r="DK26" s="182">
        <v>18</v>
      </c>
      <c r="DL26" s="143">
        <v>8.6999999999999994E-2</v>
      </c>
      <c r="DM26" s="143">
        <v>5.6000000000000001E-2</v>
      </c>
      <c r="DN26" s="143">
        <v>0.13300000000000001</v>
      </c>
      <c r="DO26" s="178" t="str">
        <f t="shared" si="1"/>
        <v>No Sig diff</v>
      </c>
      <c r="DP26" s="183">
        <v>189</v>
      </c>
      <c r="DQ26" s="183">
        <v>9</v>
      </c>
      <c r="DR26" s="143">
        <v>4.7619047619047616E-2</v>
      </c>
      <c r="DS26" s="143">
        <v>2.5251906693033909E-2</v>
      </c>
      <c r="DT26" s="143">
        <v>8.8009312934030443E-2</v>
      </c>
      <c r="DU26" s="178" t="str">
        <f t="shared" si="7"/>
        <v>Sig better than Eng.</v>
      </c>
      <c r="DV26" s="178">
        <v>190</v>
      </c>
      <c r="DW26" s="178">
        <v>15</v>
      </c>
      <c r="DX26" s="179">
        <v>7.8947368421052627E-2</v>
      </c>
      <c r="DY26" s="179">
        <v>4.8424492181179869E-2</v>
      </c>
      <c r="DZ26" s="179">
        <v>0.12615869052174186</v>
      </c>
      <c r="EA26" s="178" t="str">
        <f t="shared" si="2"/>
        <v>No Sig diff</v>
      </c>
      <c r="EB26" s="182">
        <v>175</v>
      </c>
      <c r="EC26" s="182">
        <v>23</v>
      </c>
      <c r="ED26" s="143">
        <v>0.13100000000000001</v>
      </c>
      <c r="EE26" s="143">
        <v>8.8999999999999996E-2</v>
      </c>
      <c r="EF26" s="143">
        <v>0.189</v>
      </c>
      <c r="EG26" s="178" t="str">
        <f t="shared" si="3"/>
        <v>No Sig diff</v>
      </c>
      <c r="EH26" s="182">
        <v>189</v>
      </c>
      <c r="EI26" s="182">
        <v>21</v>
      </c>
      <c r="EJ26" s="143">
        <v>0.111</v>
      </c>
      <c r="EK26" s="143">
        <v>7.3999999999999996E-2</v>
      </c>
      <c r="EL26" s="143">
        <v>0.16400000000000001</v>
      </c>
      <c r="EM26" s="178" t="str">
        <f t="shared" si="8"/>
        <v>Sig better than Eng.</v>
      </c>
      <c r="EN26" s="183">
        <v>183</v>
      </c>
      <c r="EO26" s="183">
        <v>28</v>
      </c>
      <c r="EP26" s="197">
        <v>0.15300546448087432</v>
      </c>
      <c r="EQ26" s="179">
        <v>0.10803050767038307</v>
      </c>
      <c r="ER26" s="179">
        <v>0.21224883075055107</v>
      </c>
      <c r="ES26" s="178" t="str">
        <f t="shared" si="9"/>
        <v>No Sig diff</v>
      </c>
      <c r="ET26" s="206">
        <v>174</v>
      </c>
      <c r="EU26" s="206">
        <v>14</v>
      </c>
      <c r="EV26" s="179">
        <v>8.0459770114942528E-2</v>
      </c>
      <c r="EW26" s="179">
        <v>4.8531099813854901E-2</v>
      </c>
      <c r="EX26" s="179">
        <v>0.13051297141589011</v>
      </c>
      <c r="EY26" s="178" t="str">
        <f t="shared" si="10"/>
        <v>Sig better than Eng.</v>
      </c>
      <c r="EZ26" s="207">
        <v>238</v>
      </c>
      <c r="FA26" s="186">
        <v>133</v>
      </c>
      <c r="FB26" s="187">
        <v>0.55882352941176472</v>
      </c>
      <c r="FC26" s="187">
        <v>0.49530353405154642</v>
      </c>
      <c r="FD26" s="187">
        <v>0.62047479500972391</v>
      </c>
      <c r="FE26" s="208">
        <v>238</v>
      </c>
      <c r="FF26" s="209">
        <v>34</v>
      </c>
      <c r="FG26" s="208">
        <v>47</v>
      </c>
      <c r="FH26" s="209">
        <v>25.106382978723406</v>
      </c>
      <c r="FI26" s="187">
        <f t="shared" si="11"/>
        <v>0.26157697121401746</v>
      </c>
      <c r="FJ26" s="186">
        <v>203</v>
      </c>
      <c r="FK26" s="186">
        <v>114</v>
      </c>
      <c r="FL26" s="187">
        <v>0.56157635467980294</v>
      </c>
      <c r="FM26" s="187">
        <v>0.49280222994584766</v>
      </c>
      <c r="FN26" s="187">
        <v>0.62806328774358189</v>
      </c>
      <c r="FO26" s="198">
        <v>203</v>
      </c>
      <c r="FP26" s="199">
        <v>34</v>
      </c>
      <c r="FQ26" s="198">
        <v>40</v>
      </c>
      <c r="FR26" s="199">
        <v>23.924999999999997</v>
      </c>
      <c r="FS26" s="210">
        <v>0.29632352941176476</v>
      </c>
      <c r="FT26" s="200">
        <v>4108</v>
      </c>
      <c r="FU26" s="200">
        <v>4023</v>
      </c>
      <c r="FV26" s="200">
        <v>85</v>
      </c>
      <c r="FW26" s="200">
        <v>80</v>
      </c>
      <c r="FX26" s="200">
        <v>5</v>
      </c>
      <c r="FY26" s="187">
        <f t="shared" si="4"/>
        <v>0.94117647058823528</v>
      </c>
      <c r="FZ26" s="187">
        <f t="shared" si="5"/>
        <v>5.8823529411764705E-2</v>
      </c>
      <c r="GA26" s="197">
        <v>0.89808802308802316</v>
      </c>
      <c r="GB26" s="197">
        <v>0.10191197691197691</v>
      </c>
      <c r="GC26" s="197">
        <v>5.4673224147554787E-2</v>
      </c>
      <c r="GD26" s="197">
        <v>0.15135598293107455</v>
      </c>
      <c r="GE26" s="197">
        <v>0.93512506012506003</v>
      </c>
      <c r="GF26" s="197">
        <v>6.4874939874939877E-2</v>
      </c>
      <c r="GG26" s="197">
        <v>3.3940885823589673E-2</v>
      </c>
      <c r="GH26" s="197">
        <v>0.11685557044311824</v>
      </c>
      <c r="GI26" s="197">
        <v>0.92475468975468966</v>
      </c>
      <c r="GJ26" s="197">
        <v>7.5245310245310254E-2</v>
      </c>
      <c r="GK26" s="197">
        <v>4.411767148383796E-2</v>
      </c>
      <c r="GL26" s="197">
        <v>0.13429516018883067</v>
      </c>
      <c r="GM26" s="197">
        <v>0.84827894327894338</v>
      </c>
      <c r="GN26" s="197">
        <v>0.15172105672105671</v>
      </c>
      <c r="GO26" s="197">
        <v>0.12307779859865452</v>
      </c>
      <c r="GP26" s="197">
        <v>0.24864966091573915</v>
      </c>
      <c r="GQ26" s="186">
        <v>41</v>
      </c>
      <c r="GR26" s="186">
        <v>37</v>
      </c>
      <c r="GS26" s="178">
        <v>37</v>
      </c>
      <c r="GT26" s="178">
        <v>37</v>
      </c>
      <c r="GU26" s="178">
        <v>37</v>
      </c>
      <c r="GV26" s="178">
        <v>58</v>
      </c>
      <c r="GW26" s="178">
        <v>54</v>
      </c>
      <c r="GX26" s="178">
        <v>56</v>
      </c>
      <c r="GY26" s="178">
        <v>55</v>
      </c>
      <c r="GZ26" s="178">
        <v>56</v>
      </c>
      <c r="HA26" s="178">
        <v>56</v>
      </c>
      <c r="HB26" s="178">
        <v>55</v>
      </c>
      <c r="HC26" s="178">
        <v>56</v>
      </c>
      <c r="HD26" s="178">
        <v>61</v>
      </c>
      <c r="HE26" s="178">
        <v>57</v>
      </c>
      <c r="HF26" s="178">
        <v>57</v>
      </c>
      <c r="HG26" s="178">
        <v>56</v>
      </c>
      <c r="HH26" s="178">
        <v>58</v>
      </c>
      <c r="HI26" s="178">
        <v>58</v>
      </c>
      <c r="HJ26" s="178">
        <v>54</v>
      </c>
      <c r="HK26" s="178">
        <v>57</v>
      </c>
      <c r="HL26" s="178">
        <v>57</v>
      </c>
      <c r="HM26" s="178">
        <v>58</v>
      </c>
      <c r="HN26" s="186">
        <v>33</v>
      </c>
      <c r="HO26" s="187">
        <v>2.5923016496465043E-2</v>
      </c>
      <c r="HP26" s="217">
        <v>2076</v>
      </c>
      <c r="HQ26" s="217">
        <v>1949</v>
      </c>
      <c r="HR26" s="217">
        <v>127</v>
      </c>
      <c r="HS26" s="1704">
        <v>6.1175337186897882E-2</v>
      </c>
    </row>
    <row r="27" spans="1:227" ht="13.8" customHeight="1" x14ac:dyDescent="0.25">
      <c r="A27" s="183" t="s">
        <v>76</v>
      </c>
      <c r="B27" s="183"/>
      <c r="C27" s="183" t="s">
        <v>35</v>
      </c>
      <c r="D27" s="183" t="s">
        <v>679</v>
      </c>
      <c r="E27" s="183" t="s">
        <v>35</v>
      </c>
      <c r="F27" s="183" t="s">
        <v>489</v>
      </c>
      <c r="G27" s="183" t="s">
        <v>457</v>
      </c>
      <c r="H27" s="183" t="s">
        <v>170</v>
      </c>
      <c r="I27" s="183" t="s">
        <v>130</v>
      </c>
      <c r="J27" s="183" t="s">
        <v>704</v>
      </c>
      <c r="K27" s="183" t="s">
        <v>35</v>
      </c>
      <c r="L27" s="184">
        <v>15945</v>
      </c>
      <c r="M27" s="184">
        <v>15990</v>
      </c>
      <c r="N27" s="184">
        <v>15980</v>
      </c>
      <c r="O27" s="184">
        <v>16045</v>
      </c>
      <c r="P27" s="184">
        <v>16120</v>
      </c>
      <c r="Q27" s="184">
        <v>16080</v>
      </c>
      <c r="R27" s="184">
        <v>16020</v>
      </c>
      <c r="S27" s="184">
        <v>16095</v>
      </c>
      <c r="T27" s="184">
        <v>16150</v>
      </c>
      <c r="U27" s="184">
        <v>16255</v>
      </c>
      <c r="V27" s="184">
        <v>755</v>
      </c>
      <c r="W27" s="184">
        <v>770</v>
      </c>
      <c r="X27" s="184">
        <v>810</v>
      </c>
      <c r="Y27" s="184">
        <v>830</v>
      </c>
      <c r="Z27" s="184">
        <v>830</v>
      </c>
      <c r="AA27" s="184">
        <v>815</v>
      </c>
      <c r="AB27" s="184">
        <v>815</v>
      </c>
      <c r="AC27" s="184">
        <v>790</v>
      </c>
      <c r="AD27" s="184">
        <v>785</v>
      </c>
      <c r="AE27" s="184">
        <v>815</v>
      </c>
      <c r="AF27" s="187">
        <v>0.92874692874692877</v>
      </c>
      <c r="AG27" s="187">
        <v>1.7199017199017199E-2</v>
      </c>
      <c r="AH27" s="187">
        <v>4.1769041769041768E-2</v>
      </c>
      <c r="AI27" s="187">
        <v>7.3710073710073713E-3</v>
      </c>
      <c r="AJ27" s="187">
        <v>1.2285012285012285E-3</v>
      </c>
      <c r="AK27" s="187">
        <v>3.6855036855036856E-3</v>
      </c>
      <c r="AL27" s="187">
        <v>7.125307125307126E-2</v>
      </c>
      <c r="AM27" s="184">
        <v>1650</v>
      </c>
      <c r="AN27" s="187">
        <v>0.60097028502122496</v>
      </c>
      <c r="AO27" s="187">
        <v>0.1952698605215282</v>
      </c>
      <c r="AP27" s="187">
        <v>0.20375985445724681</v>
      </c>
      <c r="AQ27" s="184">
        <v>117</v>
      </c>
      <c r="AR27" s="184">
        <v>125</v>
      </c>
      <c r="AS27" s="184">
        <v>99</v>
      </c>
      <c r="AT27" s="184">
        <v>127</v>
      </c>
      <c r="AU27" s="184">
        <v>97</v>
      </c>
      <c r="AV27" s="186">
        <v>4</v>
      </c>
      <c r="AW27" s="186">
        <v>7</v>
      </c>
      <c r="AX27" s="186">
        <v>1</v>
      </c>
      <c r="AY27" s="186">
        <v>5</v>
      </c>
      <c r="AZ27" s="186">
        <v>3</v>
      </c>
      <c r="BA27" s="186">
        <v>13</v>
      </c>
      <c r="BB27" s="187">
        <v>0.13402061855670103</v>
      </c>
      <c r="BC27" s="187">
        <v>8.002456680409932E-2</v>
      </c>
      <c r="BD27" s="187">
        <v>0.21589993854994483</v>
      </c>
      <c r="BE27" s="193">
        <v>7</v>
      </c>
      <c r="BF27" s="184">
        <v>198</v>
      </c>
      <c r="BG27" s="184">
        <v>277</v>
      </c>
      <c r="BH27" s="184">
        <v>134</v>
      </c>
      <c r="BI27" s="184">
        <v>0.13288068869650085</v>
      </c>
      <c r="BJ27" s="184">
        <v>1708</v>
      </c>
      <c r="BK27" s="184">
        <v>3061</v>
      </c>
      <c r="BL27" s="186">
        <v>1612</v>
      </c>
      <c r="BM27" s="186">
        <v>1037</v>
      </c>
      <c r="BN27" s="186">
        <v>0</v>
      </c>
      <c r="BO27" s="186">
        <v>188</v>
      </c>
      <c r="BP27" s="186">
        <v>295</v>
      </c>
      <c r="BQ27" s="186">
        <v>92</v>
      </c>
      <c r="BR27" s="193">
        <v>70</v>
      </c>
      <c r="BS27" s="193">
        <v>70</v>
      </c>
      <c r="BT27" s="193">
        <v>55</v>
      </c>
      <c r="BU27" s="186">
        <v>308</v>
      </c>
      <c r="BV27" s="186">
        <v>98</v>
      </c>
      <c r="BW27" s="222">
        <f t="shared" si="6"/>
        <v>0.31818181818181818</v>
      </c>
      <c r="BX27" s="186">
        <v>26</v>
      </c>
      <c r="BY27" s="193">
        <v>6</v>
      </c>
      <c r="BZ27" s="1676">
        <v>207</v>
      </c>
      <c r="CA27" s="222">
        <v>2.8618830360846122E-2</v>
      </c>
      <c r="CB27" s="200">
        <v>85</v>
      </c>
      <c r="CC27" s="200">
        <v>95</v>
      </c>
      <c r="CD27" s="200">
        <v>95</v>
      </c>
      <c r="CE27" s="200">
        <v>80</v>
      </c>
      <c r="CF27" s="186">
        <v>250</v>
      </c>
      <c r="CG27" s="187">
        <v>8.1166666666666665E-2</v>
      </c>
      <c r="CH27" s="186">
        <v>240</v>
      </c>
      <c r="CI27" s="187">
        <v>7.4999999999999997E-2</v>
      </c>
      <c r="CJ27" s="186">
        <v>250</v>
      </c>
      <c r="CK27" s="187">
        <v>7.1749999999999994E-2</v>
      </c>
      <c r="CL27" s="186">
        <v>270</v>
      </c>
      <c r="CM27" s="187">
        <v>7.2083333333333333E-2</v>
      </c>
      <c r="CN27" s="186">
        <v>280</v>
      </c>
      <c r="CO27" s="187">
        <v>6.7708333333333329E-2</v>
      </c>
      <c r="CP27" s="186">
        <v>235</v>
      </c>
      <c r="CQ27" s="187">
        <v>8.7850467289719625E-2</v>
      </c>
      <c r="CR27" s="184">
        <v>138</v>
      </c>
      <c r="CS27" s="184">
        <v>4</v>
      </c>
      <c r="CT27" s="184">
        <v>134</v>
      </c>
      <c r="CU27" s="187">
        <v>0.73487494778613194</v>
      </c>
      <c r="CV27" s="186">
        <v>67</v>
      </c>
      <c r="CW27" s="186">
        <v>83</v>
      </c>
      <c r="CX27" s="187">
        <v>0.42403308238971876</v>
      </c>
      <c r="CY27" s="187">
        <v>0.51246345359498269</v>
      </c>
      <c r="CZ27" s="187">
        <v>0.41652894110160354</v>
      </c>
      <c r="DA27" s="187">
        <v>0.58347105889839646</v>
      </c>
      <c r="DB27" s="187">
        <v>0.53495096670916298</v>
      </c>
      <c r="DC27" s="187">
        <v>0.69719955969215563</v>
      </c>
      <c r="DD27" s="182">
        <v>114</v>
      </c>
      <c r="DE27" s="182">
        <v>10</v>
      </c>
      <c r="DF27" s="143">
        <v>8.771929824561403E-2</v>
      </c>
      <c r="DG27" s="143">
        <v>4.8345105411009885E-2</v>
      </c>
      <c r="DH27" s="143">
        <v>0.15397298415856125</v>
      </c>
      <c r="DI27" s="178" t="str">
        <f t="shared" si="0"/>
        <v>No Sig diff</v>
      </c>
      <c r="DJ27" s="182">
        <v>133</v>
      </c>
      <c r="DK27" s="182">
        <v>9</v>
      </c>
      <c r="DL27" s="143">
        <v>6.7669172932330823E-2</v>
      </c>
      <c r="DM27" s="143">
        <v>3.6006387177108239E-2</v>
      </c>
      <c r="DN27" s="143">
        <v>0.12360502744039735</v>
      </c>
      <c r="DO27" s="178" t="str">
        <f t="shared" si="1"/>
        <v>No Sig diff</v>
      </c>
      <c r="DP27" s="183">
        <v>141</v>
      </c>
      <c r="DQ27" s="183">
        <v>7</v>
      </c>
      <c r="DR27" s="143">
        <v>4.9645390070921988E-2</v>
      </c>
      <c r="DS27" s="143">
        <v>2.4253530324488033E-2</v>
      </c>
      <c r="DT27" s="143">
        <v>9.8925695885742834E-2</v>
      </c>
      <c r="DU27" s="178" t="str">
        <f t="shared" si="7"/>
        <v>No Sig diff</v>
      </c>
      <c r="DV27" s="178">
        <v>123</v>
      </c>
      <c r="DW27" s="178">
        <v>6</v>
      </c>
      <c r="DX27" s="179">
        <v>4.878048780487805E-2</v>
      </c>
      <c r="DY27" s="179">
        <v>2.2545774253251705E-2</v>
      </c>
      <c r="DZ27" s="179">
        <v>0.10234603137544228</v>
      </c>
      <c r="EA27" s="178" t="str">
        <f t="shared" si="2"/>
        <v>No Sig diff</v>
      </c>
      <c r="EB27" s="182">
        <v>88</v>
      </c>
      <c r="EC27" s="182">
        <v>10</v>
      </c>
      <c r="ED27" s="143">
        <v>0.11363636363636363</v>
      </c>
      <c r="EE27" s="143">
        <v>6.2908003751013547E-2</v>
      </c>
      <c r="EF27" s="143">
        <v>0.1966856386718577</v>
      </c>
      <c r="EG27" s="178" t="str">
        <f t="shared" si="3"/>
        <v>No Sig diff</v>
      </c>
      <c r="EH27" s="182">
        <v>88</v>
      </c>
      <c r="EI27" s="182">
        <v>17</v>
      </c>
      <c r="EJ27" s="143">
        <v>0.19318181818181818</v>
      </c>
      <c r="EK27" s="143">
        <v>0.12425957732106709</v>
      </c>
      <c r="EL27" s="143">
        <v>0.2877706681323895</v>
      </c>
      <c r="EM27" s="178" t="str">
        <f t="shared" si="8"/>
        <v>No Sig diff</v>
      </c>
      <c r="EN27" s="183">
        <v>91</v>
      </c>
      <c r="EO27" s="183">
        <v>13</v>
      </c>
      <c r="EP27" s="197">
        <v>0.14285714285714285</v>
      </c>
      <c r="EQ27" s="179">
        <v>8.542758136548774E-2</v>
      </c>
      <c r="ER27" s="179">
        <v>0.22921813572656949</v>
      </c>
      <c r="ES27" s="178" t="str">
        <f t="shared" si="9"/>
        <v>No Sig diff</v>
      </c>
      <c r="ET27" s="206">
        <v>100</v>
      </c>
      <c r="EU27" s="206">
        <v>6</v>
      </c>
      <c r="EV27" s="179">
        <v>0.06</v>
      </c>
      <c r="EW27" s="179">
        <v>2.7786123963188188E-2</v>
      </c>
      <c r="EX27" s="179">
        <v>0.1247681544589592</v>
      </c>
      <c r="EY27" s="178" t="str">
        <f t="shared" si="10"/>
        <v>Sig better than Eng.</v>
      </c>
      <c r="EZ27" s="207">
        <v>150</v>
      </c>
      <c r="FA27" s="186">
        <v>80</v>
      </c>
      <c r="FB27" s="187">
        <v>0.53333333333333333</v>
      </c>
      <c r="FC27" s="187">
        <v>0.45366249130807695</v>
      </c>
      <c r="FD27" s="187">
        <v>0.61133949240071794</v>
      </c>
      <c r="FE27" s="208">
        <v>150</v>
      </c>
      <c r="FF27" s="209">
        <v>34</v>
      </c>
      <c r="FG27" s="208">
        <v>30</v>
      </c>
      <c r="FH27" s="209">
        <v>25.433333333333334</v>
      </c>
      <c r="FI27" s="187">
        <f t="shared" si="11"/>
        <v>0.25196078431372548</v>
      </c>
      <c r="FJ27" s="186">
        <v>166</v>
      </c>
      <c r="FK27" s="186">
        <v>90</v>
      </c>
      <c r="FL27" s="187">
        <v>0.54216867469879515</v>
      </c>
      <c r="FM27" s="187">
        <v>0.46628048237198927</v>
      </c>
      <c r="FN27" s="187">
        <v>0.61614933245184689</v>
      </c>
      <c r="FO27" s="198">
        <v>166</v>
      </c>
      <c r="FP27" s="199">
        <v>34</v>
      </c>
      <c r="FQ27" s="198">
        <v>33</v>
      </c>
      <c r="FR27" s="199">
        <v>25.515151515151519</v>
      </c>
      <c r="FS27" s="210">
        <v>0.2495543672014259</v>
      </c>
      <c r="FT27" s="200">
        <v>2265</v>
      </c>
      <c r="FU27" s="200">
        <v>2068</v>
      </c>
      <c r="FV27" s="200">
        <v>197</v>
      </c>
      <c r="FW27" s="200">
        <v>169</v>
      </c>
      <c r="FX27" s="200">
        <v>28</v>
      </c>
      <c r="FY27" s="187">
        <f t="shared" si="4"/>
        <v>0.85786802030456855</v>
      </c>
      <c r="FZ27" s="187">
        <f t="shared" si="5"/>
        <v>0.14213197969543148</v>
      </c>
      <c r="GA27" s="197"/>
      <c r="GB27" s="197">
        <v>0.15909090909090909</v>
      </c>
      <c r="GC27" s="197">
        <v>9.71981376163292E-2</v>
      </c>
      <c r="GD27" s="197">
        <v>0.24950313936490803</v>
      </c>
      <c r="GE27" s="197"/>
      <c r="GF27" s="197">
        <v>0.125</v>
      </c>
      <c r="GG27" s="197">
        <v>7.1252008979545867E-2</v>
      </c>
      <c r="GH27" s="197">
        <v>0.21011939569981511</v>
      </c>
      <c r="GI27" s="197"/>
      <c r="GJ27" s="197">
        <v>0.12643678160919541</v>
      </c>
      <c r="GK27" s="197">
        <v>7.2088787763500334E-2</v>
      </c>
      <c r="GL27" s="197">
        <v>0.21238000186592054</v>
      </c>
      <c r="GM27" s="197"/>
      <c r="GN27" s="197">
        <v>0.29545454545454547</v>
      </c>
      <c r="GO27" s="197">
        <v>0.21030723719315755</v>
      </c>
      <c r="GP27" s="197">
        <v>0.39771352899558482</v>
      </c>
      <c r="GQ27" s="186">
        <v>29</v>
      </c>
      <c r="GR27" s="186">
        <v>27</v>
      </c>
      <c r="GS27" s="178">
        <v>27</v>
      </c>
      <c r="GT27" s="178">
        <v>28</v>
      </c>
      <c r="GU27" s="178">
        <v>27</v>
      </c>
      <c r="GV27" s="178">
        <v>22</v>
      </c>
      <c r="GW27" s="178">
        <v>22</v>
      </c>
      <c r="GX27" s="178">
        <v>22</v>
      </c>
      <c r="GY27" s="178">
        <v>22</v>
      </c>
      <c r="GZ27" s="178">
        <v>22</v>
      </c>
      <c r="HA27" s="178">
        <v>22</v>
      </c>
      <c r="HB27" s="178">
        <v>22</v>
      </c>
      <c r="HC27" s="178">
        <v>22</v>
      </c>
      <c r="HD27" s="178">
        <v>39</v>
      </c>
      <c r="HE27" s="178">
        <v>33</v>
      </c>
      <c r="HF27" s="178">
        <v>33</v>
      </c>
      <c r="HG27" s="178">
        <v>33</v>
      </c>
      <c r="HH27" s="178">
        <v>33</v>
      </c>
      <c r="HI27" s="178">
        <v>34</v>
      </c>
      <c r="HJ27" s="178">
        <v>33</v>
      </c>
      <c r="HK27" s="178">
        <v>34</v>
      </c>
      <c r="HL27" s="178">
        <v>31</v>
      </c>
      <c r="HM27" s="178">
        <v>33</v>
      </c>
      <c r="HN27" s="186">
        <v>12</v>
      </c>
      <c r="HO27" s="187">
        <v>1.4742014742014743E-2</v>
      </c>
      <c r="HP27" s="217">
        <v>1220</v>
      </c>
      <c r="HQ27" s="217">
        <v>1116</v>
      </c>
      <c r="HR27" s="217">
        <v>104</v>
      </c>
      <c r="HS27" s="1704">
        <v>8.5245901639344257E-2</v>
      </c>
    </row>
    <row r="28" spans="1:227" ht="13.8" customHeight="1" x14ac:dyDescent="0.25">
      <c r="A28" s="183" t="s">
        <v>77</v>
      </c>
      <c r="B28" s="183"/>
      <c r="C28" s="183" t="s">
        <v>33</v>
      </c>
      <c r="D28" s="183" t="s">
        <v>33</v>
      </c>
      <c r="E28" s="183" t="s">
        <v>33</v>
      </c>
      <c r="F28" s="183" t="s">
        <v>33</v>
      </c>
      <c r="G28" s="183" t="s">
        <v>466</v>
      </c>
      <c r="H28" s="183" t="s">
        <v>171</v>
      </c>
      <c r="I28" s="183" t="s">
        <v>132</v>
      </c>
      <c r="J28" s="183" t="s">
        <v>33</v>
      </c>
      <c r="K28" s="183" t="s">
        <v>33</v>
      </c>
      <c r="L28" s="184">
        <v>14675</v>
      </c>
      <c r="M28" s="184">
        <v>14925</v>
      </c>
      <c r="N28" s="184">
        <v>15190</v>
      </c>
      <c r="O28" s="184">
        <v>15405</v>
      </c>
      <c r="P28" s="184">
        <v>15880</v>
      </c>
      <c r="Q28" s="184">
        <v>16250</v>
      </c>
      <c r="R28" s="184">
        <v>17140</v>
      </c>
      <c r="S28" s="184">
        <v>17785</v>
      </c>
      <c r="T28" s="184">
        <v>18270</v>
      </c>
      <c r="U28" s="184">
        <v>18550</v>
      </c>
      <c r="V28" s="184">
        <v>795</v>
      </c>
      <c r="W28" s="184">
        <v>810</v>
      </c>
      <c r="X28" s="184">
        <v>830</v>
      </c>
      <c r="Y28" s="184">
        <v>825</v>
      </c>
      <c r="Z28" s="184">
        <v>895</v>
      </c>
      <c r="AA28" s="184">
        <v>980</v>
      </c>
      <c r="AB28" s="184">
        <v>1180</v>
      </c>
      <c r="AC28" s="184">
        <v>1340</v>
      </c>
      <c r="AD28" s="184">
        <v>1425</v>
      </c>
      <c r="AE28" s="184">
        <v>1455</v>
      </c>
      <c r="AF28" s="187">
        <v>0.5143939393939394</v>
      </c>
      <c r="AG28" s="187">
        <v>7.9545454545454544E-2</v>
      </c>
      <c r="AH28" s="187">
        <v>8.8636363636363638E-2</v>
      </c>
      <c r="AI28" s="187">
        <v>0.26212121212121214</v>
      </c>
      <c r="AJ28" s="187">
        <v>3.2575757575757577E-2</v>
      </c>
      <c r="AK28" s="187">
        <v>2.2727272727272728E-2</v>
      </c>
      <c r="AL28" s="187">
        <v>0.4856060606060606</v>
      </c>
      <c r="AM28" s="184">
        <v>2205</v>
      </c>
      <c r="AN28" s="187">
        <v>0.37431941923774953</v>
      </c>
      <c r="AO28" s="187">
        <v>0.37749546279491836</v>
      </c>
      <c r="AP28" s="187">
        <v>0.24818511796733211</v>
      </c>
      <c r="AQ28" s="184">
        <v>199</v>
      </c>
      <c r="AR28" s="184">
        <v>311</v>
      </c>
      <c r="AS28" s="184">
        <v>317</v>
      </c>
      <c r="AT28" s="184">
        <v>298</v>
      </c>
      <c r="AU28" s="184">
        <v>307</v>
      </c>
      <c r="AV28" s="186">
        <v>8</v>
      </c>
      <c r="AW28" s="186">
        <v>13</v>
      </c>
      <c r="AX28" s="186">
        <v>17</v>
      </c>
      <c r="AY28" s="186">
        <v>7</v>
      </c>
      <c r="AZ28" s="186">
        <v>9</v>
      </c>
      <c r="BA28" s="186">
        <v>21</v>
      </c>
      <c r="BB28" s="187">
        <v>6.8403908794788276E-2</v>
      </c>
      <c r="BC28" s="187">
        <v>4.517237630442774E-2</v>
      </c>
      <c r="BD28" s="187">
        <v>0.1023029926332059</v>
      </c>
      <c r="BE28" s="193">
        <v>20</v>
      </c>
      <c r="BF28" s="184">
        <v>514</v>
      </c>
      <c r="BG28" s="184">
        <v>330</v>
      </c>
      <c r="BH28" s="184">
        <v>171</v>
      </c>
      <c r="BI28" s="184">
        <v>0.13425414475583303</v>
      </c>
      <c r="BJ28" s="184">
        <v>2102</v>
      </c>
      <c r="BK28" s="184">
        <v>3595</v>
      </c>
      <c r="BL28" s="186">
        <v>2365</v>
      </c>
      <c r="BM28" s="186">
        <v>1231</v>
      </c>
      <c r="BN28" s="186">
        <v>5</v>
      </c>
      <c r="BO28" s="186">
        <v>338</v>
      </c>
      <c r="BP28" s="186">
        <v>561</v>
      </c>
      <c r="BQ28" s="186">
        <v>230</v>
      </c>
      <c r="BR28" s="193">
        <v>195</v>
      </c>
      <c r="BS28" s="193">
        <v>175</v>
      </c>
      <c r="BT28" s="193">
        <v>145</v>
      </c>
      <c r="BU28" s="186">
        <v>507</v>
      </c>
      <c r="BV28" s="186">
        <v>211</v>
      </c>
      <c r="BW28" s="222">
        <f t="shared" si="6"/>
        <v>0.41617357001972388</v>
      </c>
      <c r="BX28" s="186">
        <v>30</v>
      </c>
      <c r="BY28" s="193">
        <v>3</v>
      </c>
      <c r="BZ28" s="1676">
        <v>422</v>
      </c>
      <c r="CA28" s="222">
        <v>5.5687516495117446E-2</v>
      </c>
      <c r="CB28" s="200">
        <v>290</v>
      </c>
      <c r="CC28" s="200">
        <v>295</v>
      </c>
      <c r="CD28" s="200">
        <v>235</v>
      </c>
      <c r="CE28" s="200">
        <v>210</v>
      </c>
      <c r="CF28" s="186">
        <v>610</v>
      </c>
      <c r="CG28" s="187">
        <v>0.17241666666666666</v>
      </c>
      <c r="CH28" s="186">
        <v>635</v>
      </c>
      <c r="CI28" s="187">
        <v>0.18791666666666665</v>
      </c>
      <c r="CJ28" s="186">
        <v>580</v>
      </c>
      <c r="CK28" s="187">
        <v>0.19166666666666668</v>
      </c>
      <c r="CL28" s="186">
        <v>535</v>
      </c>
      <c r="CM28" s="187">
        <v>0.19466666666666668</v>
      </c>
      <c r="CN28" s="186">
        <v>475</v>
      </c>
      <c r="CO28" s="187">
        <v>0.17633333333333334</v>
      </c>
      <c r="CP28" s="186">
        <v>550</v>
      </c>
      <c r="CQ28" s="187">
        <v>0.17027863777089783</v>
      </c>
      <c r="CR28" s="184">
        <v>258</v>
      </c>
      <c r="CS28" s="184">
        <v>8</v>
      </c>
      <c r="CT28" s="184">
        <v>250</v>
      </c>
      <c r="CU28" s="187">
        <v>0.88818493037600588</v>
      </c>
      <c r="CV28" s="186">
        <v>108</v>
      </c>
      <c r="CW28" s="186">
        <v>155</v>
      </c>
      <c r="CX28" s="187">
        <v>0.39258947574164954</v>
      </c>
      <c r="CY28" s="187">
        <v>0.55961337374380848</v>
      </c>
      <c r="CZ28" s="187">
        <v>0.37208205941359102</v>
      </c>
      <c r="DA28" s="187">
        <v>0.49397614381235777</v>
      </c>
      <c r="DB28" s="187">
        <v>0.55844423217073813</v>
      </c>
      <c r="DC28" s="187">
        <v>0.67792364448935216</v>
      </c>
      <c r="DD28" s="182">
        <v>129</v>
      </c>
      <c r="DE28" s="182">
        <v>15</v>
      </c>
      <c r="DF28" s="143">
        <v>0.11627906976744186</v>
      </c>
      <c r="DG28" s="143">
        <v>7.1745771694535582E-2</v>
      </c>
      <c r="DH28" s="143">
        <v>0.18300495990027799</v>
      </c>
      <c r="DI28" s="178" t="str">
        <f t="shared" si="0"/>
        <v>No Sig diff</v>
      </c>
      <c r="DJ28" s="182">
        <v>154</v>
      </c>
      <c r="DK28" s="182">
        <v>16</v>
      </c>
      <c r="DL28" s="143">
        <v>0.1038961038961039</v>
      </c>
      <c r="DM28" s="143">
        <v>6.4968878575839786E-2</v>
      </c>
      <c r="DN28" s="143">
        <v>0.1621036477963953</v>
      </c>
      <c r="DO28" s="178" t="str">
        <f t="shared" si="1"/>
        <v>No Sig diff</v>
      </c>
      <c r="DP28" s="183">
        <v>132</v>
      </c>
      <c r="DQ28" s="183">
        <v>8</v>
      </c>
      <c r="DR28" s="143">
        <v>6.0606060606060608E-2</v>
      </c>
      <c r="DS28" s="143">
        <v>3.1026884470063115E-2</v>
      </c>
      <c r="DT28" s="143">
        <v>0.11503646756507763</v>
      </c>
      <c r="DU28" s="178" t="str">
        <f t="shared" si="7"/>
        <v>No Sig diff</v>
      </c>
      <c r="DV28" s="178">
        <v>183</v>
      </c>
      <c r="DW28" s="178">
        <v>14</v>
      </c>
      <c r="DX28" s="179">
        <v>7.650273224043716E-2</v>
      </c>
      <c r="DY28" s="179">
        <v>4.6115353092286537E-2</v>
      </c>
      <c r="DZ28" s="179">
        <v>0.12430431190964095</v>
      </c>
      <c r="EA28" s="178" t="str">
        <f t="shared" si="2"/>
        <v>No Sig diff</v>
      </c>
      <c r="EB28" s="182">
        <v>114</v>
      </c>
      <c r="EC28" s="182">
        <v>23</v>
      </c>
      <c r="ED28" s="143">
        <v>0.20175438596491227</v>
      </c>
      <c r="EE28" s="143">
        <v>0.13837064215120354</v>
      </c>
      <c r="EF28" s="143">
        <v>0.28458286945231603</v>
      </c>
      <c r="EG28" s="178" t="str">
        <f t="shared" si="3"/>
        <v>No Sig diff</v>
      </c>
      <c r="EH28" s="182">
        <v>119</v>
      </c>
      <c r="EI28" s="182">
        <v>17</v>
      </c>
      <c r="EJ28" s="143">
        <v>0.14285714285714285</v>
      </c>
      <c r="EK28" s="143">
        <v>9.1145398332360461E-2</v>
      </c>
      <c r="EL28" s="143">
        <v>0.21690580184045349</v>
      </c>
      <c r="EM28" s="178" t="str">
        <f t="shared" si="8"/>
        <v>No Sig diff</v>
      </c>
      <c r="EN28" s="183">
        <v>158</v>
      </c>
      <c r="EO28" s="183">
        <v>28</v>
      </c>
      <c r="EP28" s="197">
        <v>0.17721518987341772</v>
      </c>
      <c r="EQ28" s="179">
        <v>0.12555026627158597</v>
      </c>
      <c r="ER28" s="179">
        <v>0.24420331390957831</v>
      </c>
      <c r="ES28" s="178" t="str">
        <f t="shared" si="9"/>
        <v>No Sig diff</v>
      </c>
      <c r="ET28" s="206">
        <v>146</v>
      </c>
      <c r="EU28" s="206">
        <v>35</v>
      </c>
      <c r="EV28" s="179">
        <v>0.23972602739726026</v>
      </c>
      <c r="EW28" s="179">
        <v>0.17771801912998342</v>
      </c>
      <c r="EX28" s="179">
        <v>0.31507923072231259</v>
      </c>
      <c r="EY28" s="178" t="str">
        <f t="shared" si="10"/>
        <v>No Sig diff</v>
      </c>
      <c r="EZ28" s="207">
        <v>230</v>
      </c>
      <c r="FA28" s="186">
        <v>112</v>
      </c>
      <c r="FB28" s="187">
        <v>0.48695652173913045</v>
      </c>
      <c r="FC28" s="187">
        <v>0.42310710602431456</v>
      </c>
      <c r="FD28" s="187">
        <v>0.55123448408438924</v>
      </c>
      <c r="FE28" s="208">
        <v>230</v>
      </c>
      <c r="FF28" s="209">
        <v>34</v>
      </c>
      <c r="FG28" s="208">
        <v>46</v>
      </c>
      <c r="FH28" s="209">
        <v>21.304347826086961</v>
      </c>
      <c r="FI28" s="187">
        <f t="shared" si="11"/>
        <v>0.3734015345268541</v>
      </c>
      <c r="FJ28" s="186">
        <v>236</v>
      </c>
      <c r="FK28" s="186">
        <v>118</v>
      </c>
      <c r="FL28" s="187">
        <v>0.5</v>
      </c>
      <c r="FM28" s="187">
        <v>0.43672153044647821</v>
      </c>
      <c r="FN28" s="187">
        <v>0.56327846955352179</v>
      </c>
      <c r="FO28" s="198">
        <v>236</v>
      </c>
      <c r="FP28" s="199">
        <v>34</v>
      </c>
      <c r="FQ28" s="198">
        <v>47</v>
      </c>
      <c r="FR28" s="199">
        <v>20.936170212765962</v>
      </c>
      <c r="FS28" s="210">
        <v>0.38423028785982466</v>
      </c>
      <c r="FT28" s="200">
        <v>2552</v>
      </c>
      <c r="FU28" s="200">
        <v>2532</v>
      </c>
      <c r="FV28" s="200">
        <v>20</v>
      </c>
      <c r="FW28" s="200">
        <v>19</v>
      </c>
      <c r="FX28" s="200">
        <v>1</v>
      </c>
      <c r="FY28" s="187">
        <f t="shared" si="4"/>
        <v>0.95</v>
      </c>
      <c r="FZ28" s="187">
        <f t="shared" si="5"/>
        <v>0.05</v>
      </c>
      <c r="GA28" s="197">
        <v>0.82305193716958425</v>
      </c>
      <c r="GB28" s="197">
        <v>9.3614729497082438E-2</v>
      </c>
      <c r="GC28" s="197">
        <v>5.5187336060682587E-2</v>
      </c>
      <c r="GD28" s="197">
        <v>0.14290024916446165</v>
      </c>
      <c r="GE28" s="197">
        <v>0.83183684507213929</v>
      </c>
      <c r="GF28" s="197">
        <v>8.4829821594527469E-2</v>
      </c>
      <c r="GG28" s="197">
        <v>4.6054075596845066E-2</v>
      </c>
      <c r="GH28" s="197">
        <v>0.12862000846698951</v>
      </c>
      <c r="GI28" s="197">
        <v>0.81074801560095677</v>
      </c>
      <c r="GJ28" s="197">
        <v>0.1059186510657099</v>
      </c>
      <c r="GK28" s="197">
        <v>6.927290603446952E-2</v>
      </c>
      <c r="GL28" s="197">
        <v>0.16393493093263919</v>
      </c>
      <c r="GM28" s="197">
        <v>0.66120358807858803</v>
      </c>
      <c r="GN28" s="197">
        <v>0.25546307858807854</v>
      </c>
      <c r="GO28" s="197">
        <v>0.19418660232856491</v>
      </c>
      <c r="GP28" s="197">
        <v>0.3260738074282723</v>
      </c>
      <c r="GQ28" s="186">
        <v>67</v>
      </c>
      <c r="GR28" s="186">
        <v>59</v>
      </c>
      <c r="GS28" s="178">
        <v>60</v>
      </c>
      <c r="GT28" s="178">
        <v>65</v>
      </c>
      <c r="GU28" s="178">
        <v>62</v>
      </c>
      <c r="GV28" s="178">
        <v>76</v>
      </c>
      <c r="GW28" s="178">
        <v>72</v>
      </c>
      <c r="GX28" s="178">
        <v>69</v>
      </c>
      <c r="GY28" s="178">
        <v>72</v>
      </c>
      <c r="GZ28" s="178">
        <v>70</v>
      </c>
      <c r="HA28" s="178">
        <v>73</v>
      </c>
      <c r="HB28" s="178">
        <v>73</v>
      </c>
      <c r="HC28" s="178">
        <v>74</v>
      </c>
      <c r="HD28" s="178">
        <v>63</v>
      </c>
      <c r="HE28" s="178">
        <v>60</v>
      </c>
      <c r="HF28" s="178">
        <v>55</v>
      </c>
      <c r="HG28" s="178">
        <v>56</v>
      </c>
      <c r="HH28" s="178">
        <v>56</v>
      </c>
      <c r="HI28" s="178">
        <v>59</v>
      </c>
      <c r="HJ28" s="178">
        <v>57</v>
      </c>
      <c r="HK28" s="178">
        <v>60</v>
      </c>
      <c r="HL28" s="178">
        <v>59</v>
      </c>
      <c r="HM28" s="178">
        <v>57</v>
      </c>
      <c r="HN28" s="186">
        <v>29</v>
      </c>
      <c r="HO28" s="187">
        <v>2.2137404580152672E-2</v>
      </c>
      <c r="HP28" s="217">
        <v>2102</v>
      </c>
      <c r="HQ28" s="217">
        <v>1792</v>
      </c>
      <c r="HR28" s="217">
        <v>310</v>
      </c>
      <c r="HS28" s="1704">
        <v>0.14747859181731685</v>
      </c>
    </row>
    <row r="29" spans="1:227" ht="13.8" customHeight="1" x14ac:dyDescent="0.25">
      <c r="A29" s="183" t="s">
        <v>78</v>
      </c>
      <c r="B29" s="183"/>
      <c r="C29" s="183" t="s">
        <v>35</v>
      </c>
      <c r="D29" s="183" t="s">
        <v>679</v>
      </c>
      <c r="E29" s="183" t="s">
        <v>35</v>
      </c>
      <c r="F29" s="183" t="s">
        <v>489</v>
      </c>
      <c r="G29" s="183" t="s">
        <v>458</v>
      </c>
      <c r="H29" s="183" t="s">
        <v>170</v>
      </c>
      <c r="I29" s="183" t="s">
        <v>130</v>
      </c>
      <c r="J29" s="183" t="s">
        <v>704</v>
      </c>
      <c r="K29" s="183" t="s">
        <v>126</v>
      </c>
      <c r="L29" s="184">
        <v>11195</v>
      </c>
      <c r="M29" s="184">
        <v>11265</v>
      </c>
      <c r="N29" s="184">
        <v>11190</v>
      </c>
      <c r="O29" s="184">
        <v>11230</v>
      </c>
      <c r="P29" s="184">
        <v>11395</v>
      </c>
      <c r="Q29" s="184">
        <v>11450</v>
      </c>
      <c r="R29" s="184">
        <v>11565</v>
      </c>
      <c r="S29" s="184">
        <v>11620</v>
      </c>
      <c r="T29" s="184">
        <v>11600</v>
      </c>
      <c r="U29" s="184">
        <v>11620</v>
      </c>
      <c r="V29" s="184">
        <v>595</v>
      </c>
      <c r="W29" s="184">
        <v>585</v>
      </c>
      <c r="X29" s="184">
        <v>580</v>
      </c>
      <c r="Y29" s="184">
        <v>590</v>
      </c>
      <c r="Z29" s="184">
        <v>610</v>
      </c>
      <c r="AA29" s="184">
        <v>605</v>
      </c>
      <c r="AB29" s="184">
        <v>620</v>
      </c>
      <c r="AC29" s="184">
        <v>635</v>
      </c>
      <c r="AD29" s="184">
        <v>630</v>
      </c>
      <c r="AE29" s="184">
        <v>605</v>
      </c>
      <c r="AF29" s="187">
        <v>0.92902208201892744</v>
      </c>
      <c r="AG29" s="187">
        <v>2.8391167192429023E-2</v>
      </c>
      <c r="AH29" s="187">
        <v>2.996845425867508E-2</v>
      </c>
      <c r="AI29" s="187">
        <v>4.7318611987381704E-3</v>
      </c>
      <c r="AJ29" s="187">
        <v>6.3091482649842269E-3</v>
      </c>
      <c r="AK29" s="187">
        <v>1.5772870662460567E-3</v>
      </c>
      <c r="AL29" s="187">
        <v>7.0977917981072558E-2</v>
      </c>
      <c r="AM29" s="184">
        <v>1325</v>
      </c>
      <c r="AN29" s="187">
        <v>0.63903541823662391</v>
      </c>
      <c r="AO29" s="187">
        <v>0.1680482290881688</v>
      </c>
      <c r="AP29" s="187">
        <v>0.19291635267520724</v>
      </c>
      <c r="AQ29" s="184">
        <v>99</v>
      </c>
      <c r="AR29" s="184">
        <v>95</v>
      </c>
      <c r="AS29" s="184">
        <v>81</v>
      </c>
      <c r="AT29" s="184">
        <v>61</v>
      </c>
      <c r="AU29" s="184">
        <v>55</v>
      </c>
      <c r="AV29" s="186">
        <v>4</v>
      </c>
      <c r="AW29" s="186">
        <v>5</v>
      </c>
      <c r="AX29" s="186">
        <v>3</v>
      </c>
      <c r="AY29" s="186">
        <v>2</v>
      </c>
      <c r="AZ29" s="186">
        <v>4</v>
      </c>
      <c r="BA29" s="186">
        <v>3</v>
      </c>
      <c r="BB29" s="187">
        <v>5.4545454545454543E-2</v>
      </c>
      <c r="BC29" s="187">
        <v>1.8723215554684484E-2</v>
      </c>
      <c r="BD29" s="187">
        <v>0.14853060544053792</v>
      </c>
      <c r="BE29" s="193">
        <v>5</v>
      </c>
      <c r="BF29" s="184">
        <v>168</v>
      </c>
      <c r="BG29" s="184">
        <v>209</v>
      </c>
      <c r="BH29" s="184">
        <v>102</v>
      </c>
      <c r="BI29" s="184">
        <v>0.17248256109179885</v>
      </c>
      <c r="BJ29" s="184">
        <v>1297</v>
      </c>
      <c r="BK29" s="184">
        <v>2364</v>
      </c>
      <c r="BL29" s="186">
        <v>1307</v>
      </c>
      <c r="BM29" s="186">
        <v>905</v>
      </c>
      <c r="BN29" s="186">
        <v>0</v>
      </c>
      <c r="BO29" s="186">
        <v>129</v>
      </c>
      <c r="BP29" s="186">
        <v>202</v>
      </c>
      <c r="BQ29" s="186">
        <v>71</v>
      </c>
      <c r="BR29" s="193">
        <v>35</v>
      </c>
      <c r="BS29" s="193">
        <v>40</v>
      </c>
      <c r="BT29" s="193">
        <v>40</v>
      </c>
      <c r="BU29" s="186">
        <v>201</v>
      </c>
      <c r="BV29" s="186">
        <v>60</v>
      </c>
      <c r="BW29" s="222">
        <f t="shared" si="6"/>
        <v>0.29850746268656714</v>
      </c>
      <c r="BX29" s="186">
        <v>20</v>
      </c>
      <c r="BY29" s="193">
        <v>5</v>
      </c>
      <c r="BZ29" s="1676">
        <v>104</v>
      </c>
      <c r="CA29" s="222">
        <v>2.2029231095106967E-2</v>
      </c>
      <c r="CB29" s="200">
        <v>60</v>
      </c>
      <c r="CC29" s="200">
        <v>60</v>
      </c>
      <c r="CD29" s="200">
        <v>50</v>
      </c>
      <c r="CE29" s="200">
        <v>55</v>
      </c>
      <c r="CF29" s="186">
        <v>175</v>
      </c>
      <c r="CG29" s="187">
        <v>8.8124999999999995E-2</v>
      </c>
      <c r="CH29" s="186">
        <v>200</v>
      </c>
      <c r="CI29" s="187">
        <v>9.0374999999999997E-2</v>
      </c>
      <c r="CJ29" s="186">
        <v>180</v>
      </c>
      <c r="CK29" s="187">
        <v>8.9249999999999996E-2</v>
      </c>
      <c r="CL29" s="186">
        <v>180</v>
      </c>
      <c r="CM29" s="187">
        <v>9.8250000000000004E-2</v>
      </c>
      <c r="CN29" s="186">
        <v>175</v>
      </c>
      <c r="CO29" s="187">
        <v>7.9125000000000001E-2</v>
      </c>
      <c r="CP29" s="186">
        <v>155</v>
      </c>
      <c r="CQ29" s="187">
        <v>7.5609756097560973E-2</v>
      </c>
      <c r="CR29" s="184">
        <v>61</v>
      </c>
      <c r="CS29" s="184">
        <v>0</v>
      </c>
      <c r="CT29" s="184">
        <v>61</v>
      </c>
      <c r="CU29" s="187">
        <v>0.75</v>
      </c>
      <c r="CV29" s="186">
        <v>22</v>
      </c>
      <c r="CW29" s="186">
        <v>28</v>
      </c>
      <c r="CX29" s="187">
        <v>0.26822916666666663</v>
      </c>
      <c r="CY29" s="187">
        <v>0.33784722222222219</v>
      </c>
      <c r="CZ29" s="187">
        <v>0.25173936505814554</v>
      </c>
      <c r="DA29" s="187">
        <v>0.48608326732600293</v>
      </c>
      <c r="DB29" s="187">
        <v>0.34012730888289117</v>
      </c>
      <c r="DC29" s="187">
        <v>0.58276170064185839</v>
      </c>
      <c r="DD29" s="182">
        <v>83</v>
      </c>
      <c r="DE29" s="182">
        <v>5</v>
      </c>
      <c r="DF29" s="143">
        <v>6.0240963855421686E-2</v>
      </c>
      <c r="DG29" s="143">
        <v>2.6003401041882011E-2</v>
      </c>
      <c r="DH29" s="143">
        <v>0.13338428093238414</v>
      </c>
      <c r="DI29" s="178" t="str">
        <f t="shared" si="0"/>
        <v>No Sig diff</v>
      </c>
      <c r="DJ29" s="182">
        <v>89</v>
      </c>
      <c r="DK29" s="182">
        <v>8</v>
      </c>
      <c r="DL29" s="143">
        <v>8.98876404494382E-2</v>
      </c>
      <c r="DM29" s="143">
        <v>4.6252429145950645E-2</v>
      </c>
      <c r="DN29" s="143">
        <v>0.1674609169467059</v>
      </c>
      <c r="DO29" s="178" t="str">
        <f t="shared" si="1"/>
        <v>No Sig diff</v>
      </c>
      <c r="DP29" s="183">
        <v>82</v>
      </c>
      <c r="DQ29" s="183">
        <v>5</v>
      </c>
      <c r="DR29" s="143">
        <v>6.097560975609756E-2</v>
      </c>
      <c r="DS29" s="143">
        <v>2.6323955067816089E-2</v>
      </c>
      <c r="DT29" s="143">
        <v>0.13492049500154024</v>
      </c>
      <c r="DU29" s="178" t="str">
        <f t="shared" si="7"/>
        <v>No Sig diff</v>
      </c>
      <c r="DV29" s="178">
        <v>100</v>
      </c>
      <c r="DW29" s="178">
        <v>7</v>
      </c>
      <c r="DX29" s="179">
        <v>7.0000000000000007E-2</v>
      </c>
      <c r="DY29" s="179">
        <v>3.4319261067272677E-2</v>
      </c>
      <c r="DZ29" s="179">
        <v>0.13749514739073496</v>
      </c>
      <c r="EA29" s="178" t="str">
        <f t="shared" si="2"/>
        <v>No Sig diff</v>
      </c>
      <c r="EB29" s="182">
        <v>65</v>
      </c>
      <c r="EC29" s="182">
        <v>13</v>
      </c>
      <c r="ED29" s="143">
        <v>0.2</v>
      </c>
      <c r="EE29" s="143">
        <v>0.12077959241205476</v>
      </c>
      <c r="EF29" s="143">
        <v>0.31270132638165932</v>
      </c>
      <c r="EG29" s="178" t="str">
        <f t="shared" si="3"/>
        <v>No Sig diff</v>
      </c>
      <c r="EH29" s="182">
        <v>61</v>
      </c>
      <c r="EI29" s="182">
        <v>12</v>
      </c>
      <c r="EJ29" s="143">
        <v>0.19672131147540983</v>
      </c>
      <c r="EK29" s="143">
        <v>0.11627802231427166</v>
      </c>
      <c r="EL29" s="143">
        <v>0.31309940575507544</v>
      </c>
      <c r="EM29" s="178" t="str">
        <f t="shared" si="8"/>
        <v>No Sig diff</v>
      </c>
      <c r="EN29" s="183">
        <v>64</v>
      </c>
      <c r="EO29" s="183">
        <v>8</v>
      </c>
      <c r="EP29" s="197">
        <v>0.125</v>
      </c>
      <c r="EQ29" s="179">
        <v>6.4722426633304547E-2</v>
      </c>
      <c r="ER29" s="179">
        <v>0.22774561821129938</v>
      </c>
      <c r="ES29" s="178" t="str">
        <f t="shared" si="9"/>
        <v>No Sig diff</v>
      </c>
      <c r="ET29" s="206">
        <v>63</v>
      </c>
      <c r="EU29" s="206">
        <v>12</v>
      </c>
      <c r="EV29" s="179">
        <v>0.19047619047619047</v>
      </c>
      <c r="EW29" s="179">
        <v>0.11246191872292463</v>
      </c>
      <c r="EX29" s="179">
        <v>0.30406787149874537</v>
      </c>
      <c r="EY29" s="178" t="str">
        <f t="shared" si="10"/>
        <v>No Sig diff</v>
      </c>
      <c r="EZ29" s="207">
        <v>121</v>
      </c>
      <c r="FA29" s="186">
        <v>66</v>
      </c>
      <c r="FB29" s="187">
        <v>0.54545454545454541</v>
      </c>
      <c r="FC29" s="187">
        <v>0.45669996779439898</v>
      </c>
      <c r="FD29" s="187">
        <v>0.63141178693764843</v>
      </c>
      <c r="FE29" s="208">
        <v>121</v>
      </c>
      <c r="FF29" s="209">
        <v>35</v>
      </c>
      <c r="FG29" s="208">
        <v>24</v>
      </c>
      <c r="FH29" s="209">
        <v>25.541666666666664</v>
      </c>
      <c r="FI29" s="187">
        <f t="shared" si="11"/>
        <v>0.27023809523809533</v>
      </c>
      <c r="FJ29" s="186">
        <v>114</v>
      </c>
      <c r="FK29" s="186">
        <v>69</v>
      </c>
      <c r="FL29" s="187">
        <v>0.60526315789473684</v>
      </c>
      <c r="FM29" s="187">
        <v>0.51351296049528616</v>
      </c>
      <c r="FN29" s="187">
        <v>0.6901505059975892</v>
      </c>
      <c r="FO29" s="198">
        <v>114</v>
      </c>
      <c r="FP29" s="199">
        <v>34</v>
      </c>
      <c r="FQ29" s="198">
        <v>22</v>
      </c>
      <c r="FR29" s="199">
        <v>24.863636363636363</v>
      </c>
      <c r="FS29" s="210">
        <v>0.26871657754010697</v>
      </c>
      <c r="FT29" s="200">
        <v>2014</v>
      </c>
      <c r="FU29" s="200">
        <v>1726</v>
      </c>
      <c r="FV29" s="200">
        <v>288</v>
      </c>
      <c r="FW29" s="200">
        <v>243</v>
      </c>
      <c r="FX29" s="200">
        <v>45</v>
      </c>
      <c r="FY29" s="187">
        <f t="shared" si="4"/>
        <v>0.84375</v>
      </c>
      <c r="FZ29" s="187">
        <f t="shared" si="5"/>
        <v>0.15625</v>
      </c>
      <c r="GA29" s="197"/>
      <c r="GB29" s="197">
        <v>0.1111111111111111</v>
      </c>
      <c r="GC29" s="197">
        <v>4.4065689087418335E-2</v>
      </c>
      <c r="GD29" s="197">
        <v>0.25315129015036325</v>
      </c>
      <c r="GE29" s="197"/>
      <c r="GF29" s="197">
        <v>5.5555555555555552E-2</v>
      </c>
      <c r="GG29" s="197">
        <v>1.5369663767066871E-2</v>
      </c>
      <c r="GH29" s="197">
        <v>0.18144974107611211</v>
      </c>
      <c r="GI29" s="197"/>
      <c r="GJ29" s="197">
        <v>8.3333333333333329E-2</v>
      </c>
      <c r="GK29" s="197">
        <v>2.8748089271291792E-2</v>
      </c>
      <c r="GL29" s="197">
        <v>0.21827010276918851</v>
      </c>
      <c r="GM29" s="197"/>
      <c r="GN29" s="197">
        <v>0.14285714285714285</v>
      </c>
      <c r="GO29" s="197">
        <v>6.2601388048534976E-2</v>
      </c>
      <c r="GP29" s="197">
        <v>0.29375880308674268</v>
      </c>
      <c r="GQ29" s="186">
        <v>12</v>
      </c>
      <c r="GR29" s="186">
        <v>12</v>
      </c>
      <c r="GS29" s="178">
        <v>12</v>
      </c>
      <c r="GT29" s="178">
        <v>12</v>
      </c>
      <c r="GU29" s="178">
        <v>12</v>
      </c>
      <c r="GV29" s="178">
        <v>22</v>
      </c>
      <c r="GW29" s="178">
        <v>21</v>
      </c>
      <c r="GX29" s="178">
        <v>21</v>
      </c>
      <c r="GY29" s="178">
        <v>21</v>
      </c>
      <c r="GZ29" s="178">
        <v>21</v>
      </c>
      <c r="HA29" s="178">
        <v>20</v>
      </c>
      <c r="HB29" s="178">
        <v>20</v>
      </c>
      <c r="HC29" s="178">
        <v>21</v>
      </c>
      <c r="HD29" s="178">
        <v>21</v>
      </c>
      <c r="HE29" s="178">
        <v>20</v>
      </c>
      <c r="HF29" s="178">
        <v>17</v>
      </c>
      <c r="HG29" s="178">
        <v>20</v>
      </c>
      <c r="HH29" s="178">
        <v>17</v>
      </c>
      <c r="HI29" s="178">
        <v>17</v>
      </c>
      <c r="HJ29" s="178">
        <v>17</v>
      </c>
      <c r="HK29" s="178">
        <v>20</v>
      </c>
      <c r="HL29" s="178">
        <v>17</v>
      </c>
      <c r="HM29" s="178">
        <v>20</v>
      </c>
      <c r="HN29" s="186">
        <v>2</v>
      </c>
      <c r="HO29" s="187">
        <v>3.1645569620253164E-3</v>
      </c>
      <c r="HP29" s="217">
        <v>962</v>
      </c>
      <c r="HQ29" s="217">
        <v>907</v>
      </c>
      <c r="HR29" s="217">
        <v>55</v>
      </c>
      <c r="HS29" s="1704">
        <v>5.7172557172557176E-2</v>
      </c>
    </row>
    <row r="30" spans="1:227" ht="13.8" customHeight="1" x14ac:dyDescent="0.25">
      <c r="A30" s="183" t="s">
        <v>433</v>
      </c>
      <c r="B30" s="183"/>
      <c r="C30" s="183" t="s">
        <v>101</v>
      </c>
      <c r="D30" s="183" t="s">
        <v>680</v>
      </c>
      <c r="E30" s="183" t="s">
        <v>101</v>
      </c>
      <c r="F30" s="183" t="s">
        <v>101</v>
      </c>
      <c r="G30" s="183" t="s">
        <v>470</v>
      </c>
      <c r="H30" s="183" t="s">
        <v>143</v>
      </c>
      <c r="I30" s="183" t="s">
        <v>144</v>
      </c>
      <c r="J30" s="183" t="s">
        <v>703</v>
      </c>
      <c r="K30" s="183" t="s">
        <v>101</v>
      </c>
      <c r="L30" s="184">
        <v>15130</v>
      </c>
      <c r="M30" s="184">
        <v>15245</v>
      </c>
      <c r="N30" s="184">
        <v>15340</v>
      </c>
      <c r="O30" s="184">
        <v>15245</v>
      </c>
      <c r="P30" s="184">
        <v>15350</v>
      </c>
      <c r="Q30" s="184">
        <v>15440</v>
      </c>
      <c r="R30" s="184">
        <v>15490</v>
      </c>
      <c r="S30" s="184">
        <v>15465</v>
      </c>
      <c r="T30" s="184">
        <v>15390</v>
      </c>
      <c r="U30" s="184">
        <v>15370</v>
      </c>
      <c r="V30" s="184">
        <v>975</v>
      </c>
      <c r="W30" s="184">
        <v>950</v>
      </c>
      <c r="X30" s="184">
        <v>945</v>
      </c>
      <c r="Y30" s="184">
        <v>965</v>
      </c>
      <c r="Z30" s="184">
        <v>935</v>
      </c>
      <c r="AA30" s="184">
        <v>925</v>
      </c>
      <c r="AB30" s="184">
        <v>950</v>
      </c>
      <c r="AC30" s="184">
        <v>945</v>
      </c>
      <c r="AD30" s="184">
        <v>960</v>
      </c>
      <c r="AE30" s="184">
        <v>945</v>
      </c>
      <c r="AF30" s="187">
        <v>0.87763713080168781</v>
      </c>
      <c r="AG30" s="187">
        <v>2.8481012658227847E-2</v>
      </c>
      <c r="AH30" s="187">
        <v>5.8016877637130801E-2</v>
      </c>
      <c r="AI30" s="187">
        <v>2.9535864978902954E-2</v>
      </c>
      <c r="AJ30" s="187">
        <v>6.3291139240506328E-3</v>
      </c>
      <c r="AK30" s="187">
        <v>0</v>
      </c>
      <c r="AL30" s="187">
        <v>0.12236286919831224</v>
      </c>
      <c r="AM30" s="184">
        <v>1865</v>
      </c>
      <c r="AN30" s="187">
        <v>0.732583065380493</v>
      </c>
      <c r="AO30" s="187">
        <v>0.14094319399785638</v>
      </c>
      <c r="AP30" s="187">
        <v>0.12647374062165059</v>
      </c>
      <c r="AQ30" s="184">
        <v>201</v>
      </c>
      <c r="AR30" s="184">
        <v>179</v>
      </c>
      <c r="AS30" s="184">
        <v>176</v>
      </c>
      <c r="AT30" s="184">
        <v>195</v>
      </c>
      <c r="AU30" s="184">
        <v>159</v>
      </c>
      <c r="AV30" s="186">
        <v>10</v>
      </c>
      <c r="AW30" s="186">
        <v>7</v>
      </c>
      <c r="AX30" s="186">
        <v>1</v>
      </c>
      <c r="AY30" s="186">
        <v>5</v>
      </c>
      <c r="AZ30" s="186">
        <v>2</v>
      </c>
      <c r="BA30" s="186">
        <v>9</v>
      </c>
      <c r="BB30" s="187">
        <v>5.6603773584905662E-2</v>
      </c>
      <c r="BC30" s="187">
        <v>3.006197811963247E-2</v>
      </c>
      <c r="BD30" s="187">
        <v>0.10406515988853231</v>
      </c>
      <c r="BE30" s="193">
        <v>5</v>
      </c>
      <c r="BF30" s="184">
        <v>288</v>
      </c>
      <c r="BG30" s="184">
        <v>313</v>
      </c>
      <c r="BH30" s="184">
        <v>136</v>
      </c>
      <c r="BI30" s="184">
        <v>0.13651873938942266</v>
      </c>
      <c r="BJ30" s="184">
        <v>2026</v>
      </c>
      <c r="BK30" s="184">
        <v>3549</v>
      </c>
      <c r="BL30" s="186">
        <v>1808</v>
      </c>
      <c r="BM30" s="186">
        <v>1110</v>
      </c>
      <c r="BN30" s="186">
        <v>1</v>
      </c>
      <c r="BO30" s="186">
        <v>241</v>
      </c>
      <c r="BP30" s="186">
        <v>329</v>
      </c>
      <c r="BQ30" s="186">
        <v>127</v>
      </c>
      <c r="BR30" s="193">
        <v>75</v>
      </c>
      <c r="BS30" s="193">
        <v>60</v>
      </c>
      <c r="BT30" s="193">
        <v>65</v>
      </c>
      <c r="BU30" s="186">
        <v>323</v>
      </c>
      <c r="BV30" s="186">
        <v>88</v>
      </c>
      <c r="BW30" s="222">
        <f t="shared" si="6"/>
        <v>0.27244582043343651</v>
      </c>
      <c r="BX30" s="186">
        <v>31</v>
      </c>
      <c r="BY30" s="193">
        <v>10</v>
      </c>
      <c r="BZ30" s="1676">
        <v>206</v>
      </c>
      <c r="CA30" s="222">
        <v>3.2258064516129031E-2</v>
      </c>
      <c r="CB30" s="200">
        <v>90</v>
      </c>
      <c r="CC30" s="200">
        <v>100</v>
      </c>
      <c r="CD30" s="200">
        <v>110</v>
      </c>
      <c r="CE30" s="200">
        <v>115</v>
      </c>
      <c r="CF30" s="186">
        <v>265</v>
      </c>
      <c r="CG30" s="187">
        <v>8.4400000000000003E-2</v>
      </c>
      <c r="CH30" s="186">
        <v>270</v>
      </c>
      <c r="CI30" s="187">
        <v>7.3200000000000001E-2</v>
      </c>
      <c r="CJ30" s="186">
        <v>250</v>
      </c>
      <c r="CK30" s="187">
        <v>8.1699999999999995E-2</v>
      </c>
      <c r="CL30" s="186">
        <v>225</v>
      </c>
      <c r="CM30" s="187">
        <v>8.8000000000000009E-2</v>
      </c>
      <c r="CN30" s="186">
        <v>250</v>
      </c>
      <c r="CO30" s="187">
        <v>8.6200000000000013E-2</v>
      </c>
      <c r="CP30" s="186">
        <v>240</v>
      </c>
      <c r="CQ30" s="187">
        <v>8.067226890756303E-2</v>
      </c>
      <c r="CR30" s="184">
        <v>176</v>
      </c>
      <c r="CS30" s="184">
        <v>3</v>
      </c>
      <c r="CT30" s="184">
        <v>173</v>
      </c>
      <c r="CU30" s="187">
        <v>0.98462301587301593</v>
      </c>
      <c r="CV30" s="186">
        <v>78</v>
      </c>
      <c r="CW30" s="186">
        <v>107</v>
      </c>
      <c r="CX30" s="187">
        <v>0.45537665493547846</v>
      </c>
      <c r="CY30" s="187">
        <v>0.62435442553089615</v>
      </c>
      <c r="CZ30" s="187">
        <v>0.37858899286391479</v>
      </c>
      <c r="DA30" s="187">
        <v>0.52527978009448417</v>
      </c>
      <c r="DB30" s="187">
        <v>0.54428186792058009</v>
      </c>
      <c r="DC30" s="187">
        <v>0.68756403259151666</v>
      </c>
      <c r="DD30" s="182">
        <v>156</v>
      </c>
      <c r="DE30" s="182">
        <v>13</v>
      </c>
      <c r="DF30" s="143">
        <v>8.3333333333333329E-2</v>
      </c>
      <c r="DG30" s="143">
        <v>4.9345650854239163E-2</v>
      </c>
      <c r="DH30" s="143">
        <v>0.13734845867693996</v>
      </c>
      <c r="DI30" s="178" t="str">
        <f t="shared" si="0"/>
        <v>No Sig diff</v>
      </c>
      <c r="DJ30" s="182">
        <v>181</v>
      </c>
      <c r="DK30" s="182">
        <v>10</v>
      </c>
      <c r="DL30" s="143">
        <v>5.5248618784530384E-2</v>
      </c>
      <c r="DM30" s="143">
        <v>3.0283475638943135E-2</v>
      </c>
      <c r="DN30" s="143">
        <v>9.8699810755813064E-2</v>
      </c>
      <c r="DO30" s="178" t="str">
        <f t="shared" si="1"/>
        <v>No Sig diff</v>
      </c>
      <c r="DP30" s="183">
        <v>108</v>
      </c>
      <c r="DQ30" s="183">
        <v>12</v>
      </c>
      <c r="DR30" s="143">
        <v>0.1111111111111111</v>
      </c>
      <c r="DS30" s="143">
        <v>6.4712669289837363E-2</v>
      </c>
      <c r="DT30" s="143">
        <v>0.18422416606859585</v>
      </c>
      <c r="DU30" s="178" t="str">
        <f t="shared" si="7"/>
        <v>No Sig diff</v>
      </c>
      <c r="DV30" s="178">
        <v>153</v>
      </c>
      <c r="DW30" s="178">
        <v>15</v>
      </c>
      <c r="DX30" s="179">
        <v>9.8039215686274508E-2</v>
      </c>
      <c r="DY30" s="179">
        <v>6.0315942800075413E-2</v>
      </c>
      <c r="DZ30" s="179">
        <v>0.15545263698202605</v>
      </c>
      <c r="EA30" s="178" t="str">
        <f t="shared" si="2"/>
        <v>No Sig diff</v>
      </c>
      <c r="EB30" s="182">
        <v>171</v>
      </c>
      <c r="EC30" s="182">
        <v>23</v>
      </c>
      <c r="ED30" s="143">
        <v>0.13450292397660818</v>
      </c>
      <c r="EE30" s="143">
        <v>9.1326032311684457E-2</v>
      </c>
      <c r="EF30" s="143">
        <v>0.19374055977050725</v>
      </c>
      <c r="EG30" s="178" t="str">
        <f t="shared" si="3"/>
        <v>No Sig diff</v>
      </c>
      <c r="EH30" s="182">
        <v>177</v>
      </c>
      <c r="EI30" s="182">
        <v>23</v>
      </c>
      <c r="EJ30" s="143">
        <v>0.12994350282485875</v>
      </c>
      <c r="EK30" s="143">
        <v>8.8171749186438317E-2</v>
      </c>
      <c r="EL30" s="143">
        <v>0.18743683717269055</v>
      </c>
      <c r="EM30" s="178" t="str">
        <f t="shared" si="8"/>
        <v>Sig better than Eng.</v>
      </c>
      <c r="EN30" s="183">
        <v>183</v>
      </c>
      <c r="EO30" s="183">
        <v>21</v>
      </c>
      <c r="EP30" s="197">
        <v>0.11475409836065574</v>
      </c>
      <c r="EQ30" s="179">
        <v>7.6292257179258957E-2</v>
      </c>
      <c r="ER30" s="179">
        <v>0.16905724453217186</v>
      </c>
      <c r="ES30" s="178" t="str">
        <f t="shared" si="9"/>
        <v>Sig better than Eng.</v>
      </c>
      <c r="ET30" s="206">
        <v>157</v>
      </c>
      <c r="EU30" s="206">
        <v>16</v>
      </c>
      <c r="EV30" s="179">
        <v>0.10191082802547771</v>
      </c>
      <c r="EW30" s="179">
        <v>6.3707629183896414E-2</v>
      </c>
      <c r="EX30" s="179">
        <v>0.15912956144771889</v>
      </c>
      <c r="EY30" s="178" t="str">
        <f t="shared" si="10"/>
        <v>Sig better than Eng.</v>
      </c>
      <c r="EZ30" s="207">
        <v>180</v>
      </c>
      <c r="FA30" s="186">
        <v>111</v>
      </c>
      <c r="FB30" s="187">
        <v>0.6166666666666667</v>
      </c>
      <c r="FC30" s="187">
        <v>0.54390527473114403</v>
      </c>
      <c r="FD30" s="187">
        <v>0.68455244242047963</v>
      </c>
      <c r="FE30" s="208">
        <v>180</v>
      </c>
      <c r="FF30" s="209">
        <v>34</v>
      </c>
      <c r="FG30" s="208">
        <v>36</v>
      </c>
      <c r="FH30" s="209">
        <v>26.111111111111114</v>
      </c>
      <c r="FI30" s="187">
        <f t="shared" si="11"/>
        <v>0.23202614379084957</v>
      </c>
      <c r="FJ30" s="186">
        <v>216</v>
      </c>
      <c r="FK30" s="186">
        <v>130</v>
      </c>
      <c r="FL30" s="187">
        <v>0.60185185185185186</v>
      </c>
      <c r="FM30" s="187">
        <v>0.53533927843598739</v>
      </c>
      <c r="FN30" s="187">
        <v>0.66480495384863836</v>
      </c>
      <c r="FO30" s="198">
        <v>216</v>
      </c>
      <c r="FP30" s="199">
        <v>34</v>
      </c>
      <c r="FQ30" s="198">
        <v>43</v>
      </c>
      <c r="FR30" s="199">
        <v>24.302325581395348</v>
      </c>
      <c r="FS30" s="210">
        <v>0.28522571819425446</v>
      </c>
      <c r="FT30" s="200">
        <v>2458</v>
      </c>
      <c r="FU30" s="200">
        <v>2411</v>
      </c>
      <c r="FV30" s="200">
        <v>47</v>
      </c>
      <c r="FW30" s="200">
        <v>44</v>
      </c>
      <c r="FX30" s="200">
        <v>3</v>
      </c>
      <c r="FY30" s="187">
        <f t="shared" si="4"/>
        <v>0.93617021276595747</v>
      </c>
      <c r="FZ30" s="187">
        <f t="shared" si="5"/>
        <v>6.3829787234042548E-2</v>
      </c>
      <c r="GA30" s="197">
        <v>0.96952380952380945</v>
      </c>
      <c r="GB30" s="197">
        <v>3.047619047619048E-2</v>
      </c>
      <c r="GC30" s="197">
        <v>1.3974386294255415E-2</v>
      </c>
      <c r="GD30" s="197">
        <v>8.8247958700979443E-2</v>
      </c>
      <c r="GE30" s="197">
        <v>0.96285714285714286</v>
      </c>
      <c r="GF30" s="197">
        <v>3.7142857142857144E-2</v>
      </c>
      <c r="GG30" s="197">
        <v>1.9216974525702958E-2</v>
      </c>
      <c r="GH30" s="197">
        <v>0.10027032537346971</v>
      </c>
      <c r="GI30" s="197">
        <v>0.94946428571428565</v>
      </c>
      <c r="GJ30" s="197">
        <v>5.0535714285714281E-2</v>
      </c>
      <c r="GK30" s="197">
        <v>3.0601532803567904E-2</v>
      </c>
      <c r="GL30" s="197">
        <v>0.12341567690348033</v>
      </c>
      <c r="GM30" s="197">
        <v>0.8962286324786326</v>
      </c>
      <c r="GN30" s="197">
        <v>0.10377136752136751</v>
      </c>
      <c r="GO30" s="197">
        <v>6.3513981388531537E-2</v>
      </c>
      <c r="GP30" s="197">
        <v>0.18105039578114984</v>
      </c>
      <c r="GQ30" s="186">
        <v>45</v>
      </c>
      <c r="GR30" s="186">
        <v>44</v>
      </c>
      <c r="GS30" s="178">
        <v>43</v>
      </c>
      <c r="GT30" s="178">
        <v>43</v>
      </c>
      <c r="GU30" s="178">
        <v>44</v>
      </c>
      <c r="GV30" s="178">
        <v>36</v>
      </c>
      <c r="GW30" s="178">
        <v>33</v>
      </c>
      <c r="GX30" s="178">
        <v>32</v>
      </c>
      <c r="GY30" s="178">
        <v>35</v>
      </c>
      <c r="GZ30" s="178">
        <v>32</v>
      </c>
      <c r="HA30" s="178">
        <v>33</v>
      </c>
      <c r="HB30" s="178">
        <v>36</v>
      </c>
      <c r="HC30" s="178">
        <v>34</v>
      </c>
      <c r="HD30" s="178">
        <v>34</v>
      </c>
      <c r="HE30" s="178">
        <v>30</v>
      </c>
      <c r="HF30" s="178">
        <v>29</v>
      </c>
      <c r="HG30" s="178">
        <v>29</v>
      </c>
      <c r="HH30" s="178">
        <v>30</v>
      </c>
      <c r="HI30" s="178">
        <v>32</v>
      </c>
      <c r="HJ30" s="178">
        <v>30</v>
      </c>
      <c r="HK30" s="178">
        <v>33</v>
      </c>
      <c r="HL30" s="178">
        <v>31</v>
      </c>
      <c r="HM30" s="178">
        <v>31</v>
      </c>
      <c r="HN30" s="186">
        <v>19</v>
      </c>
      <c r="HO30" s="187">
        <v>2.0169851380042462E-2</v>
      </c>
      <c r="HP30" s="217">
        <v>1483</v>
      </c>
      <c r="HQ30" s="217">
        <v>1384</v>
      </c>
      <c r="HR30" s="217">
        <v>99</v>
      </c>
      <c r="HS30" s="1704">
        <v>6.6756574511126099E-2</v>
      </c>
    </row>
    <row r="31" spans="1:227" ht="13.8" customHeight="1" x14ac:dyDescent="0.25">
      <c r="A31" s="183" t="s">
        <v>434</v>
      </c>
      <c r="B31" s="183"/>
      <c r="C31" s="183" t="s">
        <v>35</v>
      </c>
      <c r="D31" s="183" t="s">
        <v>678</v>
      </c>
      <c r="E31" s="183" t="s">
        <v>35</v>
      </c>
      <c r="F31" s="183" t="s">
        <v>489</v>
      </c>
      <c r="G31" s="183" t="s">
        <v>459</v>
      </c>
      <c r="H31" s="183" t="s">
        <v>35</v>
      </c>
      <c r="I31" s="183" t="s">
        <v>130</v>
      </c>
      <c r="J31" s="183" t="s">
        <v>704</v>
      </c>
      <c r="K31" s="183" t="s">
        <v>35</v>
      </c>
      <c r="L31" s="184">
        <v>21745</v>
      </c>
      <c r="M31" s="184">
        <v>21680</v>
      </c>
      <c r="N31" s="184">
        <v>21900</v>
      </c>
      <c r="O31" s="184">
        <v>21990</v>
      </c>
      <c r="P31" s="184">
        <v>22135</v>
      </c>
      <c r="Q31" s="184">
        <v>22310</v>
      </c>
      <c r="R31" s="184">
        <v>22585</v>
      </c>
      <c r="S31" s="184">
        <v>22720</v>
      </c>
      <c r="T31" s="184">
        <v>22920</v>
      </c>
      <c r="U31" s="184">
        <v>23175</v>
      </c>
      <c r="V31" s="184">
        <v>1110</v>
      </c>
      <c r="W31" s="184">
        <v>1095</v>
      </c>
      <c r="X31" s="184">
        <v>1100</v>
      </c>
      <c r="Y31" s="184">
        <v>1115</v>
      </c>
      <c r="Z31" s="184">
        <v>1085</v>
      </c>
      <c r="AA31" s="184">
        <v>1110</v>
      </c>
      <c r="AB31" s="184">
        <v>1135</v>
      </c>
      <c r="AC31" s="184">
        <v>1105</v>
      </c>
      <c r="AD31" s="184">
        <v>1145</v>
      </c>
      <c r="AE31" s="184">
        <v>1145</v>
      </c>
      <c r="AF31" s="187">
        <v>0.92321589882565491</v>
      </c>
      <c r="AG31" s="187">
        <v>3.6133694670280034E-2</v>
      </c>
      <c r="AH31" s="187">
        <v>2.1680216802168022E-2</v>
      </c>
      <c r="AI31" s="187">
        <v>9.9367660343270096E-3</v>
      </c>
      <c r="AJ31" s="187">
        <v>1.8066847335140017E-3</v>
      </c>
      <c r="AK31" s="187">
        <v>7.2267389340560069E-3</v>
      </c>
      <c r="AL31" s="187">
        <v>7.6784101174345074E-2</v>
      </c>
      <c r="AM31" s="184">
        <v>2290</v>
      </c>
      <c r="AN31" s="187">
        <v>0.56968108344255131</v>
      </c>
      <c r="AO31" s="187">
        <v>0.23503713411970292</v>
      </c>
      <c r="AP31" s="187">
        <v>0.19528178243774574</v>
      </c>
      <c r="AQ31" s="184">
        <v>210</v>
      </c>
      <c r="AR31" s="184">
        <v>200</v>
      </c>
      <c r="AS31" s="184">
        <v>234</v>
      </c>
      <c r="AT31" s="184">
        <v>217</v>
      </c>
      <c r="AU31" s="184">
        <v>181</v>
      </c>
      <c r="AV31" s="186">
        <v>12</v>
      </c>
      <c r="AW31" s="186">
        <v>13</v>
      </c>
      <c r="AX31" s="186">
        <v>17</v>
      </c>
      <c r="AY31" s="186">
        <v>11</v>
      </c>
      <c r="AZ31" s="186">
        <v>12</v>
      </c>
      <c r="BA31" s="186">
        <v>5</v>
      </c>
      <c r="BB31" s="187">
        <v>2.7624309392265192E-2</v>
      </c>
      <c r="BC31" s="187">
        <v>1.1855936781179247E-2</v>
      </c>
      <c r="BD31" s="187">
        <v>6.302693261946242E-2</v>
      </c>
      <c r="BE31" s="193">
        <v>26</v>
      </c>
      <c r="BF31" s="184">
        <v>312</v>
      </c>
      <c r="BG31" s="184">
        <v>362</v>
      </c>
      <c r="BH31" s="184">
        <v>186</v>
      </c>
      <c r="BI31" s="184">
        <v>0.16446757547648186</v>
      </c>
      <c r="BJ31" s="184">
        <v>2468</v>
      </c>
      <c r="BK31" s="184">
        <v>4506</v>
      </c>
      <c r="BL31" s="186">
        <v>2479</v>
      </c>
      <c r="BM31" s="186">
        <v>1534</v>
      </c>
      <c r="BN31" s="186">
        <v>0</v>
      </c>
      <c r="BO31" s="186">
        <v>288</v>
      </c>
      <c r="BP31" s="186">
        <v>484</v>
      </c>
      <c r="BQ31" s="186">
        <v>173</v>
      </c>
      <c r="BR31" s="193">
        <v>115</v>
      </c>
      <c r="BS31" s="193">
        <v>100</v>
      </c>
      <c r="BT31" s="193">
        <v>100</v>
      </c>
      <c r="BU31" s="186">
        <v>484</v>
      </c>
      <c r="BV31" s="186">
        <v>157</v>
      </c>
      <c r="BW31" s="222">
        <f t="shared" si="6"/>
        <v>0.32438016528925617</v>
      </c>
      <c r="BX31" s="186">
        <v>39</v>
      </c>
      <c r="BY31" s="193">
        <v>6</v>
      </c>
      <c r="BZ31" s="1676">
        <v>268</v>
      </c>
      <c r="CA31" s="222">
        <v>2.7515400410677619E-2</v>
      </c>
      <c r="CB31" s="200">
        <v>165</v>
      </c>
      <c r="CC31" s="200">
        <v>180</v>
      </c>
      <c r="CD31" s="200">
        <v>180</v>
      </c>
      <c r="CE31" s="200">
        <v>155</v>
      </c>
      <c r="CF31" s="186">
        <v>455</v>
      </c>
      <c r="CG31" s="187">
        <v>0.11899999999999999</v>
      </c>
      <c r="CH31" s="186">
        <v>480</v>
      </c>
      <c r="CI31" s="187">
        <v>0.12423076923076923</v>
      </c>
      <c r="CJ31" s="186">
        <v>520</v>
      </c>
      <c r="CK31" s="187">
        <v>0.12946153846153849</v>
      </c>
      <c r="CL31" s="186">
        <v>500</v>
      </c>
      <c r="CM31" s="187">
        <v>0.11853846153846151</v>
      </c>
      <c r="CN31" s="186">
        <v>490</v>
      </c>
      <c r="CO31" s="187">
        <v>0.11215384615384615</v>
      </c>
      <c r="CP31" s="186">
        <v>430</v>
      </c>
      <c r="CQ31" s="187">
        <v>0.11154345006485085</v>
      </c>
      <c r="CR31" s="184">
        <v>204</v>
      </c>
      <c r="CS31" s="184">
        <v>20</v>
      </c>
      <c r="CT31" s="184">
        <v>184</v>
      </c>
      <c r="CU31" s="187">
        <v>0.90197211785948439</v>
      </c>
      <c r="CV31" s="186">
        <v>80</v>
      </c>
      <c r="CW31" s="186">
        <v>106</v>
      </c>
      <c r="CX31" s="187">
        <v>0.45657078592598954</v>
      </c>
      <c r="CY31" s="187">
        <v>0.59504290957910866</v>
      </c>
      <c r="CZ31" s="187">
        <v>0.3652107328102534</v>
      </c>
      <c r="DA31" s="187">
        <v>0.50702204203834245</v>
      </c>
      <c r="DB31" s="187">
        <v>0.50384253148518054</v>
      </c>
      <c r="DC31" s="187">
        <v>0.64521923119145763</v>
      </c>
      <c r="DD31" s="182">
        <v>160</v>
      </c>
      <c r="DE31" s="182">
        <v>19</v>
      </c>
      <c r="DF31" s="143">
        <v>0.11874999999999999</v>
      </c>
      <c r="DG31" s="143">
        <v>7.7354868005923477E-2</v>
      </c>
      <c r="DH31" s="143">
        <v>0.17802285581234925</v>
      </c>
      <c r="DI31" s="178" t="str">
        <f t="shared" si="0"/>
        <v>No Sig diff</v>
      </c>
      <c r="DJ31" s="182">
        <v>205</v>
      </c>
      <c r="DK31" s="182">
        <v>13</v>
      </c>
      <c r="DL31" s="143">
        <v>6.3414634146341464E-2</v>
      </c>
      <c r="DM31" s="143">
        <v>3.7430869080185898E-2</v>
      </c>
      <c r="DN31" s="143">
        <v>0.1054596230146583</v>
      </c>
      <c r="DO31" s="178" t="str">
        <f t="shared" si="1"/>
        <v>No Sig diff</v>
      </c>
      <c r="DP31" s="183">
        <v>206</v>
      </c>
      <c r="DQ31" s="183">
        <v>15</v>
      </c>
      <c r="DR31" s="143">
        <v>7.281553398058252E-2</v>
      </c>
      <c r="DS31" s="143">
        <v>4.4620647992736441E-2</v>
      </c>
      <c r="DT31" s="143">
        <v>0.11665090916704798</v>
      </c>
      <c r="DU31" s="178" t="str">
        <f t="shared" si="7"/>
        <v>No Sig diff</v>
      </c>
      <c r="DV31" s="178">
        <v>187</v>
      </c>
      <c r="DW31" s="178">
        <v>11</v>
      </c>
      <c r="DX31" s="179">
        <v>5.8823529411764705E-2</v>
      </c>
      <c r="DY31" s="179">
        <v>3.3160194848180356E-2</v>
      </c>
      <c r="DZ31" s="179">
        <v>0.1022477976309254</v>
      </c>
      <c r="EA31" s="178" t="str">
        <f t="shared" si="2"/>
        <v>No Sig diff</v>
      </c>
      <c r="EB31" s="182">
        <v>179</v>
      </c>
      <c r="EC31" s="182">
        <v>28</v>
      </c>
      <c r="ED31" s="143">
        <v>0.15642458100558659</v>
      </c>
      <c r="EE31" s="143">
        <v>0.11049727235884879</v>
      </c>
      <c r="EF31" s="143">
        <v>0.21678877757022358</v>
      </c>
      <c r="EG31" s="178" t="str">
        <f t="shared" si="3"/>
        <v>No Sig diff</v>
      </c>
      <c r="EH31" s="182">
        <v>160</v>
      </c>
      <c r="EI31" s="182">
        <v>20</v>
      </c>
      <c r="EJ31" s="143">
        <v>0.125</v>
      </c>
      <c r="EK31" s="143">
        <v>8.2394535844441938E-2</v>
      </c>
      <c r="EL31" s="143">
        <v>0.18519011053418696</v>
      </c>
      <c r="EM31" s="178" t="str">
        <f t="shared" si="8"/>
        <v>Sig better than Eng.</v>
      </c>
      <c r="EN31" s="183">
        <v>175</v>
      </c>
      <c r="EO31" s="183">
        <v>28</v>
      </c>
      <c r="EP31" s="197">
        <v>0.16</v>
      </c>
      <c r="EQ31" s="179">
        <v>0.11307943399181344</v>
      </c>
      <c r="ER31" s="179">
        <v>0.22152675416666595</v>
      </c>
      <c r="ES31" s="178" t="str">
        <f t="shared" si="9"/>
        <v>No Sig diff</v>
      </c>
      <c r="ET31" s="206">
        <v>180</v>
      </c>
      <c r="EU31" s="206">
        <v>22</v>
      </c>
      <c r="EV31" s="179">
        <v>0.12222222222222222</v>
      </c>
      <c r="EW31" s="179">
        <v>8.2115405015210363E-2</v>
      </c>
      <c r="EX31" s="179">
        <v>0.17811674897000837</v>
      </c>
      <c r="EY31" s="178" t="str">
        <f t="shared" si="10"/>
        <v>Sig better than Eng.</v>
      </c>
      <c r="EZ31" s="207">
        <v>230</v>
      </c>
      <c r="FA31" s="186">
        <v>120</v>
      </c>
      <c r="FB31" s="187">
        <v>0.52173913043478259</v>
      </c>
      <c r="FC31" s="187">
        <v>0.45735647256549594</v>
      </c>
      <c r="FD31" s="187">
        <v>0.5854075439199975</v>
      </c>
      <c r="FE31" s="208">
        <v>230</v>
      </c>
      <c r="FF31" s="209">
        <v>34</v>
      </c>
      <c r="FG31" s="208">
        <v>46</v>
      </c>
      <c r="FH31" s="209">
        <v>19.760869565217394</v>
      </c>
      <c r="FI31" s="187">
        <f t="shared" si="11"/>
        <v>0.41879795396419428</v>
      </c>
      <c r="FJ31" s="186">
        <v>234</v>
      </c>
      <c r="FK31" s="186">
        <v>126</v>
      </c>
      <c r="FL31" s="187">
        <v>0.53846153846153844</v>
      </c>
      <c r="FM31" s="187">
        <v>0.4744816006810863</v>
      </c>
      <c r="FN31" s="187">
        <v>0.60119906529384781</v>
      </c>
      <c r="FO31" s="198">
        <v>234</v>
      </c>
      <c r="FP31" s="199">
        <v>34</v>
      </c>
      <c r="FQ31" s="198">
        <v>46</v>
      </c>
      <c r="FR31" s="199">
        <v>22.347826086956527</v>
      </c>
      <c r="FS31" s="210">
        <v>0.34271099744245509</v>
      </c>
      <c r="FT31" s="200">
        <v>3372</v>
      </c>
      <c r="FU31" s="200">
        <v>3112</v>
      </c>
      <c r="FV31" s="200">
        <v>260</v>
      </c>
      <c r="FW31" s="200">
        <v>221</v>
      </c>
      <c r="FX31" s="200">
        <v>39</v>
      </c>
      <c r="FY31" s="187">
        <f t="shared" si="4"/>
        <v>0.85</v>
      </c>
      <c r="FZ31" s="187">
        <f t="shared" si="5"/>
        <v>0.15</v>
      </c>
      <c r="GA31" s="197"/>
      <c r="GB31" s="197">
        <v>0.17647058823529413</v>
      </c>
      <c r="GC31" s="197">
        <v>9.5722957258098984E-2</v>
      </c>
      <c r="GD31" s="197">
        <v>0.30254405172778037</v>
      </c>
      <c r="GE31" s="197"/>
      <c r="GF31" s="197">
        <v>0.17647058823529413</v>
      </c>
      <c r="GG31" s="197">
        <v>9.5722957258098984E-2</v>
      </c>
      <c r="GH31" s="197">
        <v>0.30254405172778037</v>
      </c>
      <c r="GI31" s="197"/>
      <c r="GJ31" s="197">
        <v>0.18</v>
      </c>
      <c r="GK31" s="197">
        <v>9.7700827324537901E-2</v>
      </c>
      <c r="GL31" s="197">
        <v>0.30796319454702614</v>
      </c>
      <c r="GM31" s="197"/>
      <c r="GN31" s="197">
        <v>0.28000000000000003</v>
      </c>
      <c r="GO31" s="197">
        <v>0.17474014357680359</v>
      </c>
      <c r="GP31" s="197">
        <v>0.41665387145989663</v>
      </c>
      <c r="GQ31" s="186">
        <v>54</v>
      </c>
      <c r="GR31" s="186">
        <v>50</v>
      </c>
      <c r="GS31" s="178">
        <v>50</v>
      </c>
      <c r="GT31" s="178">
        <v>54</v>
      </c>
      <c r="GU31" s="178">
        <v>50</v>
      </c>
      <c r="GV31" s="178">
        <v>45</v>
      </c>
      <c r="GW31" s="178">
        <v>44</v>
      </c>
      <c r="GX31" s="178">
        <v>45</v>
      </c>
      <c r="GY31" s="178">
        <v>43</v>
      </c>
      <c r="GZ31" s="178">
        <v>45</v>
      </c>
      <c r="HA31" s="178">
        <v>45</v>
      </c>
      <c r="HB31" s="178">
        <v>43</v>
      </c>
      <c r="HC31" s="178">
        <v>45</v>
      </c>
      <c r="HD31" s="178">
        <v>69</v>
      </c>
      <c r="HE31" s="178">
        <v>67</v>
      </c>
      <c r="HF31" s="178">
        <v>65</v>
      </c>
      <c r="HG31" s="178">
        <v>66</v>
      </c>
      <c r="HH31" s="178">
        <v>66</v>
      </c>
      <c r="HI31" s="178">
        <v>67</v>
      </c>
      <c r="HJ31" s="178">
        <v>63</v>
      </c>
      <c r="HK31" s="178">
        <v>66</v>
      </c>
      <c r="HL31" s="178">
        <v>64</v>
      </c>
      <c r="HM31" s="178">
        <v>67</v>
      </c>
      <c r="HN31" s="186">
        <v>21</v>
      </c>
      <c r="HO31" s="187">
        <v>1.8987341772151899E-2</v>
      </c>
      <c r="HP31" s="217">
        <v>1723</v>
      </c>
      <c r="HQ31" s="217">
        <v>1581</v>
      </c>
      <c r="HR31" s="217">
        <v>142</v>
      </c>
      <c r="HS31" s="1704">
        <v>8.2414393499709804E-2</v>
      </c>
    </row>
    <row r="32" spans="1:227" ht="13.8" customHeight="1" x14ac:dyDescent="0.25">
      <c r="A32" s="183" t="s">
        <v>622</v>
      </c>
      <c r="B32" s="183"/>
      <c r="C32" s="183" t="s">
        <v>101</v>
      </c>
      <c r="D32" s="183" t="s">
        <v>681</v>
      </c>
      <c r="E32" s="183" t="s">
        <v>101</v>
      </c>
      <c r="F32" s="183" t="s">
        <v>586</v>
      </c>
      <c r="G32" s="183" t="s">
        <v>474</v>
      </c>
      <c r="H32" s="183" t="s">
        <v>589</v>
      </c>
      <c r="I32" s="183" t="s">
        <v>588</v>
      </c>
      <c r="J32" s="183" t="s">
        <v>703</v>
      </c>
      <c r="K32" s="183" t="s">
        <v>126</v>
      </c>
      <c r="L32" s="184">
        <v>27235</v>
      </c>
      <c r="M32" s="184">
        <v>27490</v>
      </c>
      <c r="N32" s="184">
        <v>27485</v>
      </c>
      <c r="O32" s="184">
        <v>27665</v>
      </c>
      <c r="P32" s="184">
        <v>27665</v>
      </c>
      <c r="Q32" s="184">
        <v>27750</v>
      </c>
      <c r="R32" s="184">
        <v>27890</v>
      </c>
      <c r="S32" s="184">
        <v>27850</v>
      </c>
      <c r="T32" s="184">
        <v>27865</v>
      </c>
      <c r="U32" s="184">
        <v>27915</v>
      </c>
      <c r="V32" s="184">
        <v>1275</v>
      </c>
      <c r="W32" s="184">
        <v>1285</v>
      </c>
      <c r="X32" s="184">
        <v>1260</v>
      </c>
      <c r="Y32" s="184">
        <v>1305</v>
      </c>
      <c r="Z32" s="184">
        <v>1265</v>
      </c>
      <c r="AA32" s="184">
        <v>1265</v>
      </c>
      <c r="AB32" s="184">
        <v>1275</v>
      </c>
      <c r="AC32" s="184">
        <v>1280</v>
      </c>
      <c r="AD32" s="184">
        <v>1325</v>
      </c>
      <c r="AE32" s="184">
        <v>1305</v>
      </c>
      <c r="AF32" s="187">
        <v>0.93570875290472499</v>
      </c>
      <c r="AG32" s="187">
        <v>2.2463206816421378E-2</v>
      </c>
      <c r="AH32" s="187">
        <v>2.7110766847405113E-2</v>
      </c>
      <c r="AI32" s="187">
        <v>1.0069713400464756E-2</v>
      </c>
      <c r="AJ32" s="187">
        <v>1.5491866769945779E-3</v>
      </c>
      <c r="AK32" s="187">
        <v>3.0983733539891559E-3</v>
      </c>
      <c r="AL32" s="187">
        <v>6.4291247095274978E-2</v>
      </c>
      <c r="AM32" s="184">
        <v>2715</v>
      </c>
      <c r="AN32" s="187">
        <v>0.70202578268876614</v>
      </c>
      <c r="AO32" s="187">
        <v>0.11344383057090239</v>
      </c>
      <c r="AP32" s="187">
        <v>0.18453038674033148</v>
      </c>
      <c r="AQ32" s="184">
        <v>246</v>
      </c>
      <c r="AR32" s="184">
        <v>238</v>
      </c>
      <c r="AS32" s="184">
        <v>240</v>
      </c>
      <c r="AT32" s="184">
        <v>238</v>
      </c>
      <c r="AU32" s="184">
        <v>228</v>
      </c>
      <c r="AV32" s="186">
        <v>12</v>
      </c>
      <c r="AW32" s="186">
        <v>10</v>
      </c>
      <c r="AX32" s="186">
        <v>8</v>
      </c>
      <c r="AY32" s="186">
        <v>16</v>
      </c>
      <c r="AZ32" s="186">
        <v>9</v>
      </c>
      <c r="BA32" s="186">
        <v>14</v>
      </c>
      <c r="BB32" s="187">
        <v>6.1403508771929821E-2</v>
      </c>
      <c r="BC32" s="187">
        <v>3.6925597628576258E-2</v>
      </c>
      <c r="BD32" s="187">
        <v>0.10041592438677761</v>
      </c>
      <c r="BE32" s="193">
        <v>23</v>
      </c>
      <c r="BF32" s="184">
        <v>355</v>
      </c>
      <c r="BG32" s="184">
        <v>458</v>
      </c>
      <c r="BH32" s="184">
        <v>190</v>
      </c>
      <c r="BI32" s="184">
        <v>0.13331078684521894</v>
      </c>
      <c r="BJ32" s="184">
        <v>3084</v>
      </c>
      <c r="BK32" s="184">
        <v>5413</v>
      </c>
      <c r="BL32" s="186">
        <v>3469</v>
      </c>
      <c r="BM32" s="186">
        <v>2348</v>
      </c>
      <c r="BN32" s="186">
        <v>1</v>
      </c>
      <c r="BO32" s="186">
        <v>415</v>
      </c>
      <c r="BP32" s="186">
        <v>523</v>
      </c>
      <c r="BQ32" s="186">
        <v>182</v>
      </c>
      <c r="BR32" s="193">
        <v>110</v>
      </c>
      <c r="BS32" s="193">
        <v>105</v>
      </c>
      <c r="BT32" s="193">
        <v>85</v>
      </c>
      <c r="BU32" s="186">
        <v>497</v>
      </c>
      <c r="BV32" s="186">
        <v>134</v>
      </c>
      <c r="BW32" s="222">
        <f t="shared" si="6"/>
        <v>0.26961770623742454</v>
      </c>
      <c r="BX32" s="186">
        <v>57</v>
      </c>
      <c r="BY32" s="193">
        <v>8</v>
      </c>
      <c r="BZ32" s="1676">
        <v>280</v>
      </c>
      <c r="CA32" s="222">
        <v>2.3984923762206612E-2</v>
      </c>
      <c r="CB32" s="200">
        <v>160</v>
      </c>
      <c r="CC32" s="200">
        <v>160</v>
      </c>
      <c r="CD32" s="200">
        <v>135</v>
      </c>
      <c r="CE32" s="200">
        <v>120</v>
      </c>
      <c r="CF32" s="186">
        <v>405</v>
      </c>
      <c r="CG32" s="187">
        <v>8.0611111111111119E-2</v>
      </c>
      <c r="CH32" s="186">
        <v>425</v>
      </c>
      <c r="CI32" s="187">
        <v>7.5333333333333322E-2</v>
      </c>
      <c r="CJ32" s="186">
        <v>415</v>
      </c>
      <c r="CK32" s="187">
        <v>8.6388888888888904E-2</v>
      </c>
      <c r="CL32" s="186">
        <v>380</v>
      </c>
      <c r="CM32" s="187">
        <v>8.6000000000000021E-2</v>
      </c>
      <c r="CN32" s="186">
        <v>395</v>
      </c>
      <c r="CO32" s="187">
        <v>8.3666666666666653E-2</v>
      </c>
      <c r="CP32" s="186">
        <v>330</v>
      </c>
      <c r="CQ32" s="187">
        <v>7.3660714285714288E-2</v>
      </c>
      <c r="CR32" s="184">
        <v>242</v>
      </c>
      <c r="CS32" s="184">
        <v>2</v>
      </c>
      <c r="CT32" s="184">
        <v>240</v>
      </c>
      <c r="CU32" s="187">
        <v>0.99047619047619051</v>
      </c>
      <c r="CV32" s="186">
        <v>111</v>
      </c>
      <c r="CW32" s="186">
        <v>149</v>
      </c>
      <c r="CX32" s="187">
        <v>0.46062186270519612</v>
      </c>
      <c r="CY32" s="187">
        <v>0.62584221334221335</v>
      </c>
      <c r="CZ32" s="187">
        <v>0.40050631657407987</v>
      </c>
      <c r="DA32" s="187">
        <v>0.52567527016091531</v>
      </c>
      <c r="DB32" s="187">
        <v>0.5580016762847223</v>
      </c>
      <c r="DC32" s="187">
        <v>0.67985765534695974</v>
      </c>
      <c r="DD32" s="182">
        <v>231</v>
      </c>
      <c r="DE32" s="182">
        <v>14</v>
      </c>
      <c r="DF32" s="143">
        <v>6.0999999999999999E-2</v>
      </c>
      <c r="DG32" s="143">
        <v>3.5999999999999997E-2</v>
      </c>
      <c r="DH32" s="143">
        <v>9.9000000000000005E-2</v>
      </c>
      <c r="DI32" s="178" t="str">
        <f t="shared" si="0"/>
        <v>No Sig diff</v>
      </c>
      <c r="DJ32" s="182">
        <v>230</v>
      </c>
      <c r="DK32" s="182">
        <v>15</v>
      </c>
      <c r="DL32" s="143">
        <v>6.5000000000000002E-2</v>
      </c>
      <c r="DM32" s="143">
        <v>0.04</v>
      </c>
      <c r="DN32" s="143">
        <v>0.105</v>
      </c>
      <c r="DO32" s="178" t="str">
        <f t="shared" si="1"/>
        <v>No Sig diff</v>
      </c>
      <c r="DP32" s="183">
        <v>176</v>
      </c>
      <c r="DQ32" s="183">
        <v>13</v>
      </c>
      <c r="DR32" s="143">
        <v>7.3863636363636367E-2</v>
      </c>
      <c r="DS32" s="143">
        <v>4.3671472994869648E-2</v>
      </c>
      <c r="DT32" s="143">
        <v>0.12226055967645509</v>
      </c>
      <c r="DU32" s="178" t="str">
        <f t="shared" si="7"/>
        <v>No Sig diff</v>
      </c>
      <c r="DV32" s="178">
        <v>236</v>
      </c>
      <c r="DW32" s="178">
        <v>18</v>
      </c>
      <c r="DX32" s="179">
        <v>7.6271186440677971E-2</v>
      </c>
      <c r="DY32" s="179">
        <v>4.8786992568433107E-2</v>
      </c>
      <c r="DZ32" s="179">
        <v>0.11732882000457022</v>
      </c>
      <c r="EA32" s="178" t="str">
        <f t="shared" si="2"/>
        <v>No Sig diff</v>
      </c>
      <c r="EB32" s="182">
        <v>265</v>
      </c>
      <c r="EC32" s="182">
        <v>31</v>
      </c>
      <c r="ED32" s="143">
        <v>0.11700000000000001</v>
      </c>
      <c r="EE32" s="143">
        <v>8.4000000000000005E-2</v>
      </c>
      <c r="EF32" s="143">
        <v>0.161</v>
      </c>
      <c r="EG32" s="178" t="str">
        <f t="shared" si="3"/>
        <v>Sig better than Eng.</v>
      </c>
      <c r="EH32" s="182">
        <v>230</v>
      </c>
      <c r="EI32" s="182">
        <v>31</v>
      </c>
      <c r="EJ32" s="143">
        <v>0.13500000000000001</v>
      </c>
      <c r="EK32" s="143">
        <v>9.7000000000000003E-2</v>
      </c>
      <c r="EL32" s="143">
        <v>0.185</v>
      </c>
      <c r="EM32" s="178" t="str">
        <f t="shared" si="8"/>
        <v>Sig better than Eng.</v>
      </c>
      <c r="EN32" s="183">
        <v>219</v>
      </c>
      <c r="EO32" s="183">
        <v>30</v>
      </c>
      <c r="EP32" s="197">
        <v>0.13698630136986301</v>
      </c>
      <c r="EQ32" s="179">
        <v>9.7668720477282839E-2</v>
      </c>
      <c r="ER32" s="179">
        <v>0.18881952618270312</v>
      </c>
      <c r="ES32" s="178" t="str">
        <f t="shared" si="9"/>
        <v>Sig better than Eng.</v>
      </c>
      <c r="ET32" s="206">
        <v>201</v>
      </c>
      <c r="EU32" s="206">
        <v>23</v>
      </c>
      <c r="EV32" s="179">
        <v>0.11442786069651742</v>
      </c>
      <c r="EW32" s="179">
        <v>7.7469981483862999E-2</v>
      </c>
      <c r="EX32" s="179">
        <v>0.16584726058050997</v>
      </c>
      <c r="EY32" s="178" t="str">
        <f t="shared" si="10"/>
        <v>Sig better than Eng.</v>
      </c>
      <c r="EZ32" s="207">
        <v>270</v>
      </c>
      <c r="FA32" s="186">
        <v>155</v>
      </c>
      <c r="FB32" s="187">
        <v>0.57407407407407407</v>
      </c>
      <c r="FC32" s="187">
        <v>0.51445921214610213</v>
      </c>
      <c r="FD32" s="187">
        <v>0.63161070791735763</v>
      </c>
      <c r="FE32" s="208">
        <v>270</v>
      </c>
      <c r="FF32" s="209">
        <v>34</v>
      </c>
      <c r="FG32" s="208">
        <v>54</v>
      </c>
      <c r="FH32" s="209">
        <v>24.518518518518523</v>
      </c>
      <c r="FI32" s="187">
        <f t="shared" si="11"/>
        <v>0.27886710239651402</v>
      </c>
      <c r="FJ32" s="186">
        <v>260</v>
      </c>
      <c r="FK32" s="186">
        <v>153</v>
      </c>
      <c r="FL32" s="187">
        <v>0.58846153846153848</v>
      </c>
      <c r="FM32" s="187">
        <v>0.52777950947191454</v>
      </c>
      <c r="FN32" s="187">
        <v>0.64656761628159143</v>
      </c>
      <c r="FO32" s="198">
        <v>260</v>
      </c>
      <c r="FP32" s="199">
        <v>34</v>
      </c>
      <c r="FQ32" s="198">
        <v>52</v>
      </c>
      <c r="FR32" s="199">
        <v>27.500000000000011</v>
      </c>
      <c r="FS32" s="210">
        <v>0.19117647058823498</v>
      </c>
      <c r="FT32" s="200">
        <v>3945</v>
      </c>
      <c r="FU32" s="200">
        <v>3878</v>
      </c>
      <c r="FV32" s="200">
        <v>67</v>
      </c>
      <c r="FW32" s="200">
        <v>60</v>
      </c>
      <c r="FX32" s="200">
        <v>7</v>
      </c>
      <c r="FY32" s="187">
        <f t="shared" si="4"/>
        <v>0.89552238805970152</v>
      </c>
      <c r="FZ32" s="187">
        <f t="shared" si="5"/>
        <v>0.1044776119402985</v>
      </c>
      <c r="GA32" s="197">
        <v>0.89917119917119925</v>
      </c>
      <c r="GB32" s="197">
        <v>0.10082880082880083</v>
      </c>
      <c r="GC32" s="197">
        <v>7.1581992836351707E-2</v>
      </c>
      <c r="GD32" s="197">
        <v>0.17759209866429901</v>
      </c>
      <c r="GE32" s="197">
        <v>0.9474488474488475</v>
      </c>
      <c r="GF32" s="197">
        <v>5.2551152551152558E-2</v>
      </c>
      <c r="GG32" s="197">
        <v>2.9236134754816855E-2</v>
      </c>
      <c r="GH32" s="197">
        <v>0.10870448882000433</v>
      </c>
      <c r="GI32" s="197">
        <v>0.90750453250453256</v>
      </c>
      <c r="GJ32" s="197">
        <v>9.2495467495467498E-2</v>
      </c>
      <c r="GK32" s="197">
        <v>7.1581992836351707E-2</v>
      </c>
      <c r="GL32" s="197">
        <v>0.17759209866429901</v>
      </c>
      <c r="GM32" s="197">
        <v>0.80558793058793066</v>
      </c>
      <c r="GN32" s="197">
        <v>0.19441206941206943</v>
      </c>
      <c r="GO32" s="197">
        <v>0.15442678106920676</v>
      </c>
      <c r="GP32" s="197">
        <v>0.28940587930164563</v>
      </c>
      <c r="GQ32" s="186">
        <v>81</v>
      </c>
      <c r="GR32" s="186">
        <v>79</v>
      </c>
      <c r="GS32" s="178">
        <v>80</v>
      </c>
      <c r="GT32" s="178">
        <v>80</v>
      </c>
      <c r="GU32" s="178">
        <v>80</v>
      </c>
      <c r="GV32" s="178">
        <v>51</v>
      </c>
      <c r="GW32" s="178">
        <v>48</v>
      </c>
      <c r="GX32" s="178">
        <v>49</v>
      </c>
      <c r="GY32" s="178">
        <v>48</v>
      </c>
      <c r="GZ32" s="178">
        <v>49</v>
      </c>
      <c r="HA32" s="178">
        <v>51</v>
      </c>
      <c r="HB32" s="178">
        <v>47</v>
      </c>
      <c r="HC32" s="178">
        <v>49</v>
      </c>
      <c r="HD32" s="178">
        <v>71</v>
      </c>
      <c r="HE32" s="178">
        <v>69</v>
      </c>
      <c r="HF32" s="178">
        <v>65</v>
      </c>
      <c r="HG32" s="178">
        <v>67</v>
      </c>
      <c r="HH32" s="178">
        <v>66</v>
      </c>
      <c r="HI32" s="178">
        <v>69</v>
      </c>
      <c r="HJ32" s="178">
        <v>67</v>
      </c>
      <c r="HK32" s="178">
        <v>68</v>
      </c>
      <c r="HL32" s="178">
        <v>70</v>
      </c>
      <c r="HM32" s="178">
        <v>69</v>
      </c>
      <c r="HN32" s="186">
        <v>19</v>
      </c>
      <c r="HO32" s="187">
        <v>1.4740108611326609E-2</v>
      </c>
      <c r="HP32" s="217">
        <v>2032</v>
      </c>
      <c r="HQ32" s="217">
        <v>1891</v>
      </c>
      <c r="HR32" s="217">
        <v>141</v>
      </c>
      <c r="HS32" s="1704">
        <v>6.9389763779527561E-2</v>
      </c>
    </row>
    <row r="33" spans="1:227" ht="13.8" customHeight="1" x14ac:dyDescent="0.25">
      <c r="A33" s="183" t="s">
        <v>435</v>
      </c>
      <c r="B33" s="183"/>
      <c r="C33" s="183" t="s">
        <v>101</v>
      </c>
      <c r="D33" s="183" t="s">
        <v>681</v>
      </c>
      <c r="E33" s="183" t="s">
        <v>101</v>
      </c>
      <c r="F33" s="183" t="s">
        <v>490</v>
      </c>
      <c r="G33" s="183" t="s">
        <v>471</v>
      </c>
      <c r="H33" s="183" t="s">
        <v>172</v>
      </c>
      <c r="I33" s="183" t="s">
        <v>144</v>
      </c>
      <c r="J33" s="183" t="s">
        <v>704</v>
      </c>
      <c r="K33" s="183" t="s">
        <v>101</v>
      </c>
      <c r="L33" s="184">
        <v>14005</v>
      </c>
      <c r="M33" s="184">
        <v>14120</v>
      </c>
      <c r="N33" s="184">
        <v>14350</v>
      </c>
      <c r="O33" s="184">
        <v>14600</v>
      </c>
      <c r="P33" s="184">
        <v>14705</v>
      </c>
      <c r="Q33" s="184">
        <v>14730</v>
      </c>
      <c r="R33" s="184">
        <v>14765</v>
      </c>
      <c r="S33" s="184">
        <v>14770</v>
      </c>
      <c r="T33" s="184">
        <v>14845</v>
      </c>
      <c r="U33" s="184">
        <v>15110</v>
      </c>
      <c r="V33" s="184">
        <v>785</v>
      </c>
      <c r="W33" s="184">
        <v>780</v>
      </c>
      <c r="X33" s="184">
        <v>795</v>
      </c>
      <c r="Y33" s="184">
        <v>825</v>
      </c>
      <c r="Z33" s="184">
        <v>825</v>
      </c>
      <c r="AA33" s="184">
        <v>785</v>
      </c>
      <c r="AB33" s="184">
        <v>765</v>
      </c>
      <c r="AC33" s="184">
        <v>780</v>
      </c>
      <c r="AD33" s="184">
        <v>730</v>
      </c>
      <c r="AE33" s="184">
        <v>790</v>
      </c>
      <c r="AF33" s="187">
        <v>0.91592356687898091</v>
      </c>
      <c r="AG33" s="187">
        <v>4.2038216560509552E-2</v>
      </c>
      <c r="AH33" s="187">
        <v>2.6751592356687899E-2</v>
      </c>
      <c r="AI33" s="187">
        <v>1.4012738853503185E-2</v>
      </c>
      <c r="AJ33" s="187">
        <v>1.2738853503184713E-3</v>
      </c>
      <c r="AK33" s="187">
        <v>0</v>
      </c>
      <c r="AL33" s="187">
        <v>8.4076433121019103E-2</v>
      </c>
      <c r="AM33" s="184">
        <v>1660</v>
      </c>
      <c r="AN33" s="187">
        <v>0.67108433734939754</v>
      </c>
      <c r="AO33" s="187">
        <v>0.16385542168674699</v>
      </c>
      <c r="AP33" s="187">
        <v>0.16506024096385541</v>
      </c>
      <c r="AQ33" s="184">
        <v>122</v>
      </c>
      <c r="AR33" s="184">
        <v>155</v>
      </c>
      <c r="AS33" s="184">
        <v>123</v>
      </c>
      <c r="AT33" s="184">
        <v>135</v>
      </c>
      <c r="AU33" s="184">
        <v>134</v>
      </c>
      <c r="AV33" s="186">
        <v>4</v>
      </c>
      <c r="AW33" s="186">
        <v>5</v>
      </c>
      <c r="AX33" s="186">
        <v>1</v>
      </c>
      <c r="AY33" s="186">
        <v>3</v>
      </c>
      <c r="AZ33" s="186">
        <v>4</v>
      </c>
      <c r="BA33" s="186">
        <v>9</v>
      </c>
      <c r="BB33" s="187">
        <v>6.7164179104477612E-2</v>
      </c>
      <c r="BC33" s="187">
        <v>3.573460604589504E-2</v>
      </c>
      <c r="BD33" s="187">
        <v>0.12271887382554017</v>
      </c>
      <c r="BE33" s="193">
        <v>6</v>
      </c>
      <c r="BF33" s="184">
        <v>221</v>
      </c>
      <c r="BG33" s="184">
        <v>276</v>
      </c>
      <c r="BH33" s="184">
        <v>114</v>
      </c>
      <c r="BI33" s="184">
        <v>0.14875269216837225</v>
      </c>
      <c r="BJ33" s="184">
        <v>1769</v>
      </c>
      <c r="BK33" s="184">
        <v>3153</v>
      </c>
      <c r="BL33" s="186">
        <v>1642</v>
      </c>
      <c r="BM33" s="186">
        <v>1054</v>
      </c>
      <c r="BN33" s="186">
        <v>0</v>
      </c>
      <c r="BO33" s="186">
        <v>190</v>
      </c>
      <c r="BP33" s="186">
        <v>298</v>
      </c>
      <c r="BQ33" s="186">
        <v>100</v>
      </c>
      <c r="BR33" s="193">
        <v>75</v>
      </c>
      <c r="BS33" s="193">
        <v>55</v>
      </c>
      <c r="BT33" s="193">
        <v>45</v>
      </c>
      <c r="BU33" s="186">
        <v>303</v>
      </c>
      <c r="BV33" s="186">
        <v>102</v>
      </c>
      <c r="BW33" s="222">
        <f t="shared" si="6"/>
        <v>0.33663366336633666</v>
      </c>
      <c r="BX33" s="186">
        <v>32</v>
      </c>
      <c r="BY33" s="193">
        <v>6</v>
      </c>
      <c r="BZ33" s="1676">
        <v>170</v>
      </c>
      <c r="CA33" s="222">
        <v>2.8504359490274984E-2</v>
      </c>
      <c r="CB33" s="200">
        <v>95</v>
      </c>
      <c r="CC33" s="200">
        <v>80</v>
      </c>
      <c r="CD33" s="200">
        <v>80</v>
      </c>
      <c r="CE33" s="200">
        <v>85</v>
      </c>
      <c r="CF33" s="186">
        <v>245</v>
      </c>
      <c r="CG33" s="187">
        <v>8.4000000000000019E-2</v>
      </c>
      <c r="CH33" s="186">
        <v>260</v>
      </c>
      <c r="CI33" s="187">
        <v>8.8625000000000009E-2</v>
      </c>
      <c r="CJ33" s="186">
        <v>270</v>
      </c>
      <c r="CK33" s="187">
        <v>9.3500000000000014E-2</v>
      </c>
      <c r="CL33" s="186">
        <v>270</v>
      </c>
      <c r="CM33" s="187">
        <v>9.2000000000000012E-2</v>
      </c>
      <c r="CN33" s="186">
        <v>250</v>
      </c>
      <c r="CO33" s="187">
        <v>8.5499999999999993E-2</v>
      </c>
      <c r="CP33" s="186">
        <v>240</v>
      </c>
      <c r="CQ33" s="187">
        <v>9.03954802259887E-2</v>
      </c>
      <c r="CR33" s="184">
        <v>142</v>
      </c>
      <c r="CS33" s="184">
        <v>8</v>
      </c>
      <c r="CT33" s="184">
        <v>134</v>
      </c>
      <c r="CU33" s="187">
        <v>0.94747924685521445</v>
      </c>
      <c r="CV33" s="186">
        <v>52</v>
      </c>
      <c r="CW33" s="186">
        <v>71</v>
      </c>
      <c r="CX33" s="187">
        <v>0.40079365079365081</v>
      </c>
      <c r="CY33" s="187">
        <v>0.53690476190476188</v>
      </c>
      <c r="CZ33" s="187">
        <v>0.30976736607385452</v>
      </c>
      <c r="DA33" s="187">
        <v>0.47259151542490918</v>
      </c>
      <c r="DB33" s="187">
        <v>0.44569249320882598</v>
      </c>
      <c r="DC33" s="187">
        <v>0.61234513839150362</v>
      </c>
      <c r="DD33" s="182">
        <v>145</v>
      </c>
      <c r="DE33" s="182">
        <v>10</v>
      </c>
      <c r="DF33" s="143">
        <v>6.8965517241379309E-2</v>
      </c>
      <c r="DG33" s="143">
        <v>3.7888953275645364E-2</v>
      </c>
      <c r="DH33" s="143">
        <v>0.12229127479787401</v>
      </c>
      <c r="DI33" s="178" t="str">
        <f t="shared" si="0"/>
        <v>No Sig diff</v>
      </c>
      <c r="DJ33" s="182">
        <v>131</v>
      </c>
      <c r="DK33" s="182">
        <v>13</v>
      </c>
      <c r="DL33" s="143">
        <v>9.9236641221374045E-2</v>
      </c>
      <c r="DM33" s="143">
        <v>5.8914886907542818E-2</v>
      </c>
      <c r="DN33" s="143">
        <v>0.16239285539726198</v>
      </c>
      <c r="DO33" s="178" t="str">
        <f t="shared" si="1"/>
        <v>No Sig diff</v>
      </c>
      <c r="DP33" s="183">
        <v>82</v>
      </c>
      <c r="DQ33" s="183">
        <v>6</v>
      </c>
      <c r="DR33" s="143">
        <v>7.3170731707317069E-2</v>
      </c>
      <c r="DS33" s="143">
        <v>3.3964777256659195E-2</v>
      </c>
      <c r="DT33" s="143">
        <v>0.15057843808854837</v>
      </c>
      <c r="DU33" s="178" t="str">
        <f t="shared" si="7"/>
        <v>No Sig diff</v>
      </c>
      <c r="DV33" s="178">
        <v>122</v>
      </c>
      <c r="DW33" s="178">
        <v>13</v>
      </c>
      <c r="DX33" s="179">
        <v>0.10655737704918032</v>
      </c>
      <c r="DY33" s="179">
        <v>6.3336996121428416E-2</v>
      </c>
      <c r="DZ33" s="179">
        <v>0.1737983573650079</v>
      </c>
      <c r="EA33" s="178" t="str">
        <f t="shared" si="2"/>
        <v>No Sig diff</v>
      </c>
      <c r="EB33" s="182">
        <v>123</v>
      </c>
      <c r="EC33" s="182">
        <v>23</v>
      </c>
      <c r="ED33" s="143">
        <v>0.18699186991869918</v>
      </c>
      <c r="EE33" s="143">
        <v>0.12795837432731735</v>
      </c>
      <c r="EF33" s="143">
        <v>0.26498458993763258</v>
      </c>
      <c r="EG33" s="178" t="str">
        <f t="shared" si="3"/>
        <v>No Sig diff</v>
      </c>
      <c r="EH33" s="182">
        <v>128</v>
      </c>
      <c r="EI33" s="182">
        <v>18</v>
      </c>
      <c r="EJ33" s="143">
        <v>0.140625</v>
      </c>
      <c r="EK33" s="143">
        <v>9.083969494262252E-2</v>
      </c>
      <c r="EL33" s="143">
        <v>0.21135249237896167</v>
      </c>
      <c r="EM33" s="178" t="str">
        <f t="shared" si="8"/>
        <v>No Sig diff</v>
      </c>
      <c r="EN33" s="183">
        <v>125</v>
      </c>
      <c r="EO33" s="183">
        <v>19</v>
      </c>
      <c r="EP33" s="197">
        <v>0.152</v>
      </c>
      <c r="EQ33" s="179">
        <v>9.9520834204329611E-2</v>
      </c>
      <c r="ER33" s="179">
        <v>0.22523067981666553</v>
      </c>
      <c r="ES33" s="178" t="str">
        <f t="shared" si="9"/>
        <v>No Sig diff</v>
      </c>
      <c r="ET33" s="206">
        <v>103</v>
      </c>
      <c r="EU33" s="206">
        <v>18</v>
      </c>
      <c r="EV33" s="179">
        <v>0.17475728155339806</v>
      </c>
      <c r="EW33" s="179">
        <v>0.11349896556855764</v>
      </c>
      <c r="EX33" s="179">
        <v>0.25940364415299016</v>
      </c>
      <c r="EY33" s="178" t="str">
        <f t="shared" si="10"/>
        <v>No Sig diff</v>
      </c>
      <c r="EZ33" s="207">
        <v>152</v>
      </c>
      <c r="FA33" s="186">
        <v>85</v>
      </c>
      <c r="FB33" s="187">
        <v>0.55921052631578949</v>
      </c>
      <c r="FC33" s="187">
        <v>0.47978845905599204</v>
      </c>
      <c r="FD33" s="187">
        <v>0.63571353981011325</v>
      </c>
      <c r="FE33" s="208">
        <v>152</v>
      </c>
      <c r="FF33" s="209">
        <v>34</v>
      </c>
      <c r="FG33" s="208">
        <v>30</v>
      </c>
      <c r="FH33" s="209">
        <v>24.766666666666669</v>
      </c>
      <c r="FI33" s="187">
        <f t="shared" si="11"/>
        <v>0.27156862745098032</v>
      </c>
      <c r="FJ33" s="186">
        <v>150</v>
      </c>
      <c r="FK33" s="186">
        <v>89</v>
      </c>
      <c r="FL33" s="187">
        <v>0.59333333333333338</v>
      </c>
      <c r="FM33" s="187">
        <v>0.51334665051332073</v>
      </c>
      <c r="FN33" s="187">
        <v>0.668658903871305</v>
      </c>
      <c r="FO33" s="198">
        <v>150</v>
      </c>
      <c r="FP33" s="199">
        <v>34</v>
      </c>
      <c r="FQ33" s="198">
        <v>30</v>
      </c>
      <c r="FR33" s="199">
        <v>26.6</v>
      </c>
      <c r="FS33" s="210">
        <v>0.21764705882352936</v>
      </c>
      <c r="FT33" s="200">
        <v>2449</v>
      </c>
      <c r="FU33" s="200">
        <v>2382</v>
      </c>
      <c r="FV33" s="200">
        <v>67</v>
      </c>
      <c r="FW33" s="200">
        <v>52</v>
      </c>
      <c r="FX33" s="200">
        <v>15</v>
      </c>
      <c r="FY33" s="187">
        <f t="shared" si="4"/>
        <v>0.77611940298507465</v>
      </c>
      <c r="FZ33" s="187">
        <f t="shared" si="5"/>
        <v>0.22388059701492538</v>
      </c>
      <c r="GA33" s="197">
        <v>0.900595238095238</v>
      </c>
      <c r="GB33" s="197">
        <v>9.9404761904761912E-2</v>
      </c>
      <c r="GC33" s="197">
        <v>3.9457573336373918E-2</v>
      </c>
      <c r="GD33" s="197">
        <v>0.19577736249133981</v>
      </c>
      <c r="GE33" s="197">
        <v>0.91845238095238091</v>
      </c>
      <c r="GF33" s="197">
        <v>8.1547619047619049E-2</v>
      </c>
      <c r="GG33" s="197">
        <v>2.864359650368855E-2</v>
      </c>
      <c r="GH33" s="197">
        <v>0.17260178091636799</v>
      </c>
      <c r="GI33" s="197">
        <v>0.88511904761904758</v>
      </c>
      <c r="GJ33" s="197">
        <v>0.11488095238095238</v>
      </c>
      <c r="GK33" s="197">
        <v>5.0966556283051322E-2</v>
      </c>
      <c r="GL33" s="197">
        <v>0.21825793795231954</v>
      </c>
      <c r="GM33" s="197">
        <v>0.76557539682539688</v>
      </c>
      <c r="GN33" s="197">
        <v>0.23442460317460317</v>
      </c>
      <c r="GO33" s="197">
        <v>0.13195287989578958</v>
      </c>
      <c r="GP33" s="197">
        <v>0.34938926831587819</v>
      </c>
      <c r="GQ33" s="186">
        <v>40</v>
      </c>
      <c r="GR33" s="186">
        <v>39</v>
      </c>
      <c r="GS33" s="178">
        <v>39</v>
      </c>
      <c r="GT33" s="178">
        <v>39</v>
      </c>
      <c r="GU33" s="178">
        <v>39</v>
      </c>
      <c r="GV33" s="178">
        <v>33</v>
      </c>
      <c r="GW33" s="178">
        <v>32</v>
      </c>
      <c r="GX33" s="178">
        <v>33</v>
      </c>
      <c r="GY33" s="178">
        <v>32</v>
      </c>
      <c r="GZ33" s="178">
        <v>33</v>
      </c>
      <c r="HA33" s="178">
        <v>33</v>
      </c>
      <c r="HB33" s="178">
        <v>32</v>
      </c>
      <c r="HC33" s="178">
        <v>33</v>
      </c>
      <c r="HD33" s="178">
        <v>45</v>
      </c>
      <c r="HE33" s="178">
        <v>39</v>
      </c>
      <c r="HF33" s="178">
        <v>42</v>
      </c>
      <c r="HG33" s="178">
        <v>37</v>
      </c>
      <c r="HH33" s="178">
        <v>42</v>
      </c>
      <c r="HI33" s="178">
        <v>43</v>
      </c>
      <c r="HJ33" s="178">
        <v>38</v>
      </c>
      <c r="HK33" s="178">
        <v>39</v>
      </c>
      <c r="HL33" s="178">
        <v>38</v>
      </c>
      <c r="HM33" s="178">
        <v>43</v>
      </c>
      <c r="HN33" s="186">
        <v>13</v>
      </c>
      <c r="HO33" s="187">
        <v>1.6602809706257982E-2</v>
      </c>
      <c r="HP33" s="217">
        <v>1220</v>
      </c>
      <c r="HQ33" s="217">
        <v>1127</v>
      </c>
      <c r="HR33" s="217">
        <v>93</v>
      </c>
      <c r="HS33" s="1704">
        <v>7.6229508196721307E-2</v>
      </c>
    </row>
    <row r="34" spans="1:227" ht="13.8" customHeight="1" x14ac:dyDescent="0.25">
      <c r="A34" s="183" t="s">
        <v>436</v>
      </c>
      <c r="B34" s="183"/>
      <c r="C34" s="183" t="s">
        <v>35</v>
      </c>
      <c r="D34" s="183" t="s">
        <v>679</v>
      </c>
      <c r="E34" s="183" t="s">
        <v>35</v>
      </c>
      <c r="F34" s="183" t="s">
        <v>489</v>
      </c>
      <c r="G34" s="183" t="s">
        <v>461</v>
      </c>
      <c r="H34" s="183" t="s">
        <v>174</v>
      </c>
      <c r="I34" s="183" t="s">
        <v>130</v>
      </c>
      <c r="J34" s="183" t="s">
        <v>704</v>
      </c>
      <c r="K34" s="183" t="s">
        <v>35</v>
      </c>
      <c r="L34" s="184">
        <v>20565</v>
      </c>
      <c r="M34" s="184">
        <v>20845</v>
      </c>
      <c r="N34" s="184">
        <v>21190</v>
      </c>
      <c r="O34" s="184">
        <v>21470</v>
      </c>
      <c r="P34" s="184">
        <v>21585</v>
      </c>
      <c r="Q34" s="184">
        <v>21515</v>
      </c>
      <c r="R34" s="184">
        <v>21515</v>
      </c>
      <c r="S34" s="184">
        <v>21455</v>
      </c>
      <c r="T34" s="184">
        <v>21385</v>
      </c>
      <c r="U34" s="184">
        <v>21365</v>
      </c>
      <c r="V34" s="184">
        <v>740</v>
      </c>
      <c r="W34" s="184">
        <v>740</v>
      </c>
      <c r="X34" s="184">
        <v>770</v>
      </c>
      <c r="Y34" s="184">
        <v>825</v>
      </c>
      <c r="Z34" s="184">
        <v>875</v>
      </c>
      <c r="AA34" s="184">
        <v>890</v>
      </c>
      <c r="AB34" s="184">
        <v>885</v>
      </c>
      <c r="AC34" s="184">
        <v>890</v>
      </c>
      <c r="AD34" s="184">
        <v>910</v>
      </c>
      <c r="AE34" s="184">
        <v>885</v>
      </c>
      <c r="AF34" s="187">
        <v>0.94813979706877116</v>
      </c>
      <c r="AG34" s="187">
        <v>3.269447576099211E-2</v>
      </c>
      <c r="AH34" s="187">
        <v>1.2401352874859075E-2</v>
      </c>
      <c r="AI34" s="187">
        <v>5.6369785794813977E-3</v>
      </c>
      <c r="AJ34" s="187">
        <v>1.1273957158962795E-3</v>
      </c>
      <c r="AK34" s="187">
        <v>0</v>
      </c>
      <c r="AL34" s="187">
        <v>5.1860202931228859E-2</v>
      </c>
      <c r="AM34" s="184">
        <v>1790</v>
      </c>
      <c r="AN34" s="187">
        <v>0.61353467561521258</v>
      </c>
      <c r="AO34" s="187">
        <v>0.13646532438478748</v>
      </c>
      <c r="AP34" s="187">
        <v>0.25</v>
      </c>
      <c r="AQ34" s="184">
        <v>201</v>
      </c>
      <c r="AR34" s="184">
        <v>175</v>
      </c>
      <c r="AS34" s="184">
        <v>189</v>
      </c>
      <c r="AT34" s="184">
        <v>190</v>
      </c>
      <c r="AU34" s="184">
        <v>177</v>
      </c>
      <c r="AV34" s="186">
        <v>15</v>
      </c>
      <c r="AW34" s="186">
        <v>11</v>
      </c>
      <c r="AX34" s="186">
        <v>14</v>
      </c>
      <c r="AY34" s="186">
        <v>11</v>
      </c>
      <c r="AZ34" s="186">
        <v>12</v>
      </c>
      <c r="BA34" s="186">
        <v>19</v>
      </c>
      <c r="BB34" s="187">
        <v>0.10734463276836158</v>
      </c>
      <c r="BC34" s="187">
        <v>6.9804882037872676E-2</v>
      </c>
      <c r="BD34" s="187">
        <v>0.16156606074013427</v>
      </c>
      <c r="BE34" s="193">
        <v>20</v>
      </c>
      <c r="BF34" s="184">
        <v>259</v>
      </c>
      <c r="BG34" s="184">
        <v>270</v>
      </c>
      <c r="BH34" s="184">
        <v>166</v>
      </c>
      <c r="BI34" s="184">
        <v>0.15413943008047112</v>
      </c>
      <c r="BJ34" s="184">
        <v>1966</v>
      </c>
      <c r="BK34" s="184">
        <v>3509</v>
      </c>
      <c r="BL34" s="186">
        <v>1980</v>
      </c>
      <c r="BM34" s="186">
        <v>1107</v>
      </c>
      <c r="BN34" s="186">
        <v>3</v>
      </c>
      <c r="BO34" s="186">
        <v>259</v>
      </c>
      <c r="BP34" s="186">
        <v>429</v>
      </c>
      <c r="BQ34" s="186">
        <v>182</v>
      </c>
      <c r="BR34" s="193">
        <v>145</v>
      </c>
      <c r="BS34" s="193">
        <v>105</v>
      </c>
      <c r="BT34" s="193">
        <v>100</v>
      </c>
      <c r="BU34" s="186">
        <v>427</v>
      </c>
      <c r="BV34" s="186">
        <v>142</v>
      </c>
      <c r="BW34" s="222">
        <f t="shared" si="6"/>
        <v>0.33255269320843089</v>
      </c>
      <c r="BX34" s="186">
        <v>39</v>
      </c>
      <c r="BY34" s="193">
        <v>4</v>
      </c>
      <c r="BZ34" s="1676">
        <v>306</v>
      </c>
      <c r="CA34" s="222">
        <v>3.1436202999794535E-2</v>
      </c>
      <c r="CB34" s="200">
        <v>170</v>
      </c>
      <c r="CC34" s="200">
        <v>150</v>
      </c>
      <c r="CD34" s="200">
        <v>165</v>
      </c>
      <c r="CE34" s="200">
        <v>170</v>
      </c>
      <c r="CF34" s="186">
        <v>490</v>
      </c>
      <c r="CG34" s="187">
        <v>0.14400000000000004</v>
      </c>
      <c r="CH34" s="186">
        <v>525</v>
      </c>
      <c r="CI34" s="187">
        <v>0.14028571428571429</v>
      </c>
      <c r="CJ34" s="186">
        <v>555</v>
      </c>
      <c r="CK34" s="187">
        <v>0.1622142857142857</v>
      </c>
      <c r="CL34" s="186">
        <v>490</v>
      </c>
      <c r="CM34" s="187">
        <v>0.15200000000000005</v>
      </c>
      <c r="CN34" s="186">
        <v>520</v>
      </c>
      <c r="CO34" s="187">
        <v>0.14157142857142854</v>
      </c>
      <c r="CP34" s="186">
        <v>450</v>
      </c>
      <c r="CQ34" s="187">
        <v>0.14285714285714285</v>
      </c>
      <c r="CR34" s="184">
        <v>173</v>
      </c>
      <c r="CS34" s="184">
        <v>21</v>
      </c>
      <c r="CT34" s="184">
        <v>152</v>
      </c>
      <c r="CU34" s="187">
        <v>0.87554299579069161</v>
      </c>
      <c r="CV34" s="186">
        <v>48</v>
      </c>
      <c r="CW34" s="186">
        <v>66</v>
      </c>
      <c r="CX34" s="187">
        <v>0.35143869513617415</v>
      </c>
      <c r="CY34" s="187">
        <v>0.47400011286565907</v>
      </c>
      <c r="CZ34" s="187">
        <v>0.24720854569312695</v>
      </c>
      <c r="DA34" s="187">
        <v>0.39345222781022515</v>
      </c>
      <c r="DB34" s="187">
        <v>0.35799524971462582</v>
      </c>
      <c r="DC34" s="187">
        <v>0.5136693122508571</v>
      </c>
      <c r="DD34" s="182">
        <v>191</v>
      </c>
      <c r="DE34" s="182">
        <v>20</v>
      </c>
      <c r="DF34" s="143">
        <v>0.10471204188481675</v>
      </c>
      <c r="DG34" s="143">
        <v>6.8812850350840088E-2</v>
      </c>
      <c r="DH34" s="143">
        <v>0.15619808462188514</v>
      </c>
      <c r="DI34" s="178" t="str">
        <f t="shared" si="0"/>
        <v>No Sig diff</v>
      </c>
      <c r="DJ34" s="182">
        <v>162</v>
      </c>
      <c r="DK34" s="182">
        <v>19</v>
      </c>
      <c r="DL34" s="143">
        <v>0.11728395061728394</v>
      </c>
      <c r="DM34" s="143">
        <v>7.6382886848500614E-2</v>
      </c>
      <c r="DN34" s="143">
        <v>0.1759150555250806</v>
      </c>
      <c r="DO34" s="178" t="str">
        <f t="shared" si="1"/>
        <v>No Sig diff</v>
      </c>
      <c r="DP34" s="183">
        <v>179</v>
      </c>
      <c r="DQ34" s="183">
        <v>16</v>
      </c>
      <c r="DR34" s="143">
        <v>8.9385474860335198E-2</v>
      </c>
      <c r="DS34" s="143">
        <v>5.5768700800059426E-2</v>
      </c>
      <c r="DT34" s="143">
        <v>0.14025609057858801</v>
      </c>
      <c r="DU34" s="178" t="str">
        <f t="shared" si="7"/>
        <v>No Sig diff</v>
      </c>
      <c r="DV34" s="178">
        <v>176</v>
      </c>
      <c r="DW34" s="178">
        <v>30</v>
      </c>
      <c r="DX34" s="179">
        <v>0.17045454545454544</v>
      </c>
      <c r="DY34" s="179">
        <v>0.12208717509263066</v>
      </c>
      <c r="DZ34" s="179">
        <v>0.23290026350652712</v>
      </c>
      <c r="EA34" s="178" t="str">
        <f t="shared" si="2"/>
        <v>Sig worse than Eng.</v>
      </c>
      <c r="EB34" s="182">
        <v>165</v>
      </c>
      <c r="EC34" s="182">
        <v>31</v>
      </c>
      <c r="ED34" s="143">
        <v>0.18787878787878787</v>
      </c>
      <c r="EE34" s="143">
        <v>0.13563438589221086</v>
      </c>
      <c r="EF34" s="143">
        <v>0.25432587197677792</v>
      </c>
      <c r="EG34" s="178" t="str">
        <f t="shared" si="3"/>
        <v>No Sig diff</v>
      </c>
      <c r="EH34" s="182">
        <v>159</v>
      </c>
      <c r="EI34" s="182">
        <v>31</v>
      </c>
      <c r="EJ34" s="143">
        <v>0.19496855345911951</v>
      </c>
      <c r="EK34" s="143">
        <v>0.14089118738057674</v>
      </c>
      <c r="EL34" s="143">
        <v>0.26343741110730967</v>
      </c>
      <c r="EM34" s="178" t="str">
        <f t="shared" si="8"/>
        <v>No Sig diff</v>
      </c>
      <c r="EN34" s="183">
        <v>156</v>
      </c>
      <c r="EO34" s="183">
        <v>22</v>
      </c>
      <c r="EP34" s="197">
        <v>0.14102564102564102</v>
      </c>
      <c r="EQ34" s="179">
        <v>9.5011143828233793E-2</v>
      </c>
      <c r="ER34" s="179">
        <v>0.20429455053708973</v>
      </c>
      <c r="ES34" s="178" t="str">
        <f t="shared" si="9"/>
        <v>No Sig diff</v>
      </c>
      <c r="ET34" s="206">
        <v>156</v>
      </c>
      <c r="EU34" s="206">
        <v>30</v>
      </c>
      <c r="EV34" s="179">
        <v>0.19230769230769232</v>
      </c>
      <c r="EW34" s="179">
        <v>0.13815889455002239</v>
      </c>
      <c r="EX34" s="179">
        <v>0.2612459863345406</v>
      </c>
      <c r="EY34" s="178" t="str">
        <f t="shared" si="10"/>
        <v>No Sig diff</v>
      </c>
      <c r="EZ34" s="207">
        <v>198</v>
      </c>
      <c r="FA34" s="186">
        <v>122</v>
      </c>
      <c r="FB34" s="187">
        <v>0.61616161616161613</v>
      </c>
      <c r="FC34" s="187">
        <v>0.54682338136658892</v>
      </c>
      <c r="FD34" s="187">
        <v>0.68107826118378578</v>
      </c>
      <c r="FE34" s="208">
        <v>198</v>
      </c>
      <c r="FF34" s="209">
        <v>34</v>
      </c>
      <c r="FG34" s="208">
        <v>39</v>
      </c>
      <c r="FH34" s="209">
        <v>25.512820512820511</v>
      </c>
      <c r="FI34" s="187">
        <f t="shared" si="11"/>
        <v>0.24962292609351439</v>
      </c>
      <c r="FJ34" s="186">
        <v>206</v>
      </c>
      <c r="FK34" s="186">
        <v>130</v>
      </c>
      <c r="FL34" s="187">
        <v>0.6310679611650486</v>
      </c>
      <c r="FM34" s="187">
        <v>0.5633394478729038</v>
      </c>
      <c r="FN34" s="187">
        <v>0.69399768799852601</v>
      </c>
      <c r="FO34" s="198">
        <v>206</v>
      </c>
      <c r="FP34" s="199">
        <v>34</v>
      </c>
      <c r="FQ34" s="198">
        <v>41</v>
      </c>
      <c r="FR34" s="199">
        <v>23.317073170731703</v>
      </c>
      <c r="FS34" s="210">
        <v>0.31420373027259696</v>
      </c>
      <c r="FT34" s="200">
        <v>4313</v>
      </c>
      <c r="FU34" s="200">
        <v>3997</v>
      </c>
      <c r="FV34" s="200">
        <v>316</v>
      </c>
      <c r="FW34" s="200">
        <v>261</v>
      </c>
      <c r="FX34" s="200">
        <v>55</v>
      </c>
      <c r="FY34" s="187">
        <f t="shared" si="4"/>
        <v>0.82594936708860756</v>
      </c>
      <c r="FZ34" s="187">
        <f t="shared" si="5"/>
        <v>0.17405063291139242</v>
      </c>
      <c r="GA34" s="197"/>
      <c r="GB34" s="197">
        <v>0.17543859649122806</v>
      </c>
      <c r="GC34" s="197">
        <v>9.8187471335966101E-2</v>
      </c>
      <c r="GD34" s="197">
        <v>0.29367599050593152</v>
      </c>
      <c r="GE34" s="197"/>
      <c r="GF34" s="197">
        <v>0.14035087719298245</v>
      </c>
      <c r="GG34" s="197">
        <v>7.2871892271282851E-2</v>
      </c>
      <c r="GH34" s="197">
        <v>0.25324707895892806</v>
      </c>
      <c r="GI34" s="197"/>
      <c r="GJ34" s="197">
        <v>0.17543859649122806</v>
      </c>
      <c r="GK34" s="197">
        <v>9.8187471335966101E-2</v>
      </c>
      <c r="GL34" s="197">
        <v>0.29367599050593152</v>
      </c>
      <c r="GM34" s="197"/>
      <c r="GN34" s="197">
        <v>0.23636363636363636</v>
      </c>
      <c r="GO34" s="197">
        <v>0.1436652158745749</v>
      </c>
      <c r="GP34" s="197">
        <v>0.36348618721439618</v>
      </c>
      <c r="GQ34" s="186">
        <v>61</v>
      </c>
      <c r="GR34" s="186">
        <v>55</v>
      </c>
      <c r="GS34" s="178">
        <v>56</v>
      </c>
      <c r="GT34" s="178">
        <v>58</v>
      </c>
      <c r="GU34" s="178">
        <v>56</v>
      </c>
      <c r="GV34" s="178">
        <v>45</v>
      </c>
      <c r="GW34" s="178">
        <v>41</v>
      </c>
      <c r="GX34" s="178">
        <v>43</v>
      </c>
      <c r="GY34" s="178">
        <v>41</v>
      </c>
      <c r="GZ34" s="178">
        <v>43</v>
      </c>
      <c r="HA34" s="178">
        <v>44</v>
      </c>
      <c r="HB34" s="178">
        <v>40</v>
      </c>
      <c r="HC34" s="178">
        <v>43</v>
      </c>
      <c r="HD34" s="178">
        <v>47</v>
      </c>
      <c r="HE34" s="178">
        <v>42</v>
      </c>
      <c r="HF34" s="178">
        <v>41</v>
      </c>
      <c r="HG34" s="178">
        <v>37</v>
      </c>
      <c r="HH34" s="178">
        <v>40</v>
      </c>
      <c r="HI34" s="178">
        <v>41</v>
      </c>
      <c r="HJ34" s="178">
        <v>40</v>
      </c>
      <c r="HK34" s="178">
        <v>42</v>
      </c>
      <c r="HL34" s="178">
        <v>42</v>
      </c>
      <c r="HM34" s="178">
        <v>42</v>
      </c>
      <c r="HN34" s="186">
        <v>16</v>
      </c>
      <c r="HO34" s="187">
        <v>1.8079096045197741E-2</v>
      </c>
      <c r="HP34" s="217">
        <v>1409</v>
      </c>
      <c r="HQ34" s="217">
        <v>1255</v>
      </c>
      <c r="HR34" s="217">
        <v>154</v>
      </c>
      <c r="HS34" s="1704">
        <v>0.10929737402413059</v>
      </c>
    </row>
    <row r="35" spans="1:227" ht="13.8" customHeight="1" x14ac:dyDescent="0.25">
      <c r="A35" s="183" t="s">
        <v>437</v>
      </c>
      <c r="B35" s="183"/>
      <c r="C35" s="183" t="s">
        <v>102</v>
      </c>
      <c r="D35" s="183" t="s">
        <v>102</v>
      </c>
      <c r="E35" s="183" t="s">
        <v>102</v>
      </c>
      <c r="F35" s="183" t="s">
        <v>102</v>
      </c>
      <c r="G35" s="183" t="s">
        <v>482</v>
      </c>
      <c r="H35" s="183" t="s">
        <v>141</v>
      </c>
      <c r="I35" s="183" t="s">
        <v>140</v>
      </c>
      <c r="J35" s="183" t="s">
        <v>703</v>
      </c>
      <c r="K35" s="183" t="s">
        <v>102</v>
      </c>
      <c r="L35" s="184">
        <v>18300</v>
      </c>
      <c r="M35" s="184">
        <v>18330</v>
      </c>
      <c r="N35" s="184">
        <v>18385</v>
      </c>
      <c r="O35" s="184">
        <v>18520</v>
      </c>
      <c r="P35" s="184">
        <v>18660</v>
      </c>
      <c r="Q35" s="184">
        <v>18865</v>
      </c>
      <c r="R35" s="184">
        <v>18970</v>
      </c>
      <c r="S35" s="184">
        <v>19140</v>
      </c>
      <c r="T35" s="184">
        <v>19245</v>
      </c>
      <c r="U35" s="184">
        <v>19340</v>
      </c>
      <c r="V35" s="184">
        <v>940</v>
      </c>
      <c r="W35" s="184">
        <v>945</v>
      </c>
      <c r="X35" s="184">
        <v>975</v>
      </c>
      <c r="Y35" s="184">
        <v>985</v>
      </c>
      <c r="Z35" s="184">
        <v>970</v>
      </c>
      <c r="AA35" s="184">
        <v>975</v>
      </c>
      <c r="AB35" s="184">
        <v>980</v>
      </c>
      <c r="AC35" s="184">
        <v>1035</v>
      </c>
      <c r="AD35" s="184">
        <v>1055</v>
      </c>
      <c r="AE35" s="184">
        <v>1050</v>
      </c>
      <c r="AF35" s="187">
        <v>0.83477425552353501</v>
      </c>
      <c r="AG35" s="187">
        <v>3.8424591738712779E-2</v>
      </c>
      <c r="AH35" s="187">
        <v>4.226705091258405E-2</v>
      </c>
      <c r="AI35" s="187">
        <v>7.0124879923150821E-2</v>
      </c>
      <c r="AJ35" s="187">
        <v>1.1527377521613832E-2</v>
      </c>
      <c r="AK35" s="187">
        <v>2.881844380403458E-3</v>
      </c>
      <c r="AL35" s="187">
        <v>0.16522574447646493</v>
      </c>
      <c r="AM35" s="184">
        <v>2000</v>
      </c>
      <c r="AN35" s="187">
        <v>0.72177822177822182</v>
      </c>
      <c r="AO35" s="187">
        <v>0.12387612387612387</v>
      </c>
      <c r="AP35" s="187">
        <v>0.15434565434565434</v>
      </c>
      <c r="AQ35" s="184">
        <v>190</v>
      </c>
      <c r="AR35" s="184">
        <v>212</v>
      </c>
      <c r="AS35" s="184">
        <v>187</v>
      </c>
      <c r="AT35" s="184">
        <v>194</v>
      </c>
      <c r="AU35" s="184">
        <v>193</v>
      </c>
      <c r="AV35" s="186">
        <v>8</v>
      </c>
      <c r="AW35" s="186">
        <v>9</v>
      </c>
      <c r="AX35" s="186">
        <v>5</v>
      </c>
      <c r="AY35" s="186">
        <v>3</v>
      </c>
      <c r="AZ35" s="186">
        <v>7</v>
      </c>
      <c r="BA35" s="186">
        <v>9</v>
      </c>
      <c r="BB35" s="187">
        <v>4.6632124352331605E-2</v>
      </c>
      <c r="BC35" s="187">
        <v>2.4724444791412101E-2</v>
      </c>
      <c r="BD35" s="187">
        <v>8.6235202386319071E-2</v>
      </c>
      <c r="BE35" s="193">
        <v>11</v>
      </c>
      <c r="BF35" s="184">
        <v>335</v>
      </c>
      <c r="BG35" s="184">
        <v>330</v>
      </c>
      <c r="BH35" s="184">
        <v>155</v>
      </c>
      <c r="BI35" s="184">
        <v>0.14777997878599203</v>
      </c>
      <c r="BJ35" s="184">
        <v>2200</v>
      </c>
      <c r="BK35" s="184">
        <v>3896</v>
      </c>
      <c r="BL35" s="186">
        <v>2431</v>
      </c>
      <c r="BM35" s="186">
        <v>1630</v>
      </c>
      <c r="BN35" s="186">
        <v>1</v>
      </c>
      <c r="BO35" s="186">
        <v>287</v>
      </c>
      <c r="BP35" s="186">
        <v>375</v>
      </c>
      <c r="BQ35" s="186">
        <v>138</v>
      </c>
      <c r="BR35" s="193">
        <v>80</v>
      </c>
      <c r="BS35" s="193">
        <v>80</v>
      </c>
      <c r="BT35" s="193">
        <v>70</v>
      </c>
      <c r="BU35" s="186">
        <v>332</v>
      </c>
      <c r="BV35" s="186">
        <v>85</v>
      </c>
      <c r="BW35" s="222">
        <f t="shared" si="6"/>
        <v>0.25602409638554219</v>
      </c>
      <c r="BX35" s="186">
        <v>24</v>
      </c>
      <c r="BY35" s="193">
        <v>8</v>
      </c>
      <c r="BZ35" s="1676">
        <v>227</v>
      </c>
      <c r="CA35" s="222">
        <v>2.8865717192268565E-2</v>
      </c>
      <c r="CB35" s="200">
        <v>120</v>
      </c>
      <c r="CC35" s="200">
        <v>120</v>
      </c>
      <c r="CD35" s="200">
        <v>130</v>
      </c>
      <c r="CE35" s="200">
        <v>110</v>
      </c>
      <c r="CF35" s="186">
        <v>320</v>
      </c>
      <c r="CG35" s="187">
        <v>9.7166666666666665E-2</v>
      </c>
      <c r="CH35" s="186">
        <v>335</v>
      </c>
      <c r="CI35" s="187">
        <v>9.3916666666666662E-2</v>
      </c>
      <c r="CJ35" s="186">
        <v>365</v>
      </c>
      <c r="CK35" s="187">
        <v>0.10033333333333333</v>
      </c>
      <c r="CL35" s="186">
        <v>325</v>
      </c>
      <c r="CM35" s="187">
        <v>9.4999999999999987E-2</v>
      </c>
      <c r="CN35" s="186">
        <v>335</v>
      </c>
      <c r="CO35" s="187">
        <v>8.900000000000001E-2</v>
      </c>
      <c r="CP35" s="186">
        <v>300</v>
      </c>
      <c r="CQ35" s="187">
        <v>9.202453987730061E-2</v>
      </c>
      <c r="CR35" s="184">
        <v>192</v>
      </c>
      <c r="CS35" s="184">
        <v>1</v>
      </c>
      <c r="CT35" s="184">
        <v>191</v>
      </c>
      <c r="CU35" s="187">
        <v>0.99444444444444458</v>
      </c>
      <c r="CV35" s="186">
        <v>88</v>
      </c>
      <c r="CW35" s="186">
        <v>111</v>
      </c>
      <c r="CX35" s="187">
        <v>0.46398508099859925</v>
      </c>
      <c r="CY35" s="187">
        <v>0.60055105210604576</v>
      </c>
      <c r="CZ35" s="187">
        <v>0.39151197448052188</v>
      </c>
      <c r="DA35" s="187">
        <v>0.5315024125908222</v>
      </c>
      <c r="DB35" s="187">
        <v>0.51025644147427418</v>
      </c>
      <c r="DC35" s="187">
        <v>0.64884715857828135</v>
      </c>
      <c r="DD35" s="182">
        <v>158</v>
      </c>
      <c r="DE35" s="182">
        <v>14</v>
      </c>
      <c r="DF35" s="143">
        <v>8.8607594936708861E-2</v>
      </c>
      <c r="DG35" s="143">
        <v>5.3515080428758875E-2</v>
      </c>
      <c r="DH35" s="143">
        <v>0.14322967862566621</v>
      </c>
      <c r="DI35" s="178" t="str">
        <f t="shared" ref="DI35:DI66" si="12">IF(DG35&gt;$DH$77,"Sig worse than Eng.",(IF(DH35&lt;$DG$77,"Sig better than Eng.","No Sig diff")))</f>
        <v>No Sig diff</v>
      </c>
      <c r="DJ35" s="182">
        <v>169</v>
      </c>
      <c r="DK35" s="182">
        <v>14</v>
      </c>
      <c r="DL35" s="143">
        <v>8.2840236686390539E-2</v>
      </c>
      <c r="DM35" s="143">
        <v>4.9985852761348988E-2</v>
      </c>
      <c r="DN35" s="143">
        <v>0.13423764915740352</v>
      </c>
      <c r="DO35" s="178" t="str">
        <f t="shared" ref="DO35:DO66" si="13">IF(DM35&gt;$DN$77,"Sig worse than Eng.",(IF(DN35&lt;$DM$77,"Sig better than Eng.","No Sig diff")))</f>
        <v>No Sig diff</v>
      </c>
      <c r="DP35" s="183">
        <v>180</v>
      </c>
      <c r="DQ35" s="183">
        <v>10</v>
      </c>
      <c r="DR35" s="143">
        <v>5.5555555555555552E-2</v>
      </c>
      <c r="DS35" s="143">
        <v>3.0453273623977831E-2</v>
      </c>
      <c r="DT35" s="143">
        <v>9.9231613417455969E-2</v>
      </c>
      <c r="DU35" s="178" t="str">
        <f t="shared" si="7"/>
        <v>No Sig diff</v>
      </c>
      <c r="DV35" s="178">
        <v>134</v>
      </c>
      <c r="DW35" s="178">
        <v>11</v>
      </c>
      <c r="DX35" s="179">
        <v>8.2089552238805971E-2</v>
      </c>
      <c r="DY35" s="179">
        <v>4.6454325805087827E-2</v>
      </c>
      <c r="DZ35" s="179">
        <v>0.14101799958802202</v>
      </c>
      <c r="EA35" s="178" t="str">
        <f t="shared" ref="EA35:EA66" si="14">IF(DY35&gt;$DZ$77,"Sig worse than Eng.",(IF(DZ35&lt;$DY$77,"Sig better than Eng.","No Sig diff")))</f>
        <v>No Sig diff</v>
      </c>
      <c r="EB35" s="182">
        <v>190</v>
      </c>
      <c r="EC35" s="182">
        <v>26</v>
      </c>
      <c r="ED35" s="143">
        <v>0.1368421052631579</v>
      </c>
      <c r="EE35" s="143">
        <v>9.5125099973102326E-2</v>
      </c>
      <c r="EF35" s="143">
        <v>0.19295289510816771</v>
      </c>
      <c r="EG35" s="178" t="str">
        <f t="shared" ref="EG35:EG66" si="15">IF(EE35&gt;$EF$77,"Sig worse than Eng.",(IF(EF35&lt;$EE$77,"Sig better than Eng.","No Sig diff")))</f>
        <v>No Sig diff</v>
      </c>
      <c r="EH35" s="182">
        <v>159</v>
      </c>
      <c r="EI35" s="182">
        <v>18</v>
      </c>
      <c r="EJ35" s="143">
        <v>0.11320754716981132</v>
      </c>
      <c r="EK35" s="143">
        <v>7.2819302607958283E-2</v>
      </c>
      <c r="EL35" s="143">
        <v>0.17184479650554718</v>
      </c>
      <c r="EM35" s="178" t="str">
        <f t="shared" si="8"/>
        <v>Sig better than Eng.</v>
      </c>
      <c r="EN35" s="183">
        <v>164</v>
      </c>
      <c r="EO35" s="183">
        <v>17</v>
      </c>
      <c r="EP35" s="197">
        <v>0.10365853658536585</v>
      </c>
      <c r="EQ35" s="179">
        <v>6.573150818853768E-2</v>
      </c>
      <c r="ER35" s="179">
        <v>0.15972803611344755</v>
      </c>
      <c r="ES35" s="178" t="str">
        <f t="shared" si="9"/>
        <v>Sig better than Eng.</v>
      </c>
      <c r="ET35" s="206">
        <v>150</v>
      </c>
      <c r="EU35" s="206">
        <v>21</v>
      </c>
      <c r="EV35" s="179">
        <v>0.14000000000000001</v>
      </c>
      <c r="EW35" s="179">
        <v>9.3426488185517978E-2</v>
      </c>
      <c r="EX35" s="179">
        <v>0.20455208775949715</v>
      </c>
      <c r="EY35" s="178" t="str">
        <f t="shared" si="10"/>
        <v>No Sig diff</v>
      </c>
      <c r="EZ35" s="207">
        <v>200</v>
      </c>
      <c r="FA35" s="186">
        <v>104</v>
      </c>
      <c r="FB35" s="187">
        <v>0.52</v>
      </c>
      <c r="FC35" s="187">
        <v>0.4510378507281424</v>
      </c>
      <c r="FD35" s="187">
        <v>0.58820833621676694</v>
      </c>
      <c r="FE35" s="208">
        <v>200</v>
      </c>
      <c r="FF35" s="209">
        <v>34</v>
      </c>
      <c r="FG35" s="208">
        <v>40</v>
      </c>
      <c r="FH35" s="209">
        <v>24.45000000000001</v>
      </c>
      <c r="FI35" s="187">
        <f t="shared" si="11"/>
        <v>0.28088235294117619</v>
      </c>
      <c r="FJ35" s="186">
        <v>202</v>
      </c>
      <c r="FK35" s="186">
        <v>134</v>
      </c>
      <c r="FL35" s="187">
        <v>0.6633663366336634</v>
      </c>
      <c r="FM35" s="187">
        <v>0.59568952589790047</v>
      </c>
      <c r="FN35" s="187">
        <v>0.72494558997295899</v>
      </c>
      <c r="FO35" s="198">
        <v>202</v>
      </c>
      <c r="FP35" s="199">
        <v>35</v>
      </c>
      <c r="FQ35" s="198">
        <v>40</v>
      </c>
      <c r="FR35" s="199">
        <v>27.400000000000006</v>
      </c>
      <c r="FS35" s="210">
        <v>0.21714285714285697</v>
      </c>
      <c r="FT35" s="200">
        <v>2703</v>
      </c>
      <c r="FU35" s="200">
        <v>2643</v>
      </c>
      <c r="FV35" s="200">
        <v>60</v>
      </c>
      <c r="FW35" s="200">
        <v>50</v>
      </c>
      <c r="FX35" s="200">
        <v>10</v>
      </c>
      <c r="FY35" s="187">
        <f t="shared" si="4"/>
        <v>0.83333333333333337</v>
      </c>
      <c r="FZ35" s="187">
        <f t="shared" si="5"/>
        <v>0.16666666666666666</v>
      </c>
      <c r="GA35" s="197">
        <v>0.88718554729584154</v>
      </c>
      <c r="GB35" s="197">
        <v>0.11281445270415857</v>
      </c>
      <c r="GC35" s="197">
        <v>7.8935572345810806E-2</v>
      </c>
      <c r="GD35" s="197">
        <v>0.18974640797818437</v>
      </c>
      <c r="GE35" s="197">
        <v>0.92006639194139206</v>
      </c>
      <c r="GF35" s="197">
        <v>7.9933608058608052E-2</v>
      </c>
      <c r="GG35" s="197">
        <v>4.5422997117338167E-2</v>
      </c>
      <c r="GH35" s="197">
        <v>0.13805688382692829</v>
      </c>
      <c r="GI35" s="197">
        <v>0.90631995319495318</v>
      </c>
      <c r="GJ35" s="197">
        <v>9.368004680504681E-2</v>
      </c>
      <c r="GK35" s="197">
        <v>5.6294191320769182E-2</v>
      </c>
      <c r="GL35" s="197">
        <v>0.15558638941674016</v>
      </c>
      <c r="GM35" s="197">
        <v>0.74459946371711061</v>
      </c>
      <c r="GN35" s="197">
        <v>0.25540053628288922</v>
      </c>
      <c r="GO35" s="197">
        <v>0.19125353600433309</v>
      </c>
      <c r="GP35" s="197">
        <v>0.3367839006382683</v>
      </c>
      <c r="GQ35" s="186">
        <v>50</v>
      </c>
      <c r="GR35" s="186">
        <v>50</v>
      </c>
      <c r="GS35" s="178">
        <v>50</v>
      </c>
      <c r="GT35" s="178">
        <v>49</v>
      </c>
      <c r="GU35" s="178">
        <v>50</v>
      </c>
      <c r="GV35" s="178">
        <v>62</v>
      </c>
      <c r="GW35" s="178">
        <v>58</v>
      </c>
      <c r="GX35" s="178">
        <v>56</v>
      </c>
      <c r="GY35" s="178">
        <v>57</v>
      </c>
      <c r="GZ35" s="178">
        <v>57</v>
      </c>
      <c r="HA35" s="178">
        <v>57</v>
      </c>
      <c r="HB35" s="178">
        <v>58</v>
      </c>
      <c r="HC35" s="178">
        <v>59</v>
      </c>
      <c r="HD35" s="178">
        <v>66</v>
      </c>
      <c r="HE35" s="178">
        <v>60</v>
      </c>
      <c r="HF35" s="178">
        <v>59</v>
      </c>
      <c r="HG35" s="178">
        <v>63</v>
      </c>
      <c r="HH35" s="178">
        <v>63</v>
      </c>
      <c r="HI35" s="178">
        <v>63</v>
      </c>
      <c r="HJ35" s="178">
        <v>65</v>
      </c>
      <c r="HK35" s="178">
        <v>64</v>
      </c>
      <c r="HL35" s="178">
        <v>63</v>
      </c>
      <c r="HM35" s="178">
        <v>61</v>
      </c>
      <c r="HN35" s="186">
        <v>12</v>
      </c>
      <c r="HO35" s="187">
        <v>1.1527377521613832E-2</v>
      </c>
      <c r="HP35" s="217">
        <v>1671</v>
      </c>
      <c r="HQ35" s="217">
        <v>1556</v>
      </c>
      <c r="HR35" s="217">
        <v>115</v>
      </c>
      <c r="HS35" s="1704">
        <v>6.8821065230400963E-2</v>
      </c>
    </row>
    <row r="36" spans="1:227" ht="13.8" customHeight="1" x14ac:dyDescent="0.25">
      <c r="A36" s="183" t="s">
        <v>79</v>
      </c>
      <c r="B36" s="183"/>
      <c r="C36" s="183" t="s">
        <v>35</v>
      </c>
      <c r="D36" s="183" t="s">
        <v>679</v>
      </c>
      <c r="E36" s="183" t="s">
        <v>35</v>
      </c>
      <c r="F36" s="183" t="s">
        <v>489</v>
      </c>
      <c r="G36" s="183" t="s">
        <v>460</v>
      </c>
      <c r="H36" s="183" t="s">
        <v>79</v>
      </c>
      <c r="I36" s="183" t="s">
        <v>130</v>
      </c>
      <c r="J36" s="183" t="s">
        <v>704</v>
      </c>
      <c r="K36" s="183" t="s">
        <v>35</v>
      </c>
      <c r="L36" s="184">
        <v>13500</v>
      </c>
      <c r="M36" s="184">
        <v>13545</v>
      </c>
      <c r="N36" s="184">
        <v>13600</v>
      </c>
      <c r="O36" s="184">
        <v>13605</v>
      </c>
      <c r="P36" s="184">
        <v>13840</v>
      </c>
      <c r="Q36" s="184">
        <v>14100</v>
      </c>
      <c r="R36" s="184">
        <v>14275</v>
      </c>
      <c r="S36" s="184">
        <v>14155</v>
      </c>
      <c r="T36" s="184">
        <v>14250</v>
      </c>
      <c r="U36" s="184">
        <v>14385</v>
      </c>
      <c r="V36" s="184">
        <v>635</v>
      </c>
      <c r="W36" s="184">
        <v>670</v>
      </c>
      <c r="X36" s="184">
        <v>670</v>
      </c>
      <c r="Y36" s="184">
        <v>685</v>
      </c>
      <c r="Z36" s="184">
        <v>735</v>
      </c>
      <c r="AA36" s="184">
        <v>745</v>
      </c>
      <c r="AB36" s="184">
        <v>735</v>
      </c>
      <c r="AC36" s="184">
        <v>735</v>
      </c>
      <c r="AD36" s="184">
        <v>780</v>
      </c>
      <c r="AE36" s="184">
        <v>775</v>
      </c>
      <c r="AF36" s="187">
        <v>0.91393442622950816</v>
      </c>
      <c r="AG36" s="187">
        <v>2.185792349726776E-2</v>
      </c>
      <c r="AH36" s="187">
        <v>1.2295081967213115E-2</v>
      </c>
      <c r="AI36" s="187">
        <v>1.092896174863388E-2</v>
      </c>
      <c r="AJ36" s="187">
        <v>3.5519125683060107E-2</v>
      </c>
      <c r="AK36" s="187">
        <v>5.4644808743169399E-3</v>
      </c>
      <c r="AL36" s="187">
        <v>8.6065573770491802E-2</v>
      </c>
      <c r="AM36" s="184">
        <v>1435</v>
      </c>
      <c r="AN36" s="187">
        <v>0.6020905923344948</v>
      </c>
      <c r="AO36" s="187">
        <v>9.1289198606271771E-2</v>
      </c>
      <c r="AP36" s="187">
        <v>0.30662020905923343</v>
      </c>
      <c r="AQ36" s="184">
        <v>129</v>
      </c>
      <c r="AR36" s="184">
        <v>143</v>
      </c>
      <c r="AS36" s="184">
        <v>129</v>
      </c>
      <c r="AT36" s="184">
        <v>106</v>
      </c>
      <c r="AU36" s="184">
        <v>105</v>
      </c>
      <c r="AV36" s="186">
        <v>0</v>
      </c>
      <c r="AW36" s="186">
        <v>5</v>
      </c>
      <c r="AX36" s="186">
        <v>4</v>
      </c>
      <c r="AY36" s="186">
        <v>3</v>
      </c>
      <c r="AZ36" s="186">
        <v>8</v>
      </c>
      <c r="BA36" s="186">
        <v>5</v>
      </c>
      <c r="BB36" s="187">
        <v>4.7619047619047616E-2</v>
      </c>
      <c r="BC36" s="187">
        <v>2.0509165674361975E-2</v>
      </c>
      <c r="BD36" s="187">
        <v>0.10666166583292792</v>
      </c>
      <c r="BE36" s="193">
        <v>10</v>
      </c>
      <c r="BF36" s="184">
        <v>199</v>
      </c>
      <c r="BG36" s="184">
        <v>254</v>
      </c>
      <c r="BH36" s="184">
        <v>95</v>
      </c>
      <c r="BI36" s="184">
        <v>0.13236886877011231</v>
      </c>
      <c r="BJ36" s="184">
        <v>1511</v>
      </c>
      <c r="BK36" s="184">
        <v>2682</v>
      </c>
      <c r="BL36" s="186">
        <v>1519</v>
      </c>
      <c r="BM36" s="186">
        <v>1015</v>
      </c>
      <c r="BN36" s="186">
        <v>1</v>
      </c>
      <c r="BO36" s="186">
        <v>170</v>
      </c>
      <c r="BP36" s="186">
        <v>225</v>
      </c>
      <c r="BQ36" s="186">
        <v>108</v>
      </c>
      <c r="BR36" s="193">
        <v>45</v>
      </c>
      <c r="BS36" s="193">
        <v>40</v>
      </c>
      <c r="BT36" s="193">
        <v>35</v>
      </c>
      <c r="BU36" s="186">
        <v>224</v>
      </c>
      <c r="BV36" s="186">
        <v>53</v>
      </c>
      <c r="BW36" s="222">
        <f t="shared" si="6"/>
        <v>0.23660714285714285</v>
      </c>
      <c r="BX36" s="186">
        <v>25</v>
      </c>
      <c r="BY36" s="193">
        <v>7</v>
      </c>
      <c r="BZ36" s="1676">
        <v>137</v>
      </c>
      <c r="CA36" s="222">
        <v>2.3406799931658978E-2</v>
      </c>
      <c r="CB36" s="200">
        <v>45</v>
      </c>
      <c r="CC36" s="200">
        <v>45</v>
      </c>
      <c r="CD36" s="200">
        <v>75</v>
      </c>
      <c r="CE36" s="200">
        <v>50</v>
      </c>
      <c r="CF36" s="186">
        <v>185</v>
      </c>
      <c r="CG36" s="187">
        <v>8.5222222222222227E-2</v>
      </c>
      <c r="CH36" s="186">
        <v>205</v>
      </c>
      <c r="CI36" s="187">
        <v>7.7888888888888896E-2</v>
      </c>
      <c r="CJ36" s="186">
        <v>175</v>
      </c>
      <c r="CK36" s="187">
        <v>7.8E-2</v>
      </c>
      <c r="CL36" s="186">
        <v>180</v>
      </c>
      <c r="CM36" s="187">
        <v>8.5777777777777786E-2</v>
      </c>
      <c r="CN36" s="186">
        <v>190</v>
      </c>
      <c r="CO36" s="187">
        <v>8.0000000000000016E-2</v>
      </c>
      <c r="CP36" s="186">
        <v>170</v>
      </c>
      <c r="CQ36" s="187">
        <v>7.0981210855949897E-2</v>
      </c>
      <c r="CR36" s="184">
        <v>95</v>
      </c>
      <c r="CS36" s="184">
        <v>2</v>
      </c>
      <c r="CT36" s="184">
        <v>93</v>
      </c>
      <c r="CU36" s="187">
        <v>0.98733776511554294</v>
      </c>
      <c r="CV36" s="186">
        <v>49</v>
      </c>
      <c r="CW36" s="186">
        <v>60</v>
      </c>
      <c r="CX36" s="187">
        <v>0.45890652557319223</v>
      </c>
      <c r="CY36" s="187">
        <v>0.56956993623660279</v>
      </c>
      <c r="CZ36" s="187">
        <v>0.42636839646712893</v>
      </c>
      <c r="DA36" s="187">
        <v>0.62526230769306668</v>
      </c>
      <c r="DB36" s="187">
        <v>0.54393306563242183</v>
      </c>
      <c r="DC36" s="187">
        <v>0.73487273683263454</v>
      </c>
      <c r="DD36" s="182">
        <v>126</v>
      </c>
      <c r="DE36" s="182">
        <v>18</v>
      </c>
      <c r="DF36" s="143">
        <v>0.14285714285714285</v>
      </c>
      <c r="DG36" s="143">
        <v>9.2313796541076673E-2</v>
      </c>
      <c r="DH36" s="143">
        <v>0.21453317808906508</v>
      </c>
      <c r="DI36" s="178" t="str">
        <f t="shared" si="12"/>
        <v>No Sig diff</v>
      </c>
      <c r="DJ36" s="182">
        <v>108</v>
      </c>
      <c r="DK36" s="182">
        <v>6</v>
      </c>
      <c r="DL36" s="143">
        <v>5.5555555555555552E-2</v>
      </c>
      <c r="DM36" s="143">
        <v>2.5707729609183876E-2</v>
      </c>
      <c r="DN36" s="143">
        <v>0.11593436794331127</v>
      </c>
      <c r="DO36" s="178" t="str">
        <f t="shared" si="13"/>
        <v>No Sig diff</v>
      </c>
      <c r="DP36" s="183">
        <v>112</v>
      </c>
      <c r="DQ36" s="183">
        <v>6</v>
      </c>
      <c r="DR36" s="143">
        <v>5.3571428571428568E-2</v>
      </c>
      <c r="DS36" s="143">
        <v>2.4780939016041947E-2</v>
      </c>
      <c r="DT36" s="143">
        <v>0.11197026372230079</v>
      </c>
      <c r="DU36" s="178" t="str">
        <f t="shared" si="7"/>
        <v>No Sig diff</v>
      </c>
      <c r="DV36" s="178">
        <v>138</v>
      </c>
      <c r="DW36" s="178">
        <v>8</v>
      </c>
      <c r="DX36" s="179">
        <v>5.7971014492753624E-2</v>
      </c>
      <c r="DY36" s="179">
        <v>2.9664427433011134E-2</v>
      </c>
      <c r="DZ36" s="179">
        <v>0.11022033535539391</v>
      </c>
      <c r="EA36" s="178" t="str">
        <f t="shared" si="14"/>
        <v>No Sig diff</v>
      </c>
      <c r="EB36" s="182">
        <v>111</v>
      </c>
      <c r="EC36" s="182">
        <v>15</v>
      </c>
      <c r="ED36" s="143">
        <v>0.13513513513513514</v>
      </c>
      <c r="EE36" s="143">
        <v>8.3634396766943495E-2</v>
      </c>
      <c r="EF36" s="143">
        <v>0.21104540936066715</v>
      </c>
      <c r="EG36" s="178" t="str">
        <f t="shared" si="15"/>
        <v>No Sig diff</v>
      </c>
      <c r="EH36" s="182">
        <v>107</v>
      </c>
      <c r="EI36" s="182">
        <v>12</v>
      </c>
      <c r="EJ36" s="143">
        <v>0.11214953271028037</v>
      </c>
      <c r="EK36" s="143">
        <v>6.5328818815477516E-2</v>
      </c>
      <c r="EL36" s="143">
        <v>0.18585389852616863</v>
      </c>
      <c r="EM36" s="178" t="str">
        <f t="shared" si="8"/>
        <v>Sig better than Eng.</v>
      </c>
      <c r="EN36" s="183">
        <v>91</v>
      </c>
      <c r="EO36" s="183">
        <v>13</v>
      </c>
      <c r="EP36" s="197">
        <v>0.14285714285714285</v>
      </c>
      <c r="EQ36" s="179">
        <v>8.542758136548774E-2</v>
      </c>
      <c r="ER36" s="179">
        <v>0.22921813572656949</v>
      </c>
      <c r="ES36" s="178" t="str">
        <f t="shared" si="9"/>
        <v>No Sig diff</v>
      </c>
      <c r="ET36" s="206">
        <v>100</v>
      </c>
      <c r="EU36" s="206">
        <v>8</v>
      </c>
      <c r="EV36" s="179">
        <v>0.08</v>
      </c>
      <c r="EW36" s="179">
        <v>4.109346148438061E-2</v>
      </c>
      <c r="EX36" s="179">
        <v>0.14998107700948732</v>
      </c>
      <c r="EY36" s="178" t="str">
        <f t="shared" si="10"/>
        <v>Sig better than Eng.</v>
      </c>
      <c r="EZ36" s="207">
        <v>154</v>
      </c>
      <c r="FA36" s="186">
        <v>81</v>
      </c>
      <c r="FB36" s="187">
        <v>0.52597402597402598</v>
      </c>
      <c r="FC36" s="187">
        <v>0.44744231332063877</v>
      </c>
      <c r="FD36" s="187">
        <v>0.6032414554418376</v>
      </c>
      <c r="FE36" s="208">
        <v>154</v>
      </c>
      <c r="FF36" s="209">
        <v>34</v>
      </c>
      <c r="FG36" s="208">
        <v>30</v>
      </c>
      <c r="FH36" s="209">
        <v>23.266666666666662</v>
      </c>
      <c r="FI36" s="187">
        <f t="shared" si="11"/>
        <v>0.31568627450980408</v>
      </c>
      <c r="FJ36" s="186">
        <v>153</v>
      </c>
      <c r="FK36" s="186">
        <v>92</v>
      </c>
      <c r="FL36" s="187">
        <v>0.60130718954248363</v>
      </c>
      <c r="FM36" s="187">
        <v>0.52215817780146556</v>
      </c>
      <c r="FN36" s="187">
        <v>0.67549364355426489</v>
      </c>
      <c r="FO36" s="198">
        <v>153</v>
      </c>
      <c r="FP36" s="199">
        <v>34</v>
      </c>
      <c r="FQ36" s="198">
        <v>30</v>
      </c>
      <c r="FR36" s="199">
        <v>23.633333333333333</v>
      </c>
      <c r="FS36" s="210">
        <v>0.30490196078431375</v>
      </c>
      <c r="FT36" s="200">
        <v>2577</v>
      </c>
      <c r="FU36" s="200">
        <v>2448</v>
      </c>
      <c r="FV36" s="200">
        <v>129</v>
      </c>
      <c r="FW36" s="200">
        <v>114</v>
      </c>
      <c r="FX36" s="200">
        <v>15</v>
      </c>
      <c r="FY36" s="187">
        <f t="shared" si="4"/>
        <v>0.88372093023255816</v>
      </c>
      <c r="FZ36" s="187">
        <f t="shared" si="5"/>
        <v>0.11627906976744186</v>
      </c>
      <c r="GA36" s="197">
        <v>0.87962962962962965</v>
      </c>
      <c r="GB36" s="197">
        <v>0.12037037037037036</v>
      </c>
      <c r="GC36" s="197">
        <v>7.3067660241051213E-2</v>
      </c>
      <c r="GD36" s="197">
        <v>0.38517021976637866</v>
      </c>
      <c r="GE36" s="197">
        <v>0.91666666666666663</v>
      </c>
      <c r="GF36" s="197">
        <v>8.3333333333333329E-2</v>
      </c>
      <c r="GG36" s="197">
        <v>4.7489172642362694E-2</v>
      </c>
      <c r="GH36" s="197">
        <v>0.33335411879470006</v>
      </c>
      <c r="GI36" s="197">
        <v>0.87962962962962965</v>
      </c>
      <c r="GJ36" s="197">
        <v>0.12037037037037036</v>
      </c>
      <c r="GK36" s="197">
        <v>7.3067660241051213E-2</v>
      </c>
      <c r="GL36" s="197">
        <v>0.38517021976637866</v>
      </c>
      <c r="GM36" s="197">
        <v>0.74074074074074081</v>
      </c>
      <c r="GN36" s="197">
        <v>0.25925925925925924</v>
      </c>
      <c r="GO36" s="197">
        <v>0.13150582015814438</v>
      </c>
      <c r="GP36" s="197">
        <v>0.48152123699001981</v>
      </c>
      <c r="GQ36" s="186">
        <v>34</v>
      </c>
      <c r="GR36" s="186">
        <v>33</v>
      </c>
      <c r="GS36" s="178">
        <v>33</v>
      </c>
      <c r="GT36" s="178">
        <v>33</v>
      </c>
      <c r="GU36" s="178">
        <v>33</v>
      </c>
      <c r="GV36" s="178">
        <v>29</v>
      </c>
      <c r="GW36" s="178">
        <v>25</v>
      </c>
      <c r="GX36" s="178">
        <v>28</v>
      </c>
      <c r="GY36" s="178">
        <v>25</v>
      </c>
      <c r="GZ36" s="178">
        <v>28</v>
      </c>
      <c r="HA36" s="178">
        <v>28</v>
      </c>
      <c r="HB36" s="178">
        <v>25</v>
      </c>
      <c r="HC36" s="178">
        <v>29</v>
      </c>
      <c r="HD36" s="178">
        <v>41</v>
      </c>
      <c r="HE36" s="178">
        <v>32</v>
      </c>
      <c r="HF36" s="178">
        <v>32</v>
      </c>
      <c r="HG36" s="178">
        <v>31</v>
      </c>
      <c r="HH36" s="178">
        <v>32</v>
      </c>
      <c r="HI36" s="178">
        <v>32</v>
      </c>
      <c r="HJ36" s="178">
        <v>26</v>
      </c>
      <c r="HK36" s="178">
        <v>36</v>
      </c>
      <c r="HL36" s="178">
        <v>32</v>
      </c>
      <c r="HM36" s="178">
        <v>33</v>
      </c>
      <c r="HN36" s="186">
        <v>11</v>
      </c>
      <c r="HO36" s="187">
        <v>1.5027322404371584E-2</v>
      </c>
      <c r="HP36" s="217">
        <v>1117</v>
      </c>
      <c r="HQ36" s="217">
        <v>1045</v>
      </c>
      <c r="HR36" s="217">
        <v>72</v>
      </c>
      <c r="HS36" s="1704">
        <v>6.445837063563116E-2</v>
      </c>
    </row>
    <row r="37" spans="1:227" ht="13.8" customHeight="1" x14ac:dyDescent="0.25">
      <c r="A37" s="183" t="s">
        <v>80</v>
      </c>
      <c r="B37" s="183"/>
      <c r="C37" s="183" t="s">
        <v>33</v>
      </c>
      <c r="D37" s="183" t="s">
        <v>33</v>
      </c>
      <c r="E37" s="183" t="s">
        <v>33</v>
      </c>
      <c r="F37" s="183" t="s">
        <v>33</v>
      </c>
      <c r="G37" s="183" t="s">
        <v>467</v>
      </c>
      <c r="H37" s="183" t="s">
        <v>131</v>
      </c>
      <c r="I37" s="183" t="s">
        <v>132</v>
      </c>
      <c r="J37" s="183" t="s">
        <v>33</v>
      </c>
      <c r="K37" s="183" t="s">
        <v>33</v>
      </c>
      <c r="L37" s="184">
        <v>19675</v>
      </c>
      <c r="M37" s="184">
        <v>19775</v>
      </c>
      <c r="N37" s="184">
        <v>20055</v>
      </c>
      <c r="O37" s="184">
        <v>20095</v>
      </c>
      <c r="P37" s="184">
        <v>19945</v>
      </c>
      <c r="Q37" s="184">
        <v>19970</v>
      </c>
      <c r="R37" s="184">
        <v>19880</v>
      </c>
      <c r="S37" s="184">
        <v>20140</v>
      </c>
      <c r="T37" s="184">
        <v>20365</v>
      </c>
      <c r="U37" s="184">
        <v>20375</v>
      </c>
      <c r="V37" s="184">
        <v>1085</v>
      </c>
      <c r="W37" s="184">
        <v>1070</v>
      </c>
      <c r="X37" s="184">
        <v>1135</v>
      </c>
      <c r="Y37" s="184">
        <v>1175</v>
      </c>
      <c r="Z37" s="184">
        <v>1180</v>
      </c>
      <c r="AA37" s="184">
        <v>1225</v>
      </c>
      <c r="AB37" s="184">
        <v>1275</v>
      </c>
      <c r="AC37" s="184">
        <v>1355</v>
      </c>
      <c r="AD37" s="184">
        <v>1395</v>
      </c>
      <c r="AE37" s="184">
        <v>1385</v>
      </c>
      <c r="AF37" s="187">
        <v>0.6339285714285714</v>
      </c>
      <c r="AG37" s="187">
        <v>7.1428571428571425E-2</v>
      </c>
      <c r="AH37" s="187">
        <v>7.5892857142857137E-2</v>
      </c>
      <c r="AI37" s="187">
        <v>0.16220238095238096</v>
      </c>
      <c r="AJ37" s="187">
        <v>4.1666666666666664E-2</v>
      </c>
      <c r="AK37" s="187">
        <v>1.488095238095238E-2</v>
      </c>
      <c r="AL37" s="187">
        <v>0.36607142857142855</v>
      </c>
      <c r="AM37" s="184">
        <v>2455</v>
      </c>
      <c r="AN37" s="187">
        <v>0.4969450101832994</v>
      </c>
      <c r="AO37" s="187">
        <v>0.33319755600814666</v>
      </c>
      <c r="AP37" s="187">
        <v>0.16985743380855398</v>
      </c>
      <c r="AQ37" s="184">
        <v>253</v>
      </c>
      <c r="AR37" s="184">
        <v>277</v>
      </c>
      <c r="AS37" s="184">
        <v>274</v>
      </c>
      <c r="AT37" s="184">
        <v>292</v>
      </c>
      <c r="AU37" s="184">
        <v>274</v>
      </c>
      <c r="AV37" s="186">
        <v>6</v>
      </c>
      <c r="AW37" s="186">
        <v>17</v>
      </c>
      <c r="AX37" s="186">
        <v>19</v>
      </c>
      <c r="AY37" s="186">
        <v>12</v>
      </c>
      <c r="AZ37" s="186">
        <v>11</v>
      </c>
      <c r="BA37" s="186">
        <v>19</v>
      </c>
      <c r="BB37" s="187">
        <v>6.9343065693430656E-2</v>
      </c>
      <c r="BC37" s="187">
        <v>4.4838959197899111E-2</v>
      </c>
      <c r="BD37" s="187">
        <v>0.10575576845106792</v>
      </c>
      <c r="BE37" s="193">
        <v>30</v>
      </c>
      <c r="BF37" s="184">
        <v>447</v>
      </c>
      <c r="BG37" s="184">
        <v>385</v>
      </c>
      <c r="BH37" s="184">
        <v>216</v>
      </c>
      <c r="BI37" s="184">
        <v>0.15552949746409514</v>
      </c>
      <c r="BJ37" s="184">
        <v>2399</v>
      </c>
      <c r="BK37" s="184">
        <v>4278</v>
      </c>
      <c r="BL37" s="186">
        <v>2497</v>
      </c>
      <c r="BM37" s="186">
        <v>1229</v>
      </c>
      <c r="BN37" s="186">
        <v>1</v>
      </c>
      <c r="BO37" s="186">
        <v>327</v>
      </c>
      <c r="BP37" s="186">
        <v>652</v>
      </c>
      <c r="BQ37" s="186">
        <v>288</v>
      </c>
      <c r="BR37" s="193">
        <v>210</v>
      </c>
      <c r="BS37" s="193">
        <v>210</v>
      </c>
      <c r="BT37" s="193">
        <v>165</v>
      </c>
      <c r="BU37" s="186">
        <v>588</v>
      </c>
      <c r="BV37" s="186">
        <v>253</v>
      </c>
      <c r="BW37" s="222">
        <f t="shared" si="6"/>
        <v>0.43027210884353739</v>
      </c>
      <c r="BX37" s="186">
        <v>46</v>
      </c>
      <c r="BY37" s="193">
        <v>4</v>
      </c>
      <c r="BZ37" s="1676">
        <v>428</v>
      </c>
      <c r="CA37" s="222">
        <v>5.1460863292052419E-2</v>
      </c>
      <c r="CB37" s="200">
        <v>300</v>
      </c>
      <c r="CC37" s="200">
        <v>285</v>
      </c>
      <c r="CD37" s="200">
        <v>265</v>
      </c>
      <c r="CE37" s="200">
        <v>265</v>
      </c>
      <c r="CF37" s="186">
        <v>735</v>
      </c>
      <c r="CG37" s="187">
        <v>0.16492307692307692</v>
      </c>
      <c r="CH37" s="186">
        <v>690</v>
      </c>
      <c r="CI37" s="187">
        <v>0.16269230769230766</v>
      </c>
      <c r="CJ37" s="186">
        <v>715</v>
      </c>
      <c r="CK37" s="187">
        <v>0.18615384615384611</v>
      </c>
      <c r="CL37" s="186">
        <v>590</v>
      </c>
      <c r="CM37" s="187">
        <v>0.17861538461538462</v>
      </c>
      <c r="CN37" s="186">
        <v>575</v>
      </c>
      <c r="CO37" s="187">
        <v>0.18884615384615386</v>
      </c>
      <c r="CP37" s="186">
        <v>665</v>
      </c>
      <c r="CQ37" s="187">
        <v>0.17007672634271101</v>
      </c>
      <c r="CR37" s="184">
        <v>280</v>
      </c>
      <c r="CS37" s="184">
        <v>10</v>
      </c>
      <c r="CT37" s="184">
        <v>270</v>
      </c>
      <c r="CU37" s="187">
        <v>0.97171594722401788</v>
      </c>
      <c r="CV37" s="186">
        <v>102</v>
      </c>
      <c r="CW37" s="186">
        <v>153</v>
      </c>
      <c r="CX37" s="187">
        <v>0.38011153374425688</v>
      </c>
      <c r="CY37" s="187">
        <v>0.55492143481273926</v>
      </c>
      <c r="CZ37" s="187">
        <v>0.3220422730435234</v>
      </c>
      <c r="DA37" s="187">
        <v>0.4369424831074778</v>
      </c>
      <c r="DB37" s="187">
        <v>0.50703166405729405</v>
      </c>
      <c r="DC37" s="187">
        <v>0.62443119622397802</v>
      </c>
      <c r="DD37" s="182">
        <v>179</v>
      </c>
      <c r="DE37" s="182">
        <v>16</v>
      </c>
      <c r="DF37" s="143">
        <v>8.9385474860335198E-2</v>
      </c>
      <c r="DG37" s="143">
        <v>5.5768700800059426E-2</v>
      </c>
      <c r="DH37" s="143">
        <v>0.14025609057858804</v>
      </c>
      <c r="DI37" s="178" t="str">
        <f t="shared" si="12"/>
        <v>No Sig diff</v>
      </c>
      <c r="DJ37" s="182">
        <v>208</v>
      </c>
      <c r="DK37" s="182">
        <v>21</v>
      </c>
      <c r="DL37" s="143">
        <v>0.10096153846153846</v>
      </c>
      <c r="DM37" s="143">
        <v>6.6986875276411589E-2</v>
      </c>
      <c r="DN37" s="143">
        <v>0.14940824905803252</v>
      </c>
      <c r="DO37" s="178" t="str">
        <f t="shared" si="13"/>
        <v>No Sig diff</v>
      </c>
      <c r="DP37" s="183">
        <v>165</v>
      </c>
      <c r="DQ37" s="183">
        <v>17</v>
      </c>
      <c r="DR37" s="143">
        <v>0.10303030303030303</v>
      </c>
      <c r="DS37" s="143">
        <v>6.5326799711821093E-2</v>
      </c>
      <c r="DT37" s="143">
        <v>0.15879741175262088</v>
      </c>
      <c r="DU37" s="178" t="str">
        <f t="shared" si="7"/>
        <v>No Sig diff</v>
      </c>
      <c r="DV37" s="178">
        <v>218</v>
      </c>
      <c r="DW37" s="178">
        <v>19</v>
      </c>
      <c r="DX37" s="179">
        <v>8.7155963302752298E-2</v>
      </c>
      <c r="DY37" s="179">
        <v>5.6505621010586905E-2</v>
      </c>
      <c r="DZ37" s="179">
        <v>0.13210411426217361</v>
      </c>
      <c r="EA37" s="178" t="str">
        <f t="shared" si="14"/>
        <v>No Sig diff</v>
      </c>
      <c r="EB37" s="182">
        <v>171</v>
      </c>
      <c r="EC37" s="182">
        <v>37</v>
      </c>
      <c r="ED37" s="143">
        <v>0.21637426900584794</v>
      </c>
      <c r="EE37" s="143">
        <v>0.16125297547340778</v>
      </c>
      <c r="EF37" s="143">
        <v>0.283958699982373</v>
      </c>
      <c r="EG37" s="178" t="str">
        <f t="shared" si="15"/>
        <v>No Sig diff</v>
      </c>
      <c r="EH37" s="182">
        <v>190</v>
      </c>
      <c r="EI37" s="182">
        <v>32</v>
      </c>
      <c r="EJ37" s="143">
        <v>0.16842105263157894</v>
      </c>
      <c r="EK37" s="143">
        <v>0.12190040489443893</v>
      </c>
      <c r="EL37" s="143">
        <v>0.22808385148411195</v>
      </c>
      <c r="EM37" s="178" t="str">
        <f t="shared" si="8"/>
        <v>No Sig diff</v>
      </c>
      <c r="EN37" s="183">
        <v>189</v>
      </c>
      <c r="EO37" s="183">
        <v>33</v>
      </c>
      <c r="EP37" s="197">
        <v>0.17460317460317459</v>
      </c>
      <c r="EQ37" s="179">
        <v>0.12711418630815544</v>
      </c>
      <c r="ER37" s="179">
        <v>0.23505616465166279</v>
      </c>
      <c r="ES37" s="178" t="str">
        <f t="shared" si="9"/>
        <v>No Sig diff</v>
      </c>
      <c r="ET37" s="206">
        <v>189</v>
      </c>
      <c r="EU37" s="206">
        <v>40</v>
      </c>
      <c r="EV37" s="179">
        <v>0.21164021164021163</v>
      </c>
      <c r="EW37" s="179">
        <v>0.15944764778291518</v>
      </c>
      <c r="EX37" s="179">
        <v>0.27532119981562292</v>
      </c>
      <c r="EY37" s="178" t="str">
        <f t="shared" si="10"/>
        <v>No Sig diff</v>
      </c>
      <c r="EZ37" s="207">
        <v>254</v>
      </c>
      <c r="FA37" s="186">
        <v>120</v>
      </c>
      <c r="FB37" s="187">
        <v>0.47244094488188976</v>
      </c>
      <c r="FC37" s="187">
        <v>0.41191315776587761</v>
      </c>
      <c r="FD37" s="187">
        <v>0.53378991084057259</v>
      </c>
      <c r="FE37" s="208">
        <v>254</v>
      </c>
      <c r="FF37" s="209">
        <v>33</v>
      </c>
      <c r="FG37" s="208">
        <v>50</v>
      </c>
      <c r="FH37" s="209">
        <v>21.019999999999996</v>
      </c>
      <c r="FI37" s="187">
        <f t="shared" si="11"/>
        <v>0.36303030303030315</v>
      </c>
      <c r="FJ37" s="186">
        <v>261</v>
      </c>
      <c r="FK37" s="186">
        <v>134</v>
      </c>
      <c r="FL37" s="187">
        <v>0.51340996168582376</v>
      </c>
      <c r="FM37" s="187">
        <v>0.45301896964169136</v>
      </c>
      <c r="FN37" s="187">
        <v>0.57341193747976205</v>
      </c>
      <c r="FO37" s="198">
        <v>261</v>
      </c>
      <c r="FP37" s="199">
        <v>34</v>
      </c>
      <c r="FQ37" s="198">
        <v>52</v>
      </c>
      <c r="FR37" s="199">
        <v>21.84615384615384</v>
      </c>
      <c r="FS37" s="210">
        <v>0.35746606334841646</v>
      </c>
      <c r="FT37" s="200">
        <v>2479</v>
      </c>
      <c r="FU37" s="200">
        <v>2437</v>
      </c>
      <c r="FV37" s="200">
        <v>42</v>
      </c>
      <c r="FW37" s="200">
        <v>38</v>
      </c>
      <c r="FX37" s="200">
        <v>4</v>
      </c>
      <c r="FY37" s="187">
        <f t="shared" si="4"/>
        <v>0.90476190476190477</v>
      </c>
      <c r="FZ37" s="187">
        <f t="shared" si="5"/>
        <v>9.5238095238095233E-2</v>
      </c>
      <c r="GA37" s="197">
        <v>0.9010472433549358</v>
      </c>
      <c r="GB37" s="197">
        <v>9.8952756645064338E-2</v>
      </c>
      <c r="GC37" s="197">
        <v>5.4924788135547763E-2</v>
      </c>
      <c r="GD37" s="197">
        <v>0.14680656785678886</v>
      </c>
      <c r="GE37" s="197">
        <v>0.92725806956576196</v>
      </c>
      <c r="GF37" s="197">
        <v>7.2741930434238128E-2</v>
      </c>
      <c r="GG37" s="197">
        <v>3.5650162878397382E-2</v>
      </c>
      <c r="GH37" s="197">
        <v>0.11539746968488125</v>
      </c>
      <c r="GI37" s="197">
        <v>0.88393757239911097</v>
      </c>
      <c r="GJ37" s="197">
        <v>0.11606242760088913</v>
      </c>
      <c r="GK37" s="197">
        <v>6.5399908149707864E-2</v>
      </c>
      <c r="GL37" s="197">
        <v>0.16312109648171647</v>
      </c>
      <c r="GM37" s="197">
        <v>0.78786982248520698</v>
      </c>
      <c r="GN37" s="197">
        <v>0.21213017751479291</v>
      </c>
      <c r="GO37" s="197">
        <v>0.16251159892911632</v>
      </c>
      <c r="GP37" s="197">
        <v>0.2926383742085103</v>
      </c>
      <c r="GQ37" s="186">
        <v>80</v>
      </c>
      <c r="GR37" s="186">
        <v>77</v>
      </c>
      <c r="GS37" s="178">
        <v>77</v>
      </c>
      <c r="GT37" s="178">
        <v>79</v>
      </c>
      <c r="GU37" s="178">
        <v>78</v>
      </c>
      <c r="GV37" s="178">
        <v>75</v>
      </c>
      <c r="GW37" s="178">
        <v>73</v>
      </c>
      <c r="GX37" s="178">
        <v>72</v>
      </c>
      <c r="GY37" s="178">
        <v>73</v>
      </c>
      <c r="GZ37" s="178">
        <v>72</v>
      </c>
      <c r="HA37" s="178">
        <v>73</v>
      </c>
      <c r="HB37" s="178">
        <v>74</v>
      </c>
      <c r="HC37" s="178">
        <v>73</v>
      </c>
      <c r="HD37" s="178">
        <v>78</v>
      </c>
      <c r="HE37" s="178">
        <v>71</v>
      </c>
      <c r="HF37" s="178">
        <v>71</v>
      </c>
      <c r="HG37" s="178">
        <v>69</v>
      </c>
      <c r="HH37" s="178">
        <v>71</v>
      </c>
      <c r="HI37" s="178">
        <v>73</v>
      </c>
      <c r="HJ37" s="178">
        <v>70</v>
      </c>
      <c r="HK37" s="178">
        <v>74</v>
      </c>
      <c r="HL37" s="178">
        <v>72</v>
      </c>
      <c r="HM37" s="178">
        <v>72</v>
      </c>
      <c r="HN37" s="186">
        <v>31</v>
      </c>
      <c r="HO37" s="187">
        <v>2.3082650781831721E-2</v>
      </c>
      <c r="HP37" s="217">
        <v>2126</v>
      </c>
      <c r="HQ37" s="217">
        <v>1832</v>
      </c>
      <c r="HR37" s="217">
        <v>294</v>
      </c>
      <c r="HS37" s="1704">
        <v>0.13828786453433678</v>
      </c>
    </row>
    <row r="38" spans="1:227" ht="13.8" customHeight="1" x14ac:dyDescent="0.25">
      <c r="A38" s="183" t="s">
        <v>81</v>
      </c>
      <c r="B38" s="183"/>
      <c r="C38" s="183" t="s">
        <v>101</v>
      </c>
      <c r="D38" s="183" t="s">
        <v>680</v>
      </c>
      <c r="E38" s="183" t="s">
        <v>101</v>
      </c>
      <c r="F38" s="183" t="s">
        <v>101</v>
      </c>
      <c r="G38" s="183" t="s">
        <v>81</v>
      </c>
      <c r="H38" s="183" t="s">
        <v>175</v>
      </c>
      <c r="I38" s="183" t="s">
        <v>144</v>
      </c>
      <c r="J38" s="183" t="s">
        <v>703</v>
      </c>
      <c r="K38" s="183" t="s">
        <v>101</v>
      </c>
      <c r="L38" s="184">
        <v>10025</v>
      </c>
      <c r="M38" s="184">
        <v>10140</v>
      </c>
      <c r="N38" s="184">
        <v>10345</v>
      </c>
      <c r="O38" s="184">
        <v>10460</v>
      </c>
      <c r="P38" s="184">
        <v>10555</v>
      </c>
      <c r="Q38" s="184">
        <v>10600</v>
      </c>
      <c r="R38" s="184">
        <v>10635</v>
      </c>
      <c r="S38" s="184">
        <v>10750</v>
      </c>
      <c r="T38" s="184">
        <v>10925</v>
      </c>
      <c r="U38" s="184">
        <v>10975</v>
      </c>
      <c r="V38" s="184">
        <v>695</v>
      </c>
      <c r="W38" s="184">
        <v>630</v>
      </c>
      <c r="X38" s="184">
        <v>645</v>
      </c>
      <c r="Y38" s="184">
        <v>645</v>
      </c>
      <c r="Z38" s="184">
        <v>635</v>
      </c>
      <c r="AA38" s="184">
        <v>635</v>
      </c>
      <c r="AB38" s="184">
        <v>620</v>
      </c>
      <c r="AC38" s="184">
        <v>635</v>
      </c>
      <c r="AD38" s="184">
        <v>605</v>
      </c>
      <c r="AE38" s="184">
        <v>570</v>
      </c>
      <c r="AF38" s="187">
        <v>0.91379310344827591</v>
      </c>
      <c r="AG38" s="187">
        <v>1.7241379310344827E-2</v>
      </c>
      <c r="AH38" s="187">
        <v>4.2319749216300939E-2</v>
      </c>
      <c r="AI38" s="187">
        <v>2.037617554858934E-2</v>
      </c>
      <c r="AJ38" s="187">
        <v>4.7021943573667714E-3</v>
      </c>
      <c r="AK38" s="187">
        <v>1.567398119122257E-3</v>
      </c>
      <c r="AL38" s="187">
        <v>8.6206896551724144E-2</v>
      </c>
      <c r="AM38" s="184">
        <v>1330</v>
      </c>
      <c r="AN38" s="187">
        <v>0.78270676691729324</v>
      </c>
      <c r="AO38" s="187">
        <v>9.2481203007518803E-2</v>
      </c>
      <c r="AP38" s="187">
        <v>0.12481203007518797</v>
      </c>
      <c r="AQ38" s="184">
        <v>123</v>
      </c>
      <c r="AR38" s="184">
        <v>104</v>
      </c>
      <c r="AS38" s="184">
        <v>126</v>
      </c>
      <c r="AT38" s="184">
        <v>91</v>
      </c>
      <c r="AU38" s="184">
        <v>78</v>
      </c>
      <c r="AV38" s="186">
        <v>5</v>
      </c>
      <c r="AW38" s="186">
        <v>3</v>
      </c>
      <c r="AX38" s="186">
        <v>2</v>
      </c>
      <c r="AY38" s="186">
        <v>1</v>
      </c>
      <c r="AZ38" s="186">
        <v>0</v>
      </c>
      <c r="BA38" s="186">
        <v>4</v>
      </c>
      <c r="BB38" s="187">
        <v>5.128205128205128E-2</v>
      </c>
      <c r="BC38" s="187">
        <v>2.0121012473896145E-2</v>
      </c>
      <c r="BD38" s="187">
        <v>0.12456676547294485</v>
      </c>
      <c r="BE38" s="193">
        <v>3</v>
      </c>
      <c r="BF38" s="184">
        <v>166</v>
      </c>
      <c r="BG38" s="184">
        <v>218</v>
      </c>
      <c r="BH38" s="184">
        <v>106</v>
      </c>
      <c r="BI38" s="184">
        <v>0.14678649905805458</v>
      </c>
      <c r="BJ38" s="184">
        <v>1433</v>
      </c>
      <c r="BK38" s="184">
        <v>2576</v>
      </c>
      <c r="BL38" s="186">
        <v>1414</v>
      </c>
      <c r="BM38" s="186">
        <v>1047</v>
      </c>
      <c r="BN38" s="186">
        <v>0</v>
      </c>
      <c r="BO38" s="186">
        <v>134</v>
      </c>
      <c r="BP38" s="186">
        <v>144</v>
      </c>
      <c r="BQ38" s="186">
        <v>89</v>
      </c>
      <c r="BR38" s="193">
        <v>50</v>
      </c>
      <c r="BS38" s="193">
        <v>25</v>
      </c>
      <c r="BT38" s="193">
        <v>20</v>
      </c>
      <c r="BU38" s="186">
        <v>183</v>
      </c>
      <c r="BV38" s="186">
        <v>42</v>
      </c>
      <c r="BW38" s="222">
        <f t="shared" si="6"/>
        <v>0.22950819672131148</v>
      </c>
      <c r="BX38" s="186">
        <v>23</v>
      </c>
      <c r="BY38" s="193">
        <v>10</v>
      </c>
      <c r="BZ38" s="1676">
        <v>63</v>
      </c>
      <c r="CA38" s="222">
        <v>1.6406250000000001E-2</v>
      </c>
      <c r="CB38" s="200">
        <v>40</v>
      </c>
      <c r="CC38" s="200">
        <v>60</v>
      </c>
      <c r="CD38" s="200">
        <v>40</v>
      </c>
      <c r="CE38" s="200">
        <v>35</v>
      </c>
      <c r="CF38" s="186">
        <v>130</v>
      </c>
      <c r="CG38" s="187">
        <v>6.6285714285714281E-2</v>
      </c>
      <c r="CH38" s="186">
        <v>140</v>
      </c>
      <c r="CI38" s="187">
        <v>7.1714285714285717E-2</v>
      </c>
      <c r="CJ38" s="186">
        <v>160</v>
      </c>
      <c r="CK38" s="187">
        <v>7.5428571428571428E-2</v>
      </c>
      <c r="CL38" s="186">
        <v>155</v>
      </c>
      <c r="CM38" s="187">
        <v>6.8285714285714297E-2</v>
      </c>
      <c r="CN38" s="186">
        <v>155</v>
      </c>
      <c r="CO38" s="187">
        <v>6.0285714285714283E-2</v>
      </c>
      <c r="CP38" s="186">
        <v>115</v>
      </c>
      <c r="CQ38" s="187">
        <v>5.4245283018867926E-2</v>
      </c>
      <c r="CR38" s="184">
        <v>89</v>
      </c>
      <c r="CS38" s="184">
        <v>2</v>
      </c>
      <c r="CT38" s="184">
        <v>87</v>
      </c>
      <c r="CU38" s="187">
        <v>0.97922077922077932</v>
      </c>
      <c r="CV38" s="186">
        <v>39</v>
      </c>
      <c r="CW38" s="186">
        <v>54</v>
      </c>
      <c r="CX38" s="187">
        <v>0.46383656026513165</v>
      </c>
      <c r="CY38" s="187">
        <v>0.62045177045177058</v>
      </c>
      <c r="CZ38" s="187">
        <v>0.34817004727070094</v>
      </c>
      <c r="DA38" s="187">
        <v>0.55275640052414199</v>
      </c>
      <c r="DB38" s="187">
        <v>0.51567426573095965</v>
      </c>
      <c r="DC38" s="187">
        <v>0.71549735608107345</v>
      </c>
      <c r="DD38" s="182">
        <v>118</v>
      </c>
      <c r="DE38" s="182">
        <v>11</v>
      </c>
      <c r="DF38" s="143">
        <v>9.3220338983050849E-2</v>
      </c>
      <c r="DG38" s="143">
        <v>5.2851600772239334E-2</v>
      </c>
      <c r="DH38" s="143">
        <v>0.15923925131385774</v>
      </c>
      <c r="DI38" s="178" t="str">
        <f t="shared" si="12"/>
        <v>No Sig diff</v>
      </c>
      <c r="DJ38" s="182">
        <v>116</v>
      </c>
      <c r="DK38" s="182">
        <v>11</v>
      </c>
      <c r="DL38" s="143">
        <v>9.4827586206896547E-2</v>
      </c>
      <c r="DM38" s="143">
        <v>5.3777363581140956E-2</v>
      </c>
      <c r="DN38" s="143">
        <v>0.16185301237546282</v>
      </c>
      <c r="DO38" s="178" t="str">
        <f t="shared" si="13"/>
        <v>No Sig diff</v>
      </c>
      <c r="DP38" s="183">
        <v>87</v>
      </c>
      <c r="DQ38" s="183">
        <v>9</v>
      </c>
      <c r="DR38" s="143">
        <v>0.10344827586206896</v>
      </c>
      <c r="DS38" s="143">
        <v>5.5385110337884548E-2</v>
      </c>
      <c r="DT38" s="143">
        <v>0.18504980896262463</v>
      </c>
      <c r="DU38" s="178" t="str">
        <f t="shared" si="7"/>
        <v>No Sig diff</v>
      </c>
      <c r="DV38" s="178">
        <v>110</v>
      </c>
      <c r="DW38" s="178">
        <v>3</v>
      </c>
      <c r="DX38" s="179">
        <v>2.7272727272727271E-2</v>
      </c>
      <c r="DY38" s="179">
        <v>9.3179698578722808E-3</v>
      </c>
      <c r="DZ38" s="179">
        <v>7.7130841696755659E-2</v>
      </c>
      <c r="EA38" s="178" t="str">
        <f t="shared" si="14"/>
        <v>Sig better than Eng.</v>
      </c>
      <c r="EB38" s="182">
        <v>116</v>
      </c>
      <c r="EC38" s="182">
        <v>15</v>
      </c>
      <c r="ED38" s="143">
        <v>0.12931034482758622</v>
      </c>
      <c r="EE38" s="143">
        <v>7.995391352718767E-2</v>
      </c>
      <c r="EF38" s="143">
        <v>0.20243132405013073</v>
      </c>
      <c r="EG38" s="178" t="str">
        <f t="shared" si="15"/>
        <v>No Sig diff</v>
      </c>
      <c r="EH38" s="182">
        <v>123</v>
      </c>
      <c r="EI38" s="182">
        <v>14</v>
      </c>
      <c r="EJ38" s="143">
        <v>0.11382113821138211</v>
      </c>
      <c r="EK38" s="143">
        <v>6.9022844406854716E-2</v>
      </c>
      <c r="EL38" s="143">
        <v>0.18201068293301853</v>
      </c>
      <c r="EM38" s="178" t="str">
        <f t="shared" si="8"/>
        <v>Sig better than Eng.</v>
      </c>
      <c r="EN38" s="183">
        <v>107</v>
      </c>
      <c r="EO38" s="183">
        <v>13</v>
      </c>
      <c r="EP38" s="197">
        <v>0.12149532710280374</v>
      </c>
      <c r="EQ38" s="179">
        <v>7.2394341667617434E-2</v>
      </c>
      <c r="ER38" s="179">
        <v>0.19683216561760347</v>
      </c>
      <c r="ES38" s="178" t="str">
        <f t="shared" si="9"/>
        <v>No Sig diff</v>
      </c>
      <c r="ET38" s="206">
        <v>126</v>
      </c>
      <c r="EU38" s="206">
        <v>21</v>
      </c>
      <c r="EV38" s="179">
        <v>0.16666666666666666</v>
      </c>
      <c r="EW38" s="179">
        <v>0.11167188880425907</v>
      </c>
      <c r="EX38" s="179">
        <v>0.2413852875172065</v>
      </c>
      <c r="EY38" s="178" t="str">
        <f t="shared" si="10"/>
        <v>No Sig diff</v>
      </c>
      <c r="EZ38" s="207">
        <v>134</v>
      </c>
      <c r="FA38" s="186">
        <v>89</v>
      </c>
      <c r="FB38" s="187">
        <v>0.66417910447761197</v>
      </c>
      <c r="FC38" s="187">
        <v>0.58062954335825934</v>
      </c>
      <c r="FD38" s="187">
        <v>0.73857775738016174</v>
      </c>
      <c r="FE38" s="208">
        <v>134</v>
      </c>
      <c r="FF38" s="209">
        <v>34</v>
      </c>
      <c r="FG38" s="208">
        <v>26</v>
      </c>
      <c r="FH38" s="209">
        <v>27.038461538461537</v>
      </c>
      <c r="FI38" s="187">
        <f t="shared" si="11"/>
        <v>0.20475113122171951</v>
      </c>
      <c r="FJ38" s="186">
        <v>135</v>
      </c>
      <c r="FK38" s="186">
        <v>97</v>
      </c>
      <c r="FL38" s="187">
        <v>0.71851851851851856</v>
      </c>
      <c r="FM38" s="187">
        <v>0.63742332520504075</v>
      </c>
      <c r="FN38" s="187">
        <v>0.78752179206137429</v>
      </c>
      <c r="FO38" s="198">
        <v>135</v>
      </c>
      <c r="FP38" s="199">
        <v>35</v>
      </c>
      <c r="FQ38" s="198">
        <v>27</v>
      </c>
      <c r="FR38" s="199">
        <v>25.407407407407412</v>
      </c>
      <c r="FS38" s="210">
        <v>0.27407407407407397</v>
      </c>
      <c r="FT38" s="200">
        <v>2308</v>
      </c>
      <c r="FU38" s="200">
        <v>2278</v>
      </c>
      <c r="FV38" s="200">
        <v>30</v>
      </c>
      <c r="FW38" s="200">
        <v>29</v>
      </c>
      <c r="FX38" s="200">
        <v>1</v>
      </c>
      <c r="FY38" s="187">
        <f t="shared" si="4"/>
        <v>0.96666666666666667</v>
      </c>
      <c r="FZ38" s="187">
        <f t="shared" si="5"/>
        <v>3.3333333333333333E-2</v>
      </c>
      <c r="GA38" s="197">
        <v>0.9821428571428571</v>
      </c>
      <c r="GB38" s="197">
        <v>1.7857142857142856E-2</v>
      </c>
      <c r="GC38" s="197">
        <v>3.4696032534422437E-3</v>
      </c>
      <c r="GD38" s="197">
        <v>0.10304807675589374</v>
      </c>
      <c r="GE38" s="197">
        <v>0.96785714285714286</v>
      </c>
      <c r="GF38" s="197">
        <v>3.2142857142857147E-2</v>
      </c>
      <c r="GG38" s="197">
        <v>1.0820856268751204E-2</v>
      </c>
      <c r="GH38" s="197">
        <v>0.1321654898626527</v>
      </c>
      <c r="GI38" s="197">
        <v>0.9821428571428571</v>
      </c>
      <c r="GJ38" s="197">
        <v>1.7857142857142856E-2</v>
      </c>
      <c r="GK38" s="197">
        <v>3.4696032534422437E-3</v>
      </c>
      <c r="GL38" s="197">
        <v>0.10304807675589374</v>
      </c>
      <c r="GM38" s="197">
        <v>0.94387755102040816</v>
      </c>
      <c r="GN38" s="197">
        <v>5.6122448979591837E-2</v>
      </c>
      <c r="GO38" s="197">
        <v>2.0206272864052088E-2</v>
      </c>
      <c r="GP38" s="197">
        <v>0.15924873938941972</v>
      </c>
      <c r="GQ38" s="186">
        <v>29</v>
      </c>
      <c r="GR38" s="186">
        <v>28</v>
      </c>
      <c r="GS38" s="178">
        <v>28</v>
      </c>
      <c r="GT38" s="178">
        <v>28</v>
      </c>
      <c r="GU38" s="178">
        <v>28</v>
      </c>
      <c r="GV38" s="178">
        <v>31</v>
      </c>
      <c r="GW38" s="178">
        <v>31</v>
      </c>
      <c r="GX38" s="178">
        <v>30</v>
      </c>
      <c r="GY38" s="178">
        <v>30</v>
      </c>
      <c r="GZ38" s="178">
        <v>30</v>
      </c>
      <c r="HA38" s="178">
        <v>31</v>
      </c>
      <c r="HB38" s="178">
        <v>30</v>
      </c>
      <c r="HC38" s="178">
        <v>31</v>
      </c>
      <c r="HD38" s="178">
        <v>30</v>
      </c>
      <c r="HE38" s="178">
        <v>28</v>
      </c>
      <c r="HF38" s="178">
        <v>29</v>
      </c>
      <c r="HG38" s="178">
        <v>27</v>
      </c>
      <c r="HH38" s="178">
        <v>28</v>
      </c>
      <c r="HI38" s="178">
        <v>29</v>
      </c>
      <c r="HJ38" s="178">
        <v>26</v>
      </c>
      <c r="HK38" s="178">
        <v>27</v>
      </c>
      <c r="HL38" s="178">
        <v>29</v>
      </c>
      <c r="HM38" s="178">
        <v>29</v>
      </c>
      <c r="HN38" s="186">
        <v>12</v>
      </c>
      <c r="HO38" s="187">
        <v>1.889763779527559E-2</v>
      </c>
      <c r="HP38" s="217">
        <v>1003</v>
      </c>
      <c r="HQ38" s="217">
        <v>964</v>
      </c>
      <c r="HR38" s="217">
        <v>39</v>
      </c>
      <c r="HS38" s="1704">
        <v>3.8883349950149554E-2</v>
      </c>
    </row>
    <row r="39" spans="1:227" ht="13.8" customHeight="1" x14ac:dyDescent="0.25">
      <c r="A39" s="183" t="s">
        <v>438</v>
      </c>
      <c r="B39" s="183"/>
      <c r="C39" s="183" t="s">
        <v>34</v>
      </c>
      <c r="D39" s="183" t="s">
        <v>675</v>
      </c>
      <c r="E39" s="183" t="s">
        <v>34</v>
      </c>
      <c r="F39" s="183" t="s">
        <v>34</v>
      </c>
      <c r="G39" s="183" t="s">
        <v>448</v>
      </c>
      <c r="H39" s="183" t="s">
        <v>168</v>
      </c>
      <c r="I39" s="183" t="s">
        <v>127</v>
      </c>
      <c r="J39" s="183" t="s">
        <v>704</v>
      </c>
      <c r="K39" s="183" t="s">
        <v>133</v>
      </c>
      <c r="L39" s="184">
        <v>13130</v>
      </c>
      <c r="M39" s="184">
        <v>13040</v>
      </c>
      <c r="N39" s="184">
        <v>13085</v>
      </c>
      <c r="O39" s="184">
        <v>13055</v>
      </c>
      <c r="P39" s="184">
        <v>13065</v>
      </c>
      <c r="Q39" s="184">
        <v>13160</v>
      </c>
      <c r="R39" s="184">
        <v>13195</v>
      </c>
      <c r="S39" s="184">
        <v>13265</v>
      </c>
      <c r="T39" s="184">
        <v>13280</v>
      </c>
      <c r="U39" s="184">
        <v>13390</v>
      </c>
      <c r="V39" s="184">
        <v>700</v>
      </c>
      <c r="W39" s="184">
        <v>680</v>
      </c>
      <c r="X39" s="184">
        <v>705</v>
      </c>
      <c r="Y39" s="184">
        <v>710</v>
      </c>
      <c r="Z39" s="184">
        <v>735</v>
      </c>
      <c r="AA39" s="184">
        <v>775</v>
      </c>
      <c r="AB39" s="184">
        <v>775</v>
      </c>
      <c r="AC39" s="184">
        <v>805</v>
      </c>
      <c r="AD39" s="184">
        <v>825</v>
      </c>
      <c r="AE39" s="184">
        <v>830</v>
      </c>
      <c r="AF39" s="187">
        <v>0.88930348258706471</v>
      </c>
      <c r="AG39" s="187">
        <v>1.8656716417910446E-2</v>
      </c>
      <c r="AH39" s="187">
        <v>3.3582089552238806E-2</v>
      </c>
      <c r="AI39" s="187">
        <v>3.109452736318408E-2</v>
      </c>
      <c r="AJ39" s="187">
        <v>7.462686567164179E-3</v>
      </c>
      <c r="AK39" s="187">
        <v>1.9900497512437811E-2</v>
      </c>
      <c r="AL39" s="187">
        <v>0.11069651741293532</v>
      </c>
      <c r="AM39" s="184">
        <v>1550</v>
      </c>
      <c r="AN39" s="187">
        <v>0.59199483537766295</v>
      </c>
      <c r="AO39" s="187">
        <v>0.20787604906391219</v>
      </c>
      <c r="AP39" s="187">
        <v>0.2001291155584248</v>
      </c>
      <c r="AQ39" s="184">
        <v>109</v>
      </c>
      <c r="AR39" s="184">
        <v>125</v>
      </c>
      <c r="AS39" s="184">
        <v>107</v>
      </c>
      <c r="AT39" s="184">
        <v>138</v>
      </c>
      <c r="AU39" s="184">
        <v>115</v>
      </c>
      <c r="AV39" s="186">
        <v>10</v>
      </c>
      <c r="AW39" s="186">
        <v>7</v>
      </c>
      <c r="AX39" s="186">
        <v>5</v>
      </c>
      <c r="AY39" s="186">
        <v>7</v>
      </c>
      <c r="AZ39" s="186">
        <v>7</v>
      </c>
      <c r="BA39" s="186">
        <v>5</v>
      </c>
      <c r="BB39" s="187">
        <v>4.3478260869565216E-2</v>
      </c>
      <c r="BC39" s="187">
        <v>1.8712101106831382E-2</v>
      </c>
      <c r="BD39" s="187">
        <v>9.7757849346889233E-2</v>
      </c>
      <c r="BE39" s="193">
        <v>15</v>
      </c>
      <c r="BF39" s="184">
        <v>256</v>
      </c>
      <c r="BG39" s="184">
        <v>276</v>
      </c>
      <c r="BH39" s="184">
        <v>106</v>
      </c>
      <c r="BI39" s="184">
        <v>0.12492352662605885</v>
      </c>
      <c r="BJ39" s="184">
        <v>1665</v>
      </c>
      <c r="BK39" s="184">
        <v>2857</v>
      </c>
      <c r="BL39" s="186">
        <v>1670</v>
      </c>
      <c r="BM39" s="186">
        <v>843</v>
      </c>
      <c r="BN39" s="186">
        <v>1</v>
      </c>
      <c r="BO39" s="186">
        <v>307</v>
      </c>
      <c r="BP39" s="186">
        <v>384</v>
      </c>
      <c r="BQ39" s="186">
        <v>135</v>
      </c>
      <c r="BR39" s="193">
        <v>145</v>
      </c>
      <c r="BS39" s="193">
        <v>130</v>
      </c>
      <c r="BT39" s="193">
        <v>105</v>
      </c>
      <c r="BU39" s="186">
        <v>384</v>
      </c>
      <c r="BV39" s="186">
        <v>151</v>
      </c>
      <c r="BW39" s="222">
        <f t="shared" si="6"/>
        <v>0.39322916666666669</v>
      </c>
      <c r="BX39" s="186">
        <v>34</v>
      </c>
      <c r="BY39" s="193">
        <v>2</v>
      </c>
      <c r="BZ39" s="1676">
        <v>300</v>
      </c>
      <c r="CA39" s="222">
        <v>5.3229240596167494E-2</v>
      </c>
      <c r="CB39" s="200">
        <v>215</v>
      </c>
      <c r="CC39" s="200">
        <v>210</v>
      </c>
      <c r="CD39" s="200">
        <v>215</v>
      </c>
      <c r="CE39" s="200">
        <v>185</v>
      </c>
      <c r="CF39" s="186">
        <v>480</v>
      </c>
      <c r="CG39" s="187">
        <v>0.19444444444444442</v>
      </c>
      <c r="CH39" s="186">
        <v>480</v>
      </c>
      <c r="CI39" s="187">
        <v>0.18844444444444447</v>
      </c>
      <c r="CJ39" s="186">
        <v>555</v>
      </c>
      <c r="CK39" s="187">
        <v>0.20177777777777775</v>
      </c>
      <c r="CL39" s="186">
        <v>515</v>
      </c>
      <c r="CM39" s="187">
        <v>0.17744444444444449</v>
      </c>
      <c r="CN39" s="186">
        <v>520</v>
      </c>
      <c r="CO39" s="187">
        <v>0.17844444444444446</v>
      </c>
      <c r="CP39" s="186">
        <v>495</v>
      </c>
      <c r="CQ39" s="187">
        <v>0.19919517102615694</v>
      </c>
      <c r="CR39" s="184">
        <v>138</v>
      </c>
      <c r="CS39" s="184">
        <v>15</v>
      </c>
      <c r="CT39" s="184">
        <v>123</v>
      </c>
      <c r="CU39" s="187">
        <v>0.90037632661901679</v>
      </c>
      <c r="CV39" s="186">
        <v>51</v>
      </c>
      <c r="CW39" s="186">
        <v>71</v>
      </c>
      <c r="CX39" s="187">
        <v>0.39368252379312629</v>
      </c>
      <c r="CY39" s="187">
        <v>0.56805227360147259</v>
      </c>
      <c r="CZ39" s="187">
        <v>0.33144299050634901</v>
      </c>
      <c r="DA39" s="187">
        <v>0.50299618402314283</v>
      </c>
      <c r="DB39" s="187">
        <v>0.48889394915995515</v>
      </c>
      <c r="DC39" s="187">
        <v>0.66089917864669501</v>
      </c>
      <c r="DD39" s="182">
        <v>85</v>
      </c>
      <c r="DE39" s="182">
        <v>4</v>
      </c>
      <c r="DF39" s="143">
        <v>4.7058823529411764E-2</v>
      </c>
      <c r="DG39" s="143">
        <v>1.8450260833070709E-2</v>
      </c>
      <c r="DH39" s="143">
        <v>0.11483727156318768</v>
      </c>
      <c r="DI39" s="178" t="str">
        <f t="shared" si="12"/>
        <v>No Sig diff</v>
      </c>
      <c r="DJ39" s="182">
        <v>120</v>
      </c>
      <c r="DK39" s="182">
        <v>6</v>
      </c>
      <c r="DL39" s="143">
        <v>0.05</v>
      </c>
      <c r="DM39" s="143">
        <v>2.3114364414465797E-2</v>
      </c>
      <c r="DN39" s="143">
        <v>0.10480288536236734</v>
      </c>
      <c r="DO39" s="178" t="str">
        <f t="shared" si="13"/>
        <v>No Sig diff</v>
      </c>
      <c r="DP39" s="183">
        <v>92</v>
      </c>
      <c r="DQ39" s="183">
        <v>13</v>
      </c>
      <c r="DR39" s="143">
        <v>0.14130434782608695</v>
      </c>
      <c r="DS39" s="143">
        <v>8.4476933783828992E-2</v>
      </c>
      <c r="DT39" s="143">
        <v>0.22688580200803002</v>
      </c>
      <c r="DU39" s="178" t="str">
        <f t="shared" si="7"/>
        <v>No Sig diff</v>
      </c>
      <c r="DV39" s="178">
        <v>114</v>
      </c>
      <c r="DW39" s="178">
        <v>11</v>
      </c>
      <c r="DX39" s="179">
        <v>9.6491228070175433E-2</v>
      </c>
      <c r="DY39" s="179">
        <v>5.4736149045213803E-2</v>
      </c>
      <c r="DZ39" s="179">
        <v>0.16455389606543028</v>
      </c>
      <c r="EA39" s="178" t="str">
        <f t="shared" si="14"/>
        <v>No Sig diff</v>
      </c>
      <c r="EB39" s="182">
        <v>103</v>
      </c>
      <c r="EC39" s="182">
        <v>19</v>
      </c>
      <c r="ED39" s="143">
        <v>0.18446601941747573</v>
      </c>
      <c r="EE39" s="143">
        <v>0.12139537223023854</v>
      </c>
      <c r="EF39" s="143">
        <v>0.27022656257424815</v>
      </c>
      <c r="EG39" s="178" t="str">
        <f t="shared" si="15"/>
        <v>No Sig diff</v>
      </c>
      <c r="EH39" s="182">
        <v>94</v>
      </c>
      <c r="EI39" s="182">
        <v>19</v>
      </c>
      <c r="EJ39" s="143">
        <v>0.20212765957446807</v>
      </c>
      <c r="EK39" s="143">
        <v>0.1333948198921881</v>
      </c>
      <c r="EL39" s="143">
        <v>0.29425067236660452</v>
      </c>
      <c r="EM39" s="178" t="str">
        <f t="shared" si="8"/>
        <v>No Sig diff</v>
      </c>
      <c r="EN39" s="183">
        <v>97</v>
      </c>
      <c r="EO39" s="183">
        <v>18</v>
      </c>
      <c r="EP39" s="197">
        <v>0.18556701030927836</v>
      </c>
      <c r="EQ39" s="179">
        <v>0.12072903379332831</v>
      </c>
      <c r="ER39" s="179">
        <v>0.27436103418690677</v>
      </c>
      <c r="ES39" s="178" t="str">
        <f t="shared" si="9"/>
        <v>No Sig diff</v>
      </c>
      <c r="ET39" s="206">
        <v>90</v>
      </c>
      <c r="EU39" s="206">
        <v>19</v>
      </c>
      <c r="EV39" s="179">
        <v>0.21111111111111111</v>
      </c>
      <c r="EW39" s="179">
        <v>0.13952592118014923</v>
      </c>
      <c r="EX39" s="179">
        <v>0.30634799581257288</v>
      </c>
      <c r="EY39" s="178" t="str">
        <f t="shared" si="10"/>
        <v>No Sig diff</v>
      </c>
      <c r="EZ39" s="207">
        <v>135</v>
      </c>
      <c r="FA39" s="186">
        <v>68</v>
      </c>
      <c r="FB39" s="187">
        <v>0.50370370370370365</v>
      </c>
      <c r="FC39" s="187">
        <v>0.42043501688207358</v>
      </c>
      <c r="FD39" s="187">
        <v>0.5867674427326115</v>
      </c>
      <c r="FE39" s="208">
        <v>135</v>
      </c>
      <c r="FF39" s="209">
        <v>34</v>
      </c>
      <c r="FG39" s="208">
        <v>27</v>
      </c>
      <c r="FH39" s="209">
        <v>21.518518518518519</v>
      </c>
      <c r="FI39" s="187">
        <f t="shared" si="11"/>
        <v>0.36710239651416121</v>
      </c>
      <c r="FJ39" s="186">
        <v>122</v>
      </c>
      <c r="FK39" s="186">
        <v>68</v>
      </c>
      <c r="FL39" s="187">
        <v>0.55737704918032782</v>
      </c>
      <c r="FM39" s="187">
        <v>0.46882625948307327</v>
      </c>
      <c r="FN39" s="187">
        <v>0.64242483480015478</v>
      </c>
      <c r="FO39" s="198">
        <v>122</v>
      </c>
      <c r="FP39" s="199">
        <v>34</v>
      </c>
      <c r="FQ39" s="198">
        <v>24</v>
      </c>
      <c r="FR39" s="199">
        <v>23.166666666666668</v>
      </c>
      <c r="FS39" s="210">
        <v>0.31862745098039214</v>
      </c>
      <c r="FT39" s="200">
        <v>2004</v>
      </c>
      <c r="FU39" s="200">
        <v>1951</v>
      </c>
      <c r="FV39" s="200">
        <v>53</v>
      </c>
      <c r="FW39" s="200">
        <v>51</v>
      </c>
      <c r="FX39" s="200">
        <v>2</v>
      </c>
      <c r="FY39" s="187">
        <f t="shared" si="4"/>
        <v>0.96226415094339623</v>
      </c>
      <c r="FZ39" s="187">
        <f t="shared" si="5"/>
        <v>3.7735849056603772E-2</v>
      </c>
      <c r="GA39" s="197">
        <v>0.93227513227513237</v>
      </c>
      <c r="GB39" s="197">
        <v>6.7724867724867729E-2</v>
      </c>
      <c r="GC39" s="197">
        <v>5.315354431925607E-2</v>
      </c>
      <c r="GD39" s="197">
        <v>0.20601533031468619</v>
      </c>
      <c r="GE39" s="197">
        <v>0.84338624338624335</v>
      </c>
      <c r="GF39" s="197">
        <v>0.15661375661375662</v>
      </c>
      <c r="GG39" s="197">
        <v>4.2994504137461961E-2</v>
      </c>
      <c r="GH39" s="197">
        <v>0.18712216950173294</v>
      </c>
      <c r="GI39" s="197">
        <v>0.81005291005291002</v>
      </c>
      <c r="GJ39" s="197">
        <v>0.18994708994708998</v>
      </c>
      <c r="GK39" s="197">
        <v>7.459006187684232E-2</v>
      </c>
      <c r="GL39" s="197">
        <v>0.24268321474659466</v>
      </c>
      <c r="GM39" s="197">
        <v>0.78822751322751317</v>
      </c>
      <c r="GN39" s="197">
        <v>0.21177248677248675</v>
      </c>
      <c r="GO39" s="197">
        <v>0.17018055060319134</v>
      </c>
      <c r="GP39" s="197">
        <v>0.37951033397822453</v>
      </c>
      <c r="GQ39" s="186">
        <v>36</v>
      </c>
      <c r="GR39" s="186">
        <v>33</v>
      </c>
      <c r="GS39" s="178">
        <v>33</v>
      </c>
      <c r="GT39" s="178">
        <v>33</v>
      </c>
      <c r="GU39" s="178">
        <v>33</v>
      </c>
      <c r="GV39" s="178">
        <v>24</v>
      </c>
      <c r="GW39" s="178">
        <v>24</v>
      </c>
      <c r="GX39" s="178">
        <v>24</v>
      </c>
      <c r="GY39" s="178">
        <v>22</v>
      </c>
      <c r="GZ39" s="178">
        <v>24</v>
      </c>
      <c r="HA39" s="178">
        <v>24</v>
      </c>
      <c r="HB39" s="178">
        <v>22</v>
      </c>
      <c r="HC39" s="178">
        <v>24</v>
      </c>
      <c r="HD39" s="178">
        <v>30</v>
      </c>
      <c r="HE39" s="178">
        <v>29</v>
      </c>
      <c r="HF39" s="178">
        <v>30</v>
      </c>
      <c r="HG39" s="178">
        <v>27</v>
      </c>
      <c r="HH39" s="178">
        <v>30</v>
      </c>
      <c r="HI39" s="178">
        <v>30</v>
      </c>
      <c r="HJ39" s="178">
        <v>27</v>
      </c>
      <c r="HK39" s="178">
        <v>29</v>
      </c>
      <c r="HL39" s="178">
        <v>27</v>
      </c>
      <c r="HM39" s="178">
        <v>30</v>
      </c>
      <c r="HN39" s="186">
        <v>26</v>
      </c>
      <c r="HO39" s="187">
        <v>3.2338308457711441E-2</v>
      </c>
      <c r="HP39" s="217">
        <v>1254</v>
      </c>
      <c r="HQ39" s="217">
        <v>1069</v>
      </c>
      <c r="HR39" s="217">
        <v>185</v>
      </c>
      <c r="HS39" s="1704">
        <v>0.14752791068580542</v>
      </c>
    </row>
    <row r="40" spans="1:227" ht="13.8" customHeight="1" x14ac:dyDescent="0.25">
      <c r="A40" s="183" t="s">
        <v>623</v>
      </c>
      <c r="B40" s="183"/>
      <c r="C40" s="183" t="s">
        <v>101</v>
      </c>
      <c r="D40" s="183" t="s">
        <v>681</v>
      </c>
      <c r="E40" s="183" t="s">
        <v>101</v>
      </c>
      <c r="F40" s="183" t="s">
        <v>490</v>
      </c>
      <c r="G40" s="183" t="s">
        <v>472</v>
      </c>
      <c r="H40" s="183" t="s">
        <v>173</v>
      </c>
      <c r="I40" s="183" t="s">
        <v>127</v>
      </c>
      <c r="J40" s="183" t="s">
        <v>704</v>
      </c>
      <c r="K40" s="183" t="s">
        <v>126</v>
      </c>
      <c r="L40" s="184">
        <v>12250</v>
      </c>
      <c r="M40" s="184">
        <v>12260</v>
      </c>
      <c r="N40" s="184">
        <v>12325</v>
      </c>
      <c r="O40" s="184">
        <v>12385</v>
      </c>
      <c r="P40" s="184">
        <v>12470</v>
      </c>
      <c r="Q40" s="184">
        <v>12475</v>
      </c>
      <c r="R40" s="184">
        <v>12705</v>
      </c>
      <c r="S40" s="184">
        <v>12710</v>
      </c>
      <c r="T40" s="184">
        <v>12795</v>
      </c>
      <c r="U40" s="184">
        <v>12795</v>
      </c>
      <c r="V40" s="184">
        <v>625</v>
      </c>
      <c r="W40" s="184">
        <v>595</v>
      </c>
      <c r="X40" s="184">
        <v>560</v>
      </c>
      <c r="Y40" s="184">
        <v>605</v>
      </c>
      <c r="Z40" s="184">
        <v>610</v>
      </c>
      <c r="AA40" s="184">
        <v>600</v>
      </c>
      <c r="AB40" s="184">
        <v>615</v>
      </c>
      <c r="AC40" s="184">
        <v>600</v>
      </c>
      <c r="AD40" s="184">
        <v>605</v>
      </c>
      <c r="AE40" s="184">
        <v>590</v>
      </c>
      <c r="AF40" s="187">
        <v>0.93080724876441512</v>
      </c>
      <c r="AG40" s="187">
        <v>3.2948929159802305E-2</v>
      </c>
      <c r="AH40" s="187">
        <v>2.6359143327841845E-2</v>
      </c>
      <c r="AI40" s="187">
        <v>9.8846787479406912E-3</v>
      </c>
      <c r="AJ40" s="187">
        <v>0</v>
      </c>
      <c r="AK40" s="187">
        <v>0</v>
      </c>
      <c r="AL40" s="187">
        <v>6.919275123558484E-2</v>
      </c>
      <c r="AM40" s="184">
        <v>1245</v>
      </c>
      <c r="AN40" s="187">
        <v>0.68890675241157562</v>
      </c>
      <c r="AO40" s="187">
        <v>0.16157556270096463</v>
      </c>
      <c r="AP40" s="187">
        <v>0.14951768488745981</v>
      </c>
      <c r="AQ40" s="184">
        <v>115</v>
      </c>
      <c r="AR40" s="184">
        <v>103</v>
      </c>
      <c r="AS40" s="184">
        <v>98</v>
      </c>
      <c r="AT40" s="184">
        <v>111</v>
      </c>
      <c r="AU40" s="184">
        <v>96</v>
      </c>
      <c r="AV40" s="186">
        <v>7</v>
      </c>
      <c r="AW40" s="186">
        <v>6</v>
      </c>
      <c r="AX40" s="186">
        <v>2</v>
      </c>
      <c r="AY40" s="186">
        <v>1</v>
      </c>
      <c r="AZ40" s="186">
        <v>5</v>
      </c>
      <c r="BA40" s="186">
        <v>8</v>
      </c>
      <c r="BB40" s="187">
        <v>8.3333333333333329E-2</v>
      </c>
      <c r="BC40" s="187">
        <v>4.2830624150967216E-2</v>
      </c>
      <c r="BD40" s="187">
        <v>0.15589903239709582</v>
      </c>
      <c r="BE40" s="193">
        <v>7</v>
      </c>
      <c r="BF40" s="184">
        <v>168</v>
      </c>
      <c r="BG40" s="184">
        <v>196</v>
      </c>
      <c r="BH40" s="184">
        <v>100</v>
      </c>
      <c r="BI40" s="184">
        <v>0.14694188556472054</v>
      </c>
      <c r="BJ40" s="184">
        <v>1359</v>
      </c>
      <c r="BK40" s="184">
        <v>2423</v>
      </c>
      <c r="BL40" s="186">
        <v>1459</v>
      </c>
      <c r="BM40" s="186">
        <v>1025</v>
      </c>
      <c r="BN40" s="186">
        <v>0</v>
      </c>
      <c r="BO40" s="186">
        <v>140</v>
      </c>
      <c r="BP40" s="186">
        <v>205</v>
      </c>
      <c r="BQ40" s="186">
        <v>89</v>
      </c>
      <c r="BR40" s="193">
        <v>35</v>
      </c>
      <c r="BS40" s="193">
        <v>40</v>
      </c>
      <c r="BT40" s="193">
        <v>45</v>
      </c>
      <c r="BU40" s="186">
        <v>209</v>
      </c>
      <c r="BV40" s="186">
        <v>51</v>
      </c>
      <c r="BW40" s="222">
        <f t="shared" si="6"/>
        <v>0.24401913875598086</v>
      </c>
      <c r="BX40" s="186">
        <v>15</v>
      </c>
      <c r="BY40" s="193">
        <v>7</v>
      </c>
      <c r="BZ40" s="1676">
        <v>132</v>
      </c>
      <c r="CA40" s="222">
        <v>2.4242424242424242E-2</v>
      </c>
      <c r="CB40" s="200">
        <v>65</v>
      </c>
      <c r="CC40" s="200">
        <v>50</v>
      </c>
      <c r="CD40" s="200">
        <v>70</v>
      </c>
      <c r="CE40" s="200">
        <v>90</v>
      </c>
      <c r="CF40" s="186">
        <v>175</v>
      </c>
      <c r="CG40" s="187">
        <v>0.12362499999999998</v>
      </c>
      <c r="CH40" s="186">
        <v>195</v>
      </c>
      <c r="CI40" s="187">
        <v>0.10725</v>
      </c>
      <c r="CJ40" s="186">
        <v>215</v>
      </c>
      <c r="CK40" s="187">
        <v>0.11975000000000001</v>
      </c>
      <c r="CL40" s="186">
        <v>195</v>
      </c>
      <c r="CM40" s="187">
        <v>0.104375</v>
      </c>
      <c r="CN40" s="186">
        <v>235</v>
      </c>
      <c r="CO40" s="187">
        <v>9.1999999999999998E-2</v>
      </c>
      <c r="CP40" s="186">
        <v>160</v>
      </c>
      <c r="CQ40" s="187">
        <v>7.9800498753117205E-2</v>
      </c>
      <c r="CR40" s="184">
        <v>122</v>
      </c>
      <c r="CS40" s="184">
        <v>4</v>
      </c>
      <c r="CT40" s="184">
        <v>118</v>
      </c>
      <c r="CU40" s="187">
        <v>0.96772660818713452</v>
      </c>
      <c r="CV40" s="186">
        <v>58</v>
      </c>
      <c r="CW40" s="186">
        <v>75</v>
      </c>
      <c r="CX40" s="187">
        <v>0.50400219298245619</v>
      </c>
      <c r="CY40" s="187">
        <v>0.63892490110079125</v>
      </c>
      <c r="CZ40" s="187">
        <v>0.40302228798677547</v>
      </c>
      <c r="DA40" s="187">
        <v>0.5805629571183446</v>
      </c>
      <c r="DB40" s="187">
        <v>0.54575544867159853</v>
      </c>
      <c r="DC40" s="187">
        <v>0.71688062964648003</v>
      </c>
      <c r="DD40" s="182">
        <v>106</v>
      </c>
      <c r="DE40" s="182">
        <v>7</v>
      </c>
      <c r="DF40" s="143">
        <v>6.6000000000000003E-2</v>
      </c>
      <c r="DG40" s="143">
        <v>3.2000000000000001E-2</v>
      </c>
      <c r="DH40" s="143">
        <v>0.13</v>
      </c>
      <c r="DI40" s="178" t="str">
        <f t="shared" si="12"/>
        <v>No Sig diff</v>
      </c>
      <c r="DJ40" s="182">
        <v>96</v>
      </c>
      <c r="DK40" s="182">
        <v>11</v>
      </c>
      <c r="DL40" s="143">
        <v>0.115</v>
      </c>
      <c r="DM40" s="143">
        <v>6.5000000000000002E-2</v>
      </c>
      <c r="DN40" s="143">
        <v>0.19400000000000001</v>
      </c>
      <c r="DO40" s="178" t="str">
        <f t="shared" si="13"/>
        <v>No Sig diff</v>
      </c>
      <c r="DP40" s="183">
        <v>91</v>
      </c>
      <c r="DQ40" s="183">
        <v>11</v>
      </c>
      <c r="DR40" s="143">
        <v>0.12087912087912088</v>
      </c>
      <c r="DS40" s="143">
        <v>6.885508485107264E-2</v>
      </c>
      <c r="DT40" s="143">
        <v>0.20361498406203427</v>
      </c>
      <c r="DU40" s="178" t="str">
        <f t="shared" si="7"/>
        <v>No Sig diff</v>
      </c>
      <c r="DV40" s="178">
        <v>106</v>
      </c>
      <c r="DW40" s="178">
        <v>7</v>
      </c>
      <c r="DX40" s="179">
        <v>6.6037735849056603E-2</v>
      </c>
      <c r="DY40" s="179">
        <v>3.2354147112036276E-2</v>
      </c>
      <c r="DZ40" s="179">
        <v>0.13007503957437352</v>
      </c>
      <c r="EA40" s="178" t="str">
        <f t="shared" si="14"/>
        <v>No Sig diff</v>
      </c>
      <c r="EB40" s="178">
        <v>120</v>
      </c>
      <c r="EC40" s="178">
        <v>21</v>
      </c>
      <c r="ED40" s="143">
        <v>0.17499999999999999</v>
      </c>
      <c r="EE40" s="143">
        <v>0.11700000000000001</v>
      </c>
      <c r="EF40" s="143">
        <v>0.253</v>
      </c>
      <c r="EG40" s="178" t="str">
        <f t="shared" si="15"/>
        <v>No Sig diff</v>
      </c>
      <c r="EH40" s="178">
        <v>112</v>
      </c>
      <c r="EI40" s="178">
        <v>22</v>
      </c>
      <c r="EJ40" s="143">
        <v>0.19600000000000001</v>
      </c>
      <c r="EK40" s="143">
        <v>0.13300000000000001</v>
      </c>
      <c r="EL40" s="143">
        <v>0.28000000000000003</v>
      </c>
      <c r="EM40" s="178" t="str">
        <f t="shared" si="8"/>
        <v>No Sig diff</v>
      </c>
      <c r="EN40" s="183">
        <v>104</v>
      </c>
      <c r="EO40" s="183">
        <v>13</v>
      </c>
      <c r="EP40" s="197">
        <v>0.125</v>
      </c>
      <c r="EQ40" s="179">
        <v>7.4526025237809115E-2</v>
      </c>
      <c r="ER40" s="179">
        <v>0.20218999054152978</v>
      </c>
      <c r="ES40" s="178" t="str">
        <f t="shared" si="9"/>
        <v>No Sig diff</v>
      </c>
      <c r="ET40" s="206">
        <v>94</v>
      </c>
      <c r="EU40" s="206">
        <v>14</v>
      </c>
      <c r="EV40" s="179">
        <v>0.14893617021276595</v>
      </c>
      <c r="EW40" s="179">
        <v>9.0840479586594094E-2</v>
      </c>
      <c r="EX40" s="179">
        <v>0.23459885057555427</v>
      </c>
      <c r="EY40" s="178" t="str">
        <f t="shared" si="10"/>
        <v>No Sig diff</v>
      </c>
      <c r="EZ40" s="207">
        <v>117</v>
      </c>
      <c r="FA40" s="186">
        <v>64</v>
      </c>
      <c r="FB40" s="187">
        <v>0.54700854700854706</v>
      </c>
      <c r="FC40" s="187">
        <v>0.45674877894037469</v>
      </c>
      <c r="FD40" s="187">
        <v>0.63427958257851358</v>
      </c>
      <c r="FE40" s="208">
        <v>117</v>
      </c>
      <c r="FF40" s="209">
        <v>34</v>
      </c>
      <c r="FG40" s="208">
        <v>23</v>
      </c>
      <c r="FH40" s="209">
        <v>28.869565217391305</v>
      </c>
      <c r="FI40" s="187">
        <f t="shared" si="11"/>
        <v>0.15089514066496162</v>
      </c>
      <c r="FJ40" s="186">
        <v>134</v>
      </c>
      <c r="FK40" s="186">
        <v>83</v>
      </c>
      <c r="FL40" s="187">
        <v>0.61940298507462688</v>
      </c>
      <c r="FM40" s="187">
        <v>0.53495253716790758</v>
      </c>
      <c r="FN40" s="187">
        <v>0.69719822700548961</v>
      </c>
      <c r="FO40" s="198">
        <v>134</v>
      </c>
      <c r="FP40" s="199">
        <v>34</v>
      </c>
      <c r="FQ40" s="198">
        <v>26</v>
      </c>
      <c r="FR40" s="199">
        <v>26.192307692307693</v>
      </c>
      <c r="FS40" s="210">
        <v>0.22963800904977372</v>
      </c>
      <c r="FT40" s="200">
        <v>1921</v>
      </c>
      <c r="FU40" s="200">
        <v>1896</v>
      </c>
      <c r="FV40" s="200">
        <v>25</v>
      </c>
      <c r="FW40" s="200">
        <v>21</v>
      </c>
      <c r="FX40" s="200">
        <v>4</v>
      </c>
      <c r="FY40" s="187">
        <f t="shared" si="4"/>
        <v>0.84</v>
      </c>
      <c r="FZ40" s="187">
        <f t="shared" si="5"/>
        <v>0.16</v>
      </c>
      <c r="GA40" s="197">
        <v>0.923408189033189</v>
      </c>
      <c r="GB40" s="197">
        <v>7.6591810966810961E-2</v>
      </c>
      <c r="GC40" s="197">
        <v>4.2492043037232537E-2</v>
      </c>
      <c r="GD40" s="197">
        <v>0.16780102074279987</v>
      </c>
      <c r="GE40" s="197">
        <v>0.93233676046176039</v>
      </c>
      <c r="GF40" s="197">
        <v>6.7663239538239536E-2</v>
      </c>
      <c r="GG40" s="197">
        <v>3.4389161893526081E-2</v>
      </c>
      <c r="GH40" s="197">
        <v>0.15233056050680582</v>
      </c>
      <c r="GI40" s="197">
        <v>0.923408189033189</v>
      </c>
      <c r="GJ40" s="197">
        <v>7.6591810966810961E-2</v>
      </c>
      <c r="GK40" s="197">
        <v>4.2492043037232537E-2</v>
      </c>
      <c r="GL40" s="197">
        <v>0.16780102074279987</v>
      </c>
      <c r="GM40" s="197">
        <v>0.85197961760461771</v>
      </c>
      <c r="GN40" s="197">
        <v>0.1480203823953824</v>
      </c>
      <c r="GO40" s="197">
        <v>0.11556188621286038</v>
      </c>
      <c r="GP40" s="197">
        <v>0.28331790860477624</v>
      </c>
      <c r="GQ40" s="186">
        <v>35</v>
      </c>
      <c r="GR40" s="186">
        <v>35</v>
      </c>
      <c r="GS40" s="178">
        <v>35</v>
      </c>
      <c r="GT40" s="178">
        <v>35</v>
      </c>
      <c r="GU40" s="178">
        <v>35</v>
      </c>
      <c r="GV40" s="178">
        <v>18</v>
      </c>
      <c r="GW40" s="178">
        <v>16</v>
      </c>
      <c r="GX40" s="178">
        <v>18</v>
      </c>
      <c r="GY40" s="178">
        <v>16</v>
      </c>
      <c r="GZ40" s="178">
        <v>18</v>
      </c>
      <c r="HA40" s="178">
        <v>18</v>
      </c>
      <c r="HB40" s="178">
        <v>16</v>
      </c>
      <c r="HC40" s="178">
        <v>18</v>
      </c>
      <c r="HD40" s="178">
        <v>30</v>
      </c>
      <c r="HE40" s="178">
        <v>30</v>
      </c>
      <c r="HF40" s="178">
        <v>30</v>
      </c>
      <c r="HG40" s="178">
        <v>29</v>
      </c>
      <c r="HH40" s="178">
        <v>30</v>
      </c>
      <c r="HI40" s="178">
        <v>30</v>
      </c>
      <c r="HJ40" s="178">
        <v>29</v>
      </c>
      <c r="HK40" s="178">
        <v>29</v>
      </c>
      <c r="HL40" s="178">
        <v>29</v>
      </c>
      <c r="HM40" s="178">
        <v>30</v>
      </c>
      <c r="HN40" s="186">
        <v>14</v>
      </c>
      <c r="HO40" s="187">
        <v>2.3102310231023101E-2</v>
      </c>
      <c r="HP40" s="217">
        <v>939</v>
      </c>
      <c r="HQ40" s="217">
        <v>864</v>
      </c>
      <c r="HR40" s="217">
        <v>75</v>
      </c>
      <c r="HS40" s="1704">
        <v>7.9872204472843447E-2</v>
      </c>
    </row>
    <row r="41" spans="1:227" ht="13.8" customHeight="1" x14ac:dyDescent="0.25">
      <c r="A41" s="183" t="s">
        <v>439</v>
      </c>
      <c r="B41" s="183"/>
      <c r="C41" s="183" t="s">
        <v>102</v>
      </c>
      <c r="D41" s="183" t="s">
        <v>102</v>
      </c>
      <c r="E41" s="183" t="s">
        <v>102</v>
      </c>
      <c r="F41" s="183" t="s">
        <v>102</v>
      </c>
      <c r="G41" s="183" t="s">
        <v>477</v>
      </c>
      <c r="H41" s="183" t="s">
        <v>587</v>
      </c>
      <c r="I41" s="183" t="s">
        <v>140</v>
      </c>
      <c r="J41" s="183" t="s">
        <v>703</v>
      </c>
      <c r="K41" s="183" t="s">
        <v>102</v>
      </c>
      <c r="L41" s="184">
        <v>17565</v>
      </c>
      <c r="M41" s="184">
        <v>17650</v>
      </c>
      <c r="N41" s="184">
        <v>17895</v>
      </c>
      <c r="O41" s="184">
        <v>18095</v>
      </c>
      <c r="P41" s="184">
        <v>18490</v>
      </c>
      <c r="Q41" s="184">
        <v>18770</v>
      </c>
      <c r="R41" s="184">
        <v>19185</v>
      </c>
      <c r="S41" s="184">
        <v>19470</v>
      </c>
      <c r="T41" s="184">
        <v>19695</v>
      </c>
      <c r="U41" s="184">
        <v>19975</v>
      </c>
      <c r="V41" s="184">
        <v>885</v>
      </c>
      <c r="W41" s="184">
        <v>890</v>
      </c>
      <c r="X41" s="184">
        <v>920</v>
      </c>
      <c r="Y41" s="184">
        <v>960</v>
      </c>
      <c r="Z41" s="184">
        <v>1000</v>
      </c>
      <c r="AA41" s="184">
        <v>1015</v>
      </c>
      <c r="AB41" s="184">
        <v>1065</v>
      </c>
      <c r="AC41" s="184">
        <v>1135</v>
      </c>
      <c r="AD41" s="184">
        <v>1170</v>
      </c>
      <c r="AE41" s="184">
        <v>1195</v>
      </c>
      <c r="AF41" s="187">
        <v>0.92307692307692313</v>
      </c>
      <c r="AG41" s="187">
        <v>2.8293545534924844E-2</v>
      </c>
      <c r="AH41" s="187">
        <v>3.8019451812555262E-2</v>
      </c>
      <c r="AI41" s="187">
        <v>8.8417329796640146E-3</v>
      </c>
      <c r="AJ41" s="187">
        <v>8.8417329796640137E-4</v>
      </c>
      <c r="AK41" s="187">
        <v>8.8417329796640137E-4</v>
      </c>
      <c r="AL41" s="187">
        <v>7.6923076923076927E-2</v>
      </c>
      <c r="AM41" s="184">
        <v>2290</v>
      </c>
      <c r="AN41" s="187">
        <v>0.74083769633507857</v>
      </c>
      <c r="AO41" s="187">
        <v>0.11343804537521815</v>
      </c>
      <c r="AP41" s="187">
        <v>0.14572425828970331</v>
      </c>
      <c r="AQ41" s="184">
        <v>177</v>
      </c>
      <c r="AR41" s="184">
        <v>186</v>
      </c>
      <c r="AS41" s="184">
        <v>202</v>
      </c>
      <c r="AT41" s="184">
        <v>176</v>
      </c>
      <c r="AU41" s="184">
        <v>217</v>
      </c>
      <c r="AV41" s="186">
        <v>5</v>
      </c>
      <c r="AW41" s="186">
        <v>6</v>
      </c>
      <c r="AX41" s="186">
        <v>7</v>
      </c>
      <c r="AY41" s="186">
        <v>2</v>
      </c>
      <c r="AZ41" s="186">
        <v>3</v>
      </c>
      <c r="BA41" s="186">
        <v>6</v>
      </c>
      <c r="BB41" s="187">
        <v>2.7649769585253458E-2</v>
      </c>
      <c r="BC41" s="187">
        <v>1.2732431477870355E-2</v>
      </c>
      <c r="BD41" s="187">
        <v>5.899983702501134E-2</v>
      </c>
      <c r="BE41" s="193">
        <v>7</v>
      </c>
      <c r="BF41" s="184">
        <v>294</v>
      </c>
      <c r="BG41" s="184">
        <v>388</v>
      </c>
      <c r="BH41" s="184">
        <v>185</v>
      </c>
      <c r="BI41" s="184">
        <v>0.15331473238785223</v>
      </c>
      <c r="BJ41" s="184">
        <v>2368</v>
      </c>
      <c r="BK41" s="184">
        <v>4334</v>
      </c>
      <c r="BL41" s="186">
        <v>2179</v>
      </c>
      <c r="BM41" s="186">
        <v>1435</v>
      </c>
      <c r="BN41" s="186">
        <v>2</v>
      </c>
      <c r="BO41" s="186">
        <v>250</v>
      </c>
      <c r="BP41" s="186">
        <v>324</v>
      </c>
      <c r="BQ41" s="186">
        <v>168</v>
      </c>
      <c r="BR41" s="193">
        <v>55</v>
      </c>
      <c r="BS41" s="193">
        <v>60</v>
      </c>
      <c r="BT41" s="193">
        <v>50</v>
      </c>
      <c r="BU41" s="186">
        <v>364</v>
      </c>
      <c r="BV41" s="186">
        <v>82</v>
      </c>
      <c r="BW41" s="222">
        <f t="shared" si="6"/>
        <v>0.22527472527472528</v>
      </c>
      <c r="BX41" s="186">
        <v>27</v>
      </c>
      <c r="BY41" s="193">
        <v>9</v>
      </c>
      <c r="BZ41" s="1676">
        <v>158</v>
      </c>
      <c r="CA41" s="222">
        <v>1.961271102284012E-2</v>
      </c>
      <c r="CB41" s="200">
        <v>85</v>
      </c>
      <c r="CC41" s="200">
        <v>80</v>
      </c>
      <c r="CD41" s="200">
        <v>95</v>
      </c>
      <c r="CE41" s="200">
        <v>75</v>
      </c>
      <c r="CF41" s="186">
        <v>275</v>
      </c>
      <c r="CG41" s="187">
        <v>8.4749999999999992E-2</v>
      </c>
      <c r="CH41" s="186">
        <v>275</v>
      </c>
      <c r="CI41" s="187">
        <v>7.2499999999999995E-2</v>
      </c>
      <c r="CJ41" s="186">
        <v>275</v>
      </c>
      <c r="CK41" s="187">
        <v>7.3083333333333347E-2</v>
      </c>
      <c r="CL41" s="186">
        <v>265</v>
      </c>
      <c r="CM41" s="187">
        <v>7.3416666666666672E-2</v>
      </c>
      <c r="CN41" s="186">
        <v>305</v>
      </c>
      <c r="CO41" s="187">
        <v>6.9916666666666669E-2</v>
      </c>
      <c r="CP41" s="186">
        <v>245</v>
      </c>
      <c r="CQ41" s="187">
        <v>6.6939890710382519E-2</v>
      </c>
      <c r="CR41" s="184">
        <v>205</v>
      </c>
      <c r="CS41" s="184">
        <v>7</v>
      </c>
      <c r="CT41" s="184">
        <v>198</v>
      </c>
      <c r="CU41" s="187">
        <v>0.96602240352240354</v>
      </c>
      <c r="CV41" s="186">
        <v>105</v>
      </c>
      <c r="CW41" s="186">
        <v>142</v>
      </c>
      <c r="CX41" s="187">
        <v>0.52804169514695831</v>
      </c>
      <c r="CY41" s="187">
        <v>0.73110749387065188</v>
      </c>
      <c r="CZ41" s="187">
        <v>0.46087105556409669</v>
      </c>
      <c r="DA41" s="187">
        <v>0.59858150525587306</v>
      </c>
      <c r="DB41" s="187">
        <v>0.65076780881350293</v>
      </c>
      <c r="DC41" s="187">
        <v>0.7753088770629466</v>
      </c>
      <c r="DD41" s="182">
        <v>165</v>
      </c>
      <c r="DE41" s="182">
        <v>2</v>
      </c>
      <c r="DF41" s="143">
        <v>1.2E-2</v>
      </c>
      <c r="DG41" s="143">
        <v>3.0000000000000001E-3</v>
      </c>
      <c r="DH41" s="143">
        <v>4.2999999999999997E-2</v>
      </c>
      <c r="DI41" s="178" t="str">
        <f t="shared" si="12"/>
        <v>Sig better than Eng.</v>
      </c>
      <c r="DJ41" s="182">
        <v>191</v>
      </c>
      <c r="DK41" s="182">
        <v>5</v>
      </c>
      <c r="DL41" s="143">
        <v>2.5999999999999999E-2</v>
      </c>
      <c r="DM41" s="143">
        <v>1.0999999999999999E-2</v>
      </c>
      <c r="DN41" s="143">
        <v>0.06</v>
      </c>
      <c r="DO41" s="178" t="str">
        <f t="shared" si="13"/>
        <v>Sig better than Eng.</v>
      </c>
      <c r="DP41" s="183">
        <v>203</v>
      </c>
      <c r="DQ41" s="183">
        <v>8</v>
      </c>
      <c r="DR41" s="143">
        <v>3.9408866995073892E-2</v>
      </c>
      <c r="DS41" s="143">
        <v>2.0102050271229469E-2</v>
      </c>
      <c r="DT41" s="143">
        <v>7.5823877411838186E-2</v>
      </c>
      <c r="DU41" s="178" t="str">
        <f t="shared" si="7"/>
        <v>Sig better than Eng.</v>
      </c>
      <c r="DV41" s="178">
        <v>175</v>
      </c>
      <c r="DW41" s="178">
        <v>11</v>
      </c>
      <c r="DX41" s="179">
        <v>6.2857142857142861E-2</v>
      </c>
      <c r="DY41" s="179">
        <v>3.5457550361549364E-2</v>
      </c>
      <c r="DZ41" s="179">
        <v>0.10903612012792414</v>
      </c>
      <c r="EA41" s="178" t="str">
        <f t="shared" si="14"/>
        <v>No Sig diff</v>
      </c>
      <c r="EB41" s="182">
        <v>174</v>
      </c>
      <c r="EC41" s="182">
        <v>14</v>
      </c>
      <c r="ED41" s="143">
        <v>0.08</v>
      </c>
      <c r="EE41" s="143">
        <v>4.9000000000000002E-2</v>
      </c>
      <c r="EF41" s="143">
        <v>0.13100000000000001</v>
      </c>
      <c r="EG41" s="178" t="str">
        <f t="shared" si="15"/>
        <v>Sig better than Eng.</v>
      </c>
      <c r="EH41" s="182">
        <v>162</v>
      </c>
      <c r="EI41" s="182">
        <v>21</v>
      </c>
      <c r="EJ41" s="143">
        <v>0.13</v>
      </c>
      <c r="EK41" s="143">
        <v>8.5999999999999993E-2</v>
      </c>
      <c r="EL41" s="143">
        <v>0.19</v>
      </c>
      <c r="EM41" s="178" t="str">
        <f t="shared" si="8"/>
        <v>No Sig diff</v>
      </c>
      <c r="EN41" s="183">
        <v>169</v>
      </c>
      <c r="EO41" s="183">
        <v>20</v>
      </c>
      <c r="EP41" s="197">
        <v>0.11834319526627218</v>
      </c>
      <c r="EQ41" s="179">
        <v>7.7928809241215022E-2</v>
      </c>
      <c r="ER41" s="179">
        <v>0.17572247974828192</v>
      </c>
      <c r="ES41" s="178" t="str">
        <f t="shared" si="9"/>
        <v>Sig better than Eng.</v>
      </c>
      <c r="ET41" s="206">
        <v>178</v>
      </c>
      <c r="EU41" s="206">
        <v>18</v>
      </c>
      <c r="EV41" s="179">
        <v>0.10112359550561797</v>
      </c>
      <c r="EW41" s="179">
        <v>6.4926616688432873E-2</v>
      </c>
      <c r="EX41" s="179">
        <v>0.1541733568768916</v>
      </c>
      <c r="EY41" s="178" t="str">
        <f t="shared" si="10"/>
        <v>Sig better than Eng.</v>
      </c>
      <c r="EZ41" s="207">
        <v>230</v>
      </c>
      <c r="FA41" s="186">
        <v>126</v>
      </c>
      <c r="FB41" s="187">
        <v>0.54782608695652169</v>
      </c>
      <c r="FC41" s="187">
        <v>0.48324428174249945</v>
      </c>
      <c r="FD41" s="187">
        <v>0.61083655452558616</v>
      </c>
      <c r="FE41" s="208">
        <v>230</v>
      </c>
      <c r="FF41" s="209">
        <v>34</v>
      </c>
      <c r="FG41" s="208">
        <v>46</v>
      </c>
      <c r="FH41" s="209">
        <v>24.347826086956513</v>
      </c>
      <c r="FI41" s="187">
        <f t="shared" si="11"/>
        <v>0.28388746803069081</v>
      </c>
      <c r="FJ41" s="186">
        <v>254</v>
      </c>
      <c r="FK41" s="186">
        <v>168</v>
      </c>
      <c r="FL41" s="187">
        <v>0.66141732283464572</v>
      </c>
      <c r="FM41" s="187">
        <v>0.60120044816600826</v>
      </c>
      <c r="FN41" s="187">
        <v>0.71682443571049714</v>
      </c>
      <c r="FO41" s="198">
        <v>254</v>
      </c>
      <c r="FP41" s="199">
        <v>34</v>
      </c>
      <c r="FQ41" s="198">
        <v>50</v>
      </c>
      <c r="FR41" s="199">
        <v>27.059999999999995</v>
      </c>
      <c r="FS41" s="210">
        <v>0.20411764705882368</v>
      </c>
      <c r="FT41" s="200">
        <v>3264</v>
      </c>
      <c r="FU41" s="200">
        <v>3239</v>
      </c>
      <c r="FV41" s="200">
        <v>25</v>
      </c>
      <c r="FW41" s="200">
        <v>24</v>
      </c>
      <c r="FX41" s="200">
        <v>1</v>
      </c>
      <c r="FY41" s="187">
        <f t="shared" si="4"/>
        <v>0.96</v>
      </c>
      <c r="FZ41" s="187">
        <f t="shared" si="5"/>
        <v>0.04</v>
      </c>
      <c r="GA41" s="197">
        <v>0.91988817509650833</v>
      </c>
      <c r="GB41" s="197">
        <v>8.0111824903491571E-2</v>
      </c>
      <c r="GC41" s="197">
        <v>5.2836307068052514E-2</v>
      </c>
      <c r="GD41" s="197">
        <v>0.14150749816822447</v>
      </c>
      <c r="GE41" s="197">
        <v>0.93379961088294428</v>
      </c>
      <c r="GF41" s="197">
        <v>6.620038911705578E-2</v>
      </c>
      <c r="GG41" s="197">
        <v>4.3420566103405354E-2</v>
      </c>
      <c r="GH41" s="197">
        <v>0.12650941504912244</v>
      </c>
      <c r="GI41" s="197">
        <v>0.90401766443433107</v>
      </c>
      <c r="GJ41" s="197">
        <v>9.5982335565668889E-2</v>
      </c>
      <c r="GK41" s="197">
        <v>6.740122032002023E-2</v>
      </c>
      <c r="GL41" s="197">
        <v>0.16356332104188054</v>
      </c>
      <c r="GM41" s="197">
        <v>0.8422166953416953</v>
      </c>
      <c r="GN41" s="197">
        <v>0.15778330465830465</v>
      </c>
      <c r="GO41" s="197">
        <v>0.11864352018350914</v>
      </c>
      <c r="GP41" s="197">
        <v>0.23439014159713753</v>
      </c>
      <c r="GQ41" s="186">
        <v>56</v>
      </c>
      <c r="GR41" s="186">
        <v>52</v>
      </c>
      <c r="GS41" s="178">
        <v>52</v>
      </c>
      <c r="GT41" s="178">
        <v>53</v>
      </c>
      <c r="GU41" s="178">
        <v>52</v>
      </c>
      <c r="GV41" s="178">
        <v>70</v>
      </c>
      <c r="GW41" s="178">
        <v>63</v>
      </c>
      <c r="GX41" s="178">
        <v>63</v>
      </c>
      <c r="GY41" s="178">
        <v>60</v>
      </c>
      <c r="GZ41" s="178">
        <v>64</v>
      </c>
      <c r="HA41" s="178">
        <v>67</v>
      </c>
      <c r="HB41" s="178">
        <v>67</v>
      </c>
      <c r="HC41" s="178">
        <v>68</v>
      </c>
      <c r="HD41" s="178">
        <v>74</v>
      </c>
      <c r="HE41" s="178">
        <v>70</v>
      </c>
      <c r="HF41" s="178">
        <v>72</v>
      </c>
      <c r="HG41" s="178">
        <v>67</v>
      </c>
      <c r="HH41" s="178">
        <v>72</v>
      </c>
      <c r="HI41" s="178">
        <v>71</v>
      </c>
      <c r="HJ41" s="178">
        <v>56</v>
      </c>
      <c r="HK41" s="178">
        <v>71</v>
      </c>
      <c r="HL41" s="178">
        <v>67</v>
      </c>
      <c r="HM41" s="178">
        <v>72</v>
      </c>
      <c r="HN41" s="186">
        <v>14</v>
      </c>
      <c r="HO41" s="187">
        <v>1.237842617152962E-2</v>
      </c>
      <c r="HP41" s="217">
        <v>1748</v>
      </c>
      <c r="HQ41" s="217">
        <v>1643</v>
      </c>
      <c r="HR41" s="217">
        <v>105</v>
      </c>
      <c r="HS41" s="1704">
        <v>6.0068649885583525E-2</v>
      </c>
    </row>
    <row r="42" spans="1:227" ht="13.8" customHeight="1" x14ac:dyDescent="0.25">
      <c r="A42" s="183" t="s">
        <v>624</v>
      </c>
      <c r="B42" s="183"/>
      <c r="C42" s="183" t="s">
        <v>102</v>
      </c>
      <c r="D42" s="183" t="s">
        <v>102</v>
      </c>
      <c r="E42" s="183" t="s">
        <v>102</v>
      </c>
      <c r="F42" s="183" t="s">
        <v>102</v>
      </c>
      <c r="G42" s="183" t="s">
        <v>480</v>
      </c>
      <c r="H42" s="183" t="s">
        <v>141</v>
      </c>
      <c r="I42" s="183" t="s">
        <v>140</v>
      </c>
      <c r="J42" s="183" t="s">
        <v>703</v>
      </c>
      <c r="K42" s="183" t="s">
        <v>102</v>
      </c>
      <c r="L42" s="184">
        <v>10660</v>
      </c>
      <c r="M42" s="184">
        <v>10735</v>
      </c>
      <c r="N42" s="184">
        <v>10835</v>
      </c>
      <c r="O42" s="184">
        <v>10865</v>
      </c>
      <c r="P42" s="184">
        <v>10945</v>
      </c>
      <c r="Q42" s="184">
        <v>10870</v>
      </c>
      <c r="R42" s="184">
        <v>11015</v>
      </c>
      <c r="S42" s="184">
        <v>11065</v>
      </c>
      <c r="T42" s="184">
        <v>11080</v>
      </c>
      <c r="U42" s="184">
        <v>11015</v>
      </c>
      <c r="V42" s="184">
        <v>895</v>
      </c>
      <c r="W42" s="184">
        <v>880</v>
      </c>
      <c r="X42" s="184">
        <v>890</v>
      </c>
      <c r="Y42" s="184">
        <v>855</v>
      </c>
      <c r="Z42" s="184">
        <v>850</v>
      </c>
      <c r="AA42" s="184">
        <v>815</v>
      </c>
      <c r="AB42" s="184">
        <v>825</v>
      </c>
      <c r="AC42" s="184">
        <v>810</v>
      </c>
      <c r="AD42" s="184">
        <v>780</v>
      </c>
      <c r="AE42" s="184">
        <v>765</v>
      </c>
      <c r="AF42" s="187">
        <v>0.89027431421446379</v>
      </c>
      <c r="AG42" s="187">
        <v>2.2443890274314215E-2</v>
      </c>
      <c r="AH42" s="187">
        <v>3.8653366583541147E-2</v>
      </c>
      <c r="AI42" s="187">
        <v>4.3640897755610975E-2</v>
      </c>
      <c r="AJ42" s="187">
        <v>4.9875311720698253E-3</v>
      </c>
      <c r="AK42" s="187">
        <v>0</v>
      </c>
      <c r="AL42" s="187">
        <v>0.10972568578553615</v>
      </c>
      <c r="AM42" s="184">
        <v>1615</v>
      </c>
      <c r="AN42" s="187">
        <v>0.71065675340768275</v>
      </c>
      <c r="AO42" s="187">
        <v>0.13444857496902107</v>
      </c>
      <c r="AP42" s="187">
        <v>0.15489467162329615</v>
      </c>
      <c r="AQ42" s="184">
        <v>146</v>
      </c>
      <c r="AR42" s="184">
        <v>149</v>
      </c>
      <c r="AS42" s="184">
        <v>140</v>
      </c>
      <c r="AT42" s="184">
        <v>139</v>
      </c>
      <c r="AU42" s="184">
        <v>139</v>
      </c>
      <c r="AV42" s="186">
        <v>5</v>
      </c>
      <c r="AW42" s="186">
        <v>5</v>
      </c>
      <c r="AX42" s="186">
        <v>3</v>
      </c>
      <c r="AY42" s="186">
        <v>0</v>
      </c>
      <c r="AZ42" s="186">
        <v>6</v>
      </c>
      <c r="BA42" s="186">
        <v>8</v>
      </c>
      <c r="BB42" s="187">
        <v>5.7553956834532377E-2</v>
      </c>
      <c r="BC42" s="187">
        <v>2.9448901559716051E-2</v>
      </c>
      <c r="BD42" s="187">
        <v>0.10945656037343801</v>
      </c>
      <c r="BE42" s="193">
        <v>7</v>
      </c>
      <c r="BF42" s="184">
        <v>258</v>
      </c>
      <c r="BG42" s="184">
        <v>268</v>
      </c>
      <c r="BH42" s="184">
        <v>121</v>
      </c>
      <c r="BI42" s="184">
        <v>0.14698135896818981</v>
      </c>
      <c r="BJ42" s="184">
        <v>1656</v>
      </c>
      <c r="BK42" s="184">
        <v>2925</v>
      </c>
      <c r="BL42" s="186">
        <v>1282</v>
      </c>
      <c r="BM42" s="186">
        <v>848</v>
      </c>
      <c r="BN42" s="186">
        <v>1</v>
      </c>
      <c r="BO42" s="186">
        <v>170</v>
      </c>
      <c r="BP42" s="186">
        <v>202</v>
      </c>
      <c r="BQ42" s="186">
        <v>61</v>
      </c>
      <c r="BR42" s="193">
        <v>55</v>
      </c>
      <c r="BS42" s="193">
        <v>60</v>
      </c>
      <c r="BT42" s="193">
        <v>40</v>
      </c>
      <c r="BU42" s="186">
        <v>291</v>
      </c>
      <c r="BV42" s="186">
        <v>68</v>
      </c>
      <c r="BW42" s="222">
        <f t="shared" si="6"/>
        <v>0.23367697594501718</v>
      </c>
      <c r="BX42" s="186">
        <v>18</v>
      </c>
      <c r="BY42" s="193">
        <v>9</v>
      </c>
      <c r="BZ42" s="1676">
        <v>96</v>
      </c>
      <c r="CA42" s="222">
        <v>2.2524636320976069E-2</v>
      </c>
      <c r="CB42" s="200">
        <v>95</v>
      </c>
      <c r="CC42" s="200">
        <v>90</v>
      </c>
      <c r="CD42" s="200">
        <v>80</v>
      </c>
      <c r="CE42" s="200">
        <v>70</v>
      </c>
      <c r="CF42" s="184">
        <v>245</v>
      </c>
      <c r="CG42" s="187">
        <v>0.10257142857142856</v>
      </c>
      <c r="CH42" s="186">
        <v>225</v>
      </c>
      <c r="CI42" s="187">
        <v>9.0142857142857122E-2</v>
      </c>
      <c r="CJ42" s="186">
        <v>250</v>
      </c>
      <c r="CK42" s="187">
        <v>9.9000000000000005E-2</v>
      </c>
      <c r="CL42" s="186">
        <v>230</v>
      </c>
      <c r="CM42" s="187">
        <v>8.7714285714285731E-2</v>
      </c>
      <c r="CN42" s="186">
        <v>260</v>
      </c>
      <c r="CO42" s="187">
        <v>0.10242857142857142</v>
      </c>
      <c r="CP42" s="186">
        <v>200</v>
      </c>
      <c r="CQ42" s="187">
        <v>8.1632653061224483E-2</v>
      </c>
      <c r="CR42" s="184">
        <v>128</v>
      </c>
      <c r="CS42" s="184">
        <v>4</v>
      </c>
      <c r="CT42" s="184">
        <v>124</v>
      </c>
      <c r="CU42" s="187">
        <v>0.96561533704390845</v>
      </c>
      <c r="CV42" s="186">
        <v>50</v>
      </c>
      <c r="CW42" s="186">
        <v>63</v>
      </c>
      <c r="CX42" s="187">
        <v>0.39850440176070434</v>
      </c>
      <c r="CY42" s="187">
        <v>0.50356309190342807</v>
      </c>
      <c r="CZ42" s="187">
        <v>0.32104885004590489</v>
      </c>
      <c r="DA42" s="187">
        <v>0.49121883120964888</v>
      </c>
      <c r="DB42" s="187">
        <v>0.42115888884621255</v>
      </c>
      <c r="DC42" s="187">
        <v>0.59448547104915794</v>
      </c>
      <c r="DD42" s="182">
        <v>151</v>
      </c>
      <c r="DE42" s="182">
        <v>12</v>
      </c>
      <c r="DF42" s="143">
        <v>7.9470198675496692E-2</v>
      </c>
      <c r="DG42" s="143">
        <v>4.604266587121892E-2</v>
      </c>
      <c r="DH42" s="143">
        <v>0.13376356324041996</v>
      </c>
      <c r="DI42" s="178" t="str">
        <f t="shared" si="12"/>
        <v>No Sig diff</v>
      </c>
      <c r="DJ42" s="182">
        <v>141</v>
      </c>
      <c r="DK42" s="182">
        <v>7</v>
      </c>
      <c r="DL42" s="143">
        <v>4.9645390070921988E-2</v>
      </c>
      <c r="DM42" s="143">
        <v>2.4253530324488039E-2</v>
      </c>
      <c r="DN42" s="143">
        <v>9.8925695885742862E-2</v>
      </c>
      <c r="DO42" s="178" t="str">
        <f t="shared" si="13"/>
        <v>No Sig diff</v>
      </c>
      <c r="DP42" s="183">
        <v>143</v>
      </c>
      <c r="DQ42" s="183">
        <v>12</v>
      </c>
      <c r="DR42" s="143">
        <v>8.3916083916083919E-2</v>
      </c>
      <c r="DS42" s="143">
        <v>4.8653962460813528E-2</v>
      </c>
      <c r="DT42" s="143">
        <v>0.14094820469479138</v>
      </c>
      <c r="DU42" s="178" t="str">
        <f t="shared" si="7"/>
        <v>No Sig diff</v>
      </c>
      <c r="DV42" s="178">
        <v>101</v>
      </c>
      <c r="DW42" s="178">
        <v>5</v>
      </c>
      <c r="DX42" s="179">
        <v>4.9504950495049507E-2</v>
      </c>
      <c r="DY42" s="179">
        <v>2.1328509888006445E-2</v>
      </c>
      <c r="DZ42" s="179">
        <v>0.11069425072968564</v>
      </c>
      <c r="EA42" s="178" t="str">
        <f t="shared" si="14"/>
        <v>No Sig diff</v>
      </c>
      <c r="EB42" s="178">
        <v>159</v>
      </c>
      <c r="EC42" s="178">
        <v>34</v>
      </c>
      <c r="ED42" s="143">
        <v>0.21383647798742139</v>
      </c>
      <c r="EE42" s="143">
        <v>0.15725209441968857</v>
      </c>
      <c r="EF42" s="143">
        <v>0.28392215776997809</v>
      </c>
      <c r="EG42" s="178" t="str">
        <f t="shared" si="15"/>
        <v>No Sig diff</v>
      </c>
      <c r="EH42" s="178">
        <v>120</v>
      </c>
      <c r="EI42" s="178">
        <v>18</v>
      </c>
      <c r="EJ42" s="143">
        <v>0.15</v>
      </c>
      <c r="EK42" s="143">
        <v>9.7038122925847389E-2</v>
      </c>
      <c r="EL42" s="143">
        <v>0.22467529356724508</v>
      </c>
      <c r="EM42" s="178" t="str">
        <f t="shared" si="8"/>
        <v>No Sig diff</v>
      </c>
      <c r="EN42" s="183">
        <v>135</v>
      </c>
      <c r="EO42" s="183">
        <v>16</v>
      </c>
      <c r="EP42" s="197">
        <v>0.11851851851851852</v>
      </c>
      <c r="EQ42" s="179">
        <v>7.4283486027595741E-2</v>
      </c>
      <c r="ER42" s="179">
        <v>0.18386317365984914</v>
      </c>
      <c r="ES42" s="178" t="str">
        <f t="shared" si="9"/>
        <v>Sig better than Eng.</v>
      </c>
      <c r="ET42" s="206">
        <v>128</v>
      </c>
      <c r="EU42" s="206">
        <v>21</v>
      </c>
      <c r="EV42" s="179">
        <v>0.1640625</v>
      </c>
      <c r="EW42" s="179">
        <v>0.10988331645919329</v>
      </c>
      <c r="EX42" s="179">
        <v>0.23781807603707014</v>
      </c>
      <c r="EY42" s="178" t="str">
        <f t="shared" si="10"/>
        <v>No Sig diff</v>
      </c>
      <c r="EZ42" s="207">
        <v>163</v>
      </c>
      <c r="FA42" s="186">
        <v>108</v>
      </c>
      <c r="FB42" s="187">
        <v>0.66257668711656437</v>
      </c>
      <c r="FC42" s="187">
        <v>0.58698917481437962</v>
      </c>
      <c r="FD42" s="187">
        <v>0.73067767115200299</v>
      </c>
      <c r="FE42" s="208">
        <v>163</v>
      </c>
      <c r="FF42" s="209">
        <v>35</v>
      </c>
      <c r="FG42" s="208">
        <v>32</v>
      </c>
      <c r="FH42" s="209">
        <v>26.906250000000004</v>
      </c>
      <c r="FI42" s="187">
        <f t="shared" si="11"/>
        <v>0.2312499999999999</v>
      </c>
      <c r="FJ42" s="186">
        <v>150</v>
      </c>
      <c r="FK42" s="186">
        <v>107</v>
      </c>
      <c r="FL42" s="187">
        <v>0.71333333333333337</v>
      </c>
      <c r="FM42" s="187">
        <v>0.63635082260833997</v>
      </c>
      <c r="FN42" s="187">
        <v>0.77966187312794732</v>
      </c>
      <c r="FO42" s="198">
        <v>150</v>
      </c>
      <c r="FP42" s="199">
        <v>34</v>
      </c>
      <c r="FQ42" s="198">
        <v>30</v>
      </c>
      <c r="FR42" s="199">
        <v>29.633333333333329</v>
      </c>
      <c r="FS42" s="210">
        <v>0.12843137254901973</v>
      </c>
      <c r="FT42" s="200">
        <v>2111</v>
      </c>
      <c r="FU42" s="200">
        <v>2085</v>
      </c>
      <c r="FV42" s="200">
        <v>26</v>
      </c>
      <c r="FW42" s="200">
        <v>25</v>
      </c>
      <c r="FX42" s="200">
        <v>1</v>
      </c>
      <c r="FY42" s="187">
        <f t="shared" si="4"/>
        <v>0.96153846153846156</v>
      </c>
      <c r="FZ42" s="187">
        <f t="shared" si="5"/>
        <v>3.8461538461538464E-2</v>
      </c>
      <c r="GA42" s="197">
        <v>0.94065934065934076</v>
      </c>
      <c r="GB42" s="197">
        <v>5.9340659340659338E-2</v>
      </c>
      <c r="GC42" s="197">
        <v>2.5950008789329414E-2</v>
      </c>
      <c r="GD42" s="197">
        <v>0.11697106055647577</v>
      </c>
      <c r="GE42" s="197">
        <v>0.9580586080586081</v>
      </c>
      <c r="GF42" s="197">
        <v>4.1941391941391945E-2</v>
      </c>
      <c r="GG42" s="197">
        <v>1.4631662528342755E-2</v>
      </c>
      <c r="GH42" s="197">
        <v>9.2201872895180545E-2</v>
      </c>
      <c r="GI42" s="197">
        <v>0.9580586080586081</v>
      </c>
      <c r="GJ42" s="197">
        <v>4.1941391941391945E-2</v>
      </c>
      <c r="GK42" s="197">
        <v>1.4631662528342755E-2</v>
      </c>
      <c r="GL42" s="197">
        <v>9.2201872895180545E-2</v>
      </c>
      <c r="GM42" s="197">
        <v>0.88284465534465539</v>
      </c>
      <c r="GN42" s="197">
        <v>0.11715534465534468</v>
      </c>
      <c r="GO42" s="197">
        <v>7.3800941708644846E-2</v>
      </c>
      <c r="GP42" s="197">
        <v>0.20037363859888463</v>
      </c>
      <c r="GQ42" s="186">
        <v>35</v>
      </c>
      <c r="GR42" s="186">
        <v>34</v>
      </c>
      <c r="GS42" s="178">
        <v>34</v>
      </c>
      <c r="GT42" s="178">
        <v>35</v>
      </c>
      <c r="GU42" s="178">
        <v>34</v>
      </c>
      <c r="GV42" s="178">
        <v>38</v>
      </c>
      <c r="GW42" s="178">
        <v>38</v>
      </c>
      <c r="GX42" s="178">
        <v>38</v>
      </c>
      <c r="GY42" s="178">
        <v>38</v>
      </c>
      <c r="GZ42" s="178">
        <v>38</v>
      </c>
      <c r="HA42" s="178">
        <v>38</v>
      </c>
      <c r="HB42" s="178">
        <v>37</v>
      </c>
      <c r="HC42" s="178">
        <v>38</v>
      </c>
      <c r="HD42" s="178">
        <v>46</v>
      </c>
      <c r="HE42" s="178">
        <v>45</v>
      </c>
      <c r="HF42" s="178">
        <v>43</v>
      </c>
      <c r="HG42" s="178">
        <v>44</v>
      </c>
      <c r="HH42" s="178">
        <v>43</v>
      </c>
      <c r="HI42" s="178">
        <v>43</v>
      </c>
      <c r="HJ42" s="178">
        <v>42</v>
      </c>
      <c r="HK42" s="178">
        <v>43</v>
      </c>
      <c r="HL42" s="178">
        <v>42</v>
      </c>
      <c r="HM42" s="178">
        <v>43</v>
      </c>
      <c r="HN42" s="186">
        <v>7</v>
      </c>
      <c r="HO42" s="187">
        <v>8.7281795511221939E-3</v>
      </c>
      <c r="HP42" s="217">
        <v>1306</v>
      </c>
      <c r="HQ42" s="217">
        <v>1227</v>
      </c>
      <c r="HR42" s="217">
        <v>79</v>
      </c>
      <c r="HS42" s="1704">
        <v>6.0490045941807041E-2</v>
      </c>
    </row>
    <row r="43" spans="1:227" ht="13.2" customHeight="1" x14ac:dyDescent="0.25">
      <c r="A43" s="183" t="s">
        <v>625</v>
      </c>
      <c r="B43" s="183"/>
      <c r="C43" s="183" t="s">
        <v>101</v>
      </c>
      <c r="D43" s="183" t="s">
        <v>680</v>
      </c>
      <c r="E43" s="183" t="s">
        <v>101</v>
      </c>
      <c r="F43" s="183" t="s">
        <v>101</v>
      </c>
      <c r="G43" s="183" t="s">
        <v>469</v>
      </c>
      <c r="H43" s="183" t="s">
        <v>143</v>
      </c>
      <c r="I43" s="183" t="s">
        <v>144</v>
      </c>
      <c r="J43" s="183" t="s">
        <v>703</v>
      </c>
      <c r="K43" s="183" t="s">
        <v>101</v>
      </c>
      <c r="L43" s="184">
        <v>13510</v>
      </c>
      <c r="M43" s="184">
        <v>13700</v>
      </c>
      <c r="N43" s="184">
        <v>14090</v>
      </c>
      <c r="O43" s="184">
        <v>14320</v>
      </c>
      <c r="P43" s="184">
        <v>14400</v>
      </c>
      <c r="Q43" s="184">
        <v>14500</v>
      </c>
      <c r="R43" s="184">
        <v>14600</v>
      </c>
      <c r="S43" s="184">
        <v>14840</v>
      </c>
      <c r="T43" s="184">
        <v>15055</v>
      </c>
      <c r="U43" s="184">
        <v>15260</v>
      </c>
      <c r="V43" s="184">
        <v>820</v>
      </c>
      <c r="W43" s="184">
        <v>775</v>
      </c>
      <c r="X43" s="184">
        <v>800</v>
      </c>
      <c r="Y43" s="184">
        <v>865</v>
      </c>
      <c r="Z43" s="184">
        <v>865</v>
      </c>
      <c r="AA43" s="184">
        <v>900</v>
      </c>
      <c r="AB43" s="184">
        <v>900</v>
      </c>
      <c r="AC43" s="184">
        <v>915</v>
      </c>
      <c r="AD43" s="184">
        <v>940</v>
      </c>
      <c r="AE43" s="184">
        <v>985</v>
      </c>
      <c r="AF43" s="187">
        <v>0.83986562150055988</v>
      </c>
      <c r="AG43" s="187">
        <v>4.3673012318029114E-2</v>
      </c>
      <c r="AH43" s="187">
        <v>4.9272116461366179E-2</v>
      </c>
      <c r="AI43" s="187">
        <v>5.5991041433370664E-2</v>
      </c>
      <c r="AJ43" s="187">
        <v>6.7189249720044789E-3</v>
      </c>
      <c r="AK43" s="187">
        <v>4.4792833146696529E-3</v>
      </c>
      <c r="AL43" s="187">
        <v>0.16013437849944009</v>
      </c>
      <c r="AM43" s="184">
        <v>1710</v>
      </c>
      <c r="AN43" s="187">
        <v>0.66764189584552369</v>
      </c>
      <c r="AO43" s="187">
        <v>0.14921006436512579</v>
      </c>
      <c r="AP43" s="187">
        <v>0.18314803978935049</v>
      </c>
      <c r="AQ43" s="184">
        <v>174</v>
      </c>
      <c r="AR43" s="184">
        <v>164</v>
      </c>
      <c r="AS43" s="184">
        <v>195</v>
      </c>
      <c r="AT43" s="184">
        <v>156</v>
      </c>
      <c r="AU43" s="184">
        <v>196</v>
      </c>
      <c r="AV43" s="186">
        <v>2</v>
      </c>
      <c r="AW43" s="186">
        <v>3</v>
      </c>
      <c r="AX43" s="186">
        <v>3</v>
      </c>
      <c r="AY43" s="186">
        <v>1</v>
      </c>
      <c r="AZ43" s="186">
        <v>2</v>
      </c>
      <c r="BA43" s="186">
        <v>16</v>
      </c>
      <c r="BB43" s="187">
        <v>8.1632653061224483E-2</v>
      </c>
      <c r="BC43" s="187">
        <v>5.0870551452464711E-2</v>
      </c>
      <c r="BD43" s="187">
        <v>0.12847891402983311</v>
      </c>
      <c r="BE43" s="193">
        <v>4</v>
      </c>
      <c r="BF43" s="184">
        <v>291</v>
      </c>
      <c r="BG43" s="184">
        <v>299</v>
      </c>
      <c r="BH43" s="184">
        <v>111</v>
      </c>
      <c r="BI43" s="184">
        <v>0.13630790713323415</v>
      </c>
      <c r="BJ43" s="184">
        <v>1691</v>
      </c>
      <c r="BK43" s="184">
        <v>2953</v>
      </c>
      <c r="BL43" s="186">
        <v>1667</v>
      </c>
      <c r="BM43" s="186">
        <v>1141</v>
      </c>
      <c r="BN43" s="186">
        <v>1</v>
      </c>
      <c r="BO43" s="186">
        <v>169</v>
      </c>
      <c r="BP43" s="186">
        <v>262</v>
      </c>
      <c r="BQ43" s="186">
        <v>94</v>
      </c>
      <c r="BR43" s="193">
        <v>65</v>
      </c>
      <c r="BS43" s="193">
        <v>70</v>
      </c>
      <c r="BT43" s="193">
        <v>70</v>
      </c>
      <c r="BU43" s="186">
        <v>286</v>
      </c>
      <c r="BV43" s="186">
        <v>85</v>
      </c>
      <c r="BW43" s="222">
        <f t="shared" si="6"/>
        <v>0.29720279720279719</v>
      </c>
      <c r="BX43" s="186">
        <v>31</v>
      </c>
      <c r="BY43" s="193">
        <v>9</v>
      </c>
      <c r="BZ43" s="1676">
        <v>200</v>
      </c>
      <c r="CA43" s="222">
        <v>3.0211480362537766E-2</v>
      </c>
      <c r="CB43" s="200">
        <v>95</v>
      </c>
      <c r="CC43" s="200">
        <v>80</v>
      </c>
      <c r="CD43" s="200">
        <v>105</v>
      </c>
      <c r="CE43" s="200">
        <v>100</v>
      </c>
      <c r="CF43" s="184">
        <v>235</v>
      </c>
      <c r="CG43" s="187">
        <v>0.1037777777777778</v>
      </c>
      <c r="CH43" s="186">
        <v>235</v>
      </c>
      <c r="CI43" s="187">
        <v>0.10033333333333334</v>
      </c>
      <c r="CJ43" s="186">
        <v>245</v>
      </c>
      <c r="CK43" s="187">
        <v>9.6000000000000016E-2</v>
      </c>
      <c r="CL43" s="184">
        <v>250</v>
      </c>
      <c r="CM43" s="187">
        <v>9.2000000000000026E-2</v>
      </c>
      <c r="CN43" s="184">
        <v>260</v>
      </c>
      <c r="CO43" s="187">
        <v>8.8888888888888906E-2</v>
      </c>
      <c r="CP43" s="184">
        <v>230</v>
      </c>
      <c r="CQ43" s="187">
        <v>8.9668615984405453E-2</v>
      </c>
      <c r="CR43" s="184">
        <v>154</v>
      </c>
      <c r="CS43" s="184">
        <v>3</v>
      </c>
      <c r="CT43" s="184">
        <v>151</v>
      </c>
      <c r="CU43" s="187">
        <v>0.9781201369436664</v>
      </c>
      <c r="CV43" s="186">
        <v>73</v>
      </c>
      <c r="CW43" s="186">
        <v>92</v>
      </c>
      <c r="CX43" s="187">
        <v>0.48621979871979876</v>
      </c>
      <c r="CY43" s="187">
        <v>0.60651000234333574</v>
      </c>
      <c r="CZ43" s="187">
        <v>0.40514083756405994</v>
      </c>
      <c r="DA43" s="187">
        <v>0.56256809853579959</v>
      </c>
      <c r="DB43" s="187">
        <v>0.52966070139484978</v>
      </c>
      <c r="DC43" s="187">
        <v>0.68346032034607762</v>
      </c>
      <c r="DD43" s="182">
        <v>149</v>
      </c>
      <c r="DE43" s="182">
        <v>5</v>
      </c>
      <c r="DF43" s="143">
        <v>3.3557046979865772E-2</v>
      </c>
      <c r="DG43" s="143">
        <v>1.4417106348108081E-2</v>
      </c>
      <c r="DH43" s="143">
        <v>7.6143785490357191E-2</v>
      </c>
      <c r="DI43" s="178" t="str">
        <f t="shared" si="12"/>
        <v>Sig better than Eng.</v>
      </c>
      <c r="DJ43" s="182">
        <v>141</v>
      </c>
      <c r="DK43" s="182">
        <v>9</v>
      </c>
      <c r="DL43" s="143">
        <v>6.3829787234042548E-2</v>
      </c>
      <c r="DM43" s="143">
        <v>3.3941271284132213E-2</v>
      </c>
      <c r="DN43" s="143">
        <v>0.11685435725018591</v>
      </c>
      <c r="DO43" s="178" t="str">
        <f t="shared" si="13"/>
        <v>No Sig diff</v>
      </c>
      <c r="DP43" s="183">
        <v>80</v>
      </c>
      <c r="DQ43" s="183">
        <v>8</v>
      </c>
      <c r="DR43" s="143">
        <v>0.1</v>
      </c>
      <c r="DS43" s="143">
        <v>5.1547615567380821E-2</v>
      </c>
      <c r="DT43" s="143">
        <v>0.18510688806104081</v>
      </c>
      <c r="DU43" s="178" t="str">
        <f t="shared" si="7"/>
        <v>No Sig diff</v>
      </c>
      <c r="DV43" s="178">
        <v>133</v>
      </c>
      <c r="DW43" s="178">
        <v>7</v>
      </c>
      <c r="DX43" s="179">
        <v>5.2631578947368418E-2</v>
      </c>
      <c r="DY43" s="179">
        <v>2.5725728312537676E-2</v>
      </c>
      <c r="DZ43" s="179">
        <v>0.10465477898731589</v>
      </c>
      <c r="EA43" s="178" t="str">
        <f t="shared" si="14"/>
        <v>No Sig diff</v>
      </c>
      <c r="EB43" s="182">
        <v>125</v>
      </c>
      <c r="EC43" s="182">
        <v>23</v>
      </c>
      <c r="ED43" s="143">
        <v>0.184</v>
      </c>
      <c r="EE43" s="143">
        <v>0.12585414090214395</v>
      </c>
      <c r="EF43" s="143">
        <v>0.26098918792151837</v>
      </c>
      <c r="EG43" s="178" t="str">
        <f t="shared" si="15"/>
        <v>No Sig diff</v>
      </c>
      <c r="EH43" s="182">
        <v>158</v>
      </c>
      <c r="EI43" s="182">
        <v>24</v>
      </c>
      <c r="EJ43" s="143">
        <v>0.15189873417721519</v>
      </c>
      <c r="EK43" s="143">
        <v>0.10425003468710974</v>
      </c>
      <c r="EL43" s="143">
        <v>0.21607245374355769</v>
      </c>
      <c r="EM43" s="178" t="str">
        <f t="shared" si="8"/>
        <v>No Sig diff</v>
      </c>
      <c r="EN43" s="183">
        <v>117</v>
      </c>
      <c r="EO43" s="183">
        <v>10</v>
      </c>
      <c r="EP43" s="197">
        <v>8.5470085470085472E-2</v>
      </c>
      <c r="EQ43" s="179">
        <v>4.7087483244617576E-2</v>
      </c>
      <c r="ER43" s="179">
        <v>0.15020787427064</v>
      </c>
      <c r="ES43" s="178" t="str">
        <f t="shared" si="9"/>
        <v>Sig better than Eng.</v>
      </c>
      <c r="ET43" s="206">
        <v>119</v>
      </c>
      <c r="EU43" s="206">
        <v>9</v>
      </c>
      <c r="EV43" s="179">
        <v>7.5630252100840331E-2</v>
      </c>
      <c r="EW43" s="179">
        <v>4.0297241660835648E-2</v>
      </c>
      <c r="EX43" s="179">
        <v>0.13750477266215499</v>
      </c>
      <c r="EY43" s="178" t="str">
        <f t="shared" si="10"/>
        <v>Sig better than Eng.</v>
      </c>
      <c r="EZ43" s="207">
        <v>162</v>
      </c>
      <c r="FA43" s="186">
        <v>96</v>
      </c>
      <c r="FB43" s="187">
        <v>0.59259259259259256</v>
      </c>
      <c r="FC43" s="187">
        <v>0.51563559092203559</v>
      </c>
      <c r="FD43" s="187">
        <v>0.66526006818113026</v>
      </c>
      <c r="FE43" s="208">
        <v>162</v>
      </c>
      <c r="FF43" s="209">
        <v>34</v>
      </c>
      <c r="FG43" s="208">
        <v>32</v>
      </c>
      <c r="FH43" s="209">
        <v>24.46875</v>
      </c>
      <c r="FI43" s="187">
        <f t="shared" si="11"/>
        <v>0.28033088235294118</v>
      </c>
      <c r="FJ43" s="186">
        <v>185</v>
      </c>
      <c r="FK43" s="186">
        <v>101</v>
      </c>
      <c r="FL43" s="187">
        <v>0.54594594594594592</v>
      </c>
      <c r="FM43" s="187">
        <v>0.47399376090072665</v>
      </c>
      <c r="FN43" s="187">
        <v>0.61602884380781664</v>
      </c>
      <c r="FO43" s="198">
        <v>185</v>
      </c>
      <c r="FP43" s="199">
        <v>34</v>
      </c>
      <c r="FQ43" s="198">
        <v>37</v>
      </c>
      <c r="FR43" s="199">
        <v>24.783783783783782</v>
      </c>
      <c r="FS43" s="210">
        <v>0.27106518282988873</v>
      </c>
      <c r="FT43" s="200">
        <v>2096</v>
      </c>
      <c r="FU43" s="200">
        <v>2025</v>
      </c>
      <c r="FV43" s="200">
        <v>71</v>
      </c>
      <c r="FW43" s="200">
        <v>56</v>
      </c>
      <c r="FX43" s="200">
        <v>15</v>
      </c>
      <c r="FY43" s="187">
        <f t="shared" si="4"/>
        <v>0.78873239436619713</v>
      </c>
      <c r="FZ43" s="187">
        <f t="shared" si="5"/>
        <v>0.21126760563380281</v>
      </c>
      <c r="GA43" s="197">
        <v>0.95912975912975917</v>
      </c>
      <c r="GB43" s="197">
        <v>4.0870240870240868E-2</v>
      </c>
      <c r="GC43" s="197">
        <v>1.7224087727905863E-2</v>
      </c>
      <c r="GD43" s="197">
        <v>0.10763251528174392</v>
      </c>
      <c r="GE43" s="197">
        <v>0.96767676767676769</v>
      </c>
      <c r="GF43" s="197">
        <v>3.2323232323232323E-2</v>
      </c>
      <c r="GG43" s="197">
        <v>1.1274202463345791E-2</v>
      </c>
      <c r="GH43" s="197">
        <v>9.2494607847741314E-2</v>
      </c>
      <c r="GI43" s="197">
        <v>0.95912975912975895</v>
      </c>
      <c r="GJ43" s="197">
        <v>4.0870240870240875E-2</v>
      </c>
      <c r="GK43" s="197">
        <v>1.7224087727905863E-2</v>
      </c>
      <c r="GL43" s="197">
        <v>0.10763251528174392</v>
      </c>
      <c r="GM43" s="197">
        <v>0.83677356594023267</v>
      </c>
      <c r="GN43" s="197">
        <v>0.16322643405976739</v>
      </c>
      <c r="GO43" s="197">
        <v>9.607722097921384E-2</v>
      </c>
      <c r="GP43" s="197">
        <v>0.24688972487264566</v>
      </c>
      <c r="GQ43" s="186">
        <v>49</v>
      </c>
      <c r="GR43" s="186">
        <v>45</v>
      </c>
      <c r="GS43" s="178">
        <v>45</v>
      </c>
      <c r="GT43" s="178">
        <v>47</v>
      </c>
      <c r="GU43" s="178">
        <v>45</v>
      </c>
      <c r="GV43" s="178">
        <v>54</v>
      </c>
      <c r="GW43" s="178">
        <v>50</v>
      </c>
      <c r="GX43" s="178">
        <v>50</v>
      </c>
      <c r="GY43" s="178">
        <v>50</v>
      </c>
      <c r="GZ43" s="178">
        <v>50</v>
      </c>
      <c r="HA43" s="178">
        <v>49</v>
      </c>
      <c r="HB43" s="178">
        <v>50</v>
      </c>
      <c r="HC43" s="178">
        <v>50</v>
      </c>
      <c r="HD43" s="178">
        <v>48</v>
      </c>
      <c r="HE43" s="178">
        <v>45</v>
      </c>
      <c r="HF43" s="178">
        <v>45</v>
      </c>
      <c r="HG43" s="178">
        <v>43</v>
      </c>
      <c r="HH43" s="178">
        <v>45</v>
      </c>
      <c r="HI43" s="178">
        <v>46</v>
      </c>
      <c r="HJ43" s="178">
        <v>43</v>
      </c>
      <c r="HK43" s="178">
        <v>46</v>
      </c>
      <c r="HL43" s="178">
        <v>45</v>
      </c>
      <c r="HM43" s="178">
        <v>45</v>
      </c>
      <c r="HN43" s="186">
        <v>17</v>
      </c>
      <c r="HO43" s="187">
        <v>1.9036954087346025E-2</v>
      </c>
      <c r="HP43" s="217">
        <v>1395</v>
      </c>
      <c r="HQ43" s="217">
        <v>1297</v>
      </c>
      <c r="HR43" s="217">
        <v>98</v>
      </c>
      <c r="HS43" s="1704">
        <v>7.0250896057347675E-2</v>
      </c>
    </row>
    <row r="44" spans="1:227" ht="13.8" customHeight="1" x14ac:dyDescent="0.25">
      <c r="A44" s="183" t="s">
        <v>440</v>
      </c>
      <c r="B44" s="183"/>
      <c r="C44" s="183" t="s">
        <v>429</v>
      </c>
      <c r="D44" s="183" t="s">
        <v>677</v>
      </c>
      <c r="E44" s="183" t="s">
        <v>100</v>
      </c>
      <c r="F44" s="183" t="s">
        <v>489</v>
      </c>
      <c r="G44" s="183" t="s">
        <v>452</v>
      </c>
      <c r="H44" s="183" t="s">
        <v>176</v>
      </c>
      <c r="I44" s="183" t="s">
        <v>130</v>
      </c>
      <c r="J44" s="183" t="s">
        <v>704</v>
      </c>
      <c r="K44" s="183" t="s">
        <v>128</v>
      </c>
      <c r="L44" s="184">
        <v>21245</v>
      </c>
      <c r="M44" s="184">
        <v>21405</v>
      </c>
      <c r="N44" s="184">
        <v>21340</v>
      </c>
      <c r="O44" s="184">
        <v>21505</v>
      </c>
      <c r="P44" s="184">
        <v>21720</v>
      </c>
      <c r="Q44" s="184">
        <v>21695</v>
      </c>
      <c r="R44" s="184">
        <v>21740</v>
      </c>
      <c r="S44" s="184">
        <v>21775</v>
      </c>
      <c r="T44" s="184">
        <v>21950</v>
      </c>
      <c r="U44" s="184">
        <v>22015</v>
      </c>
      <c r="V44" s="184">
        <v>1045</v>
      </c>
      <c r="W44" s="184">
        <v>1050</v>
      </c>
      <c r="X44" s="184">
        <v>1060</v>
      </c>
      <c r="Y44" s="184">
        <v>1040</v>
      </c>
      <c r="Z44" s="184">
        <v>1035</v>
      </c>
      <c r="AA44" s="184">
        <v>1035</v>
      </c>
      <c r="AB44" s="184">
        <v>1020</v>
      </c>
      <c r="AC44" s="184">
        <v>1020</v>
      </c>
      <c r="AD44" s="184">
        <v>1030</v>
      </c>
      <c r="AE44" s="184">
        <v>1030</v>
      </c>
      <c r="AF44" s="187">
        <v>0.93579766536964981</v>
      </c>
      <c r="AG44" s="187">
        <v>2.5291828793774319E-2</v>
      </c>
      <c r="AH44" s="187">
        <v>2.4319066147859923E-2</v>
      </c>
      <c r="AI44" s="187">
        <v>1.4591439688715954E-2</v>
      </c>
      <c r="AJ44" s="187">
        <v>0</v>
      </c>
      <c r="AK44" s="187">
        <v>0</v>
      </c>
      <c r="AL44" s="187">
        <v>6.4202334630350189E-2</v>
      </c>
      <c r="AM44" s="184">
        <v>2185</v>
      </c>
      <c r="AN44" s="187">
        <v>0.69258920402561752</v>
      </c>
      <c r="AO44" s="187">
        <v>0.12305580969807868</v>
      </c>
      <c r="AP44" s="187">
        <v>0.18435498627630376</v>
      </c>
      <c r="AQ44" s="184">
        <v>185</v>
      </c>
      <c r="AR44" s="184">
        <v>191</v>
      </c>
      <c r="AS44" s="184">
        <v>178</v>
      </c>
      <c r="AT44" s="184">
        <v>212</v>
      </c>
      <c r="AU44" s="184">
        <v>164</v>
      </c>
      <c r="AV44" s="186">
        <v>7</v>
      </c>
      <c r="AW44" s="186">
        <v>6</v>
      </c>
      <c r="AX44" s="186">
        <v>6</v>
      </c>
      <c r="AY44" s="186">
        <v>4</v>
      </c>
      <c r="AZ44" s="186">
        <v>6</v>
      </c>
      <c r="BA44" s="186">
        <v>10</v>
      </c>
      <c r="BB44" s="187">
        <v>6.097560975609756E-2</v>
      </c>
      <c r="BC44" s="187">
        <v>3.3454561325115796E-2</v>
      </c>
      <c r="BD44" s="187">
        <v>0.10859293390169864</v>
      </c>
      <c r="BE44" s="193">
        <v>12</v>
      </c>
      <c r="BF44" s="184">
        <v>269</v>
      </c>
      <c r="BG44" s="184">
        <v>371</v>
      </c>
      <c r="BH44" s="184">
        <v>159</v>
      </c>
      <c r="BI44" s="184">
        <v>0.14517552228463421</v>
      </c>
      <c r="BJ44" s="184">
        <v>2354</v>
      </c>
      <c r="BK44" s="184">
        <v>4219</v>
      </c>
      <c r="BL44" s="186">
        <v>2370</v>
      </c>
      <c r="BM44" s="186">
        <v>1475</v>
      </c>
      <c r="BN44" s="186">
        <v>2</v>
      </c>
      <c r="BO44" s="186">
        <v>285</v>
      </c>
      <c r="BP44" s="186">
        <v>418</v>
      </c>
      <c r="BQ44" s="186">
        <v>190</v>
      </c>
      <c r="BR44" s="193">
        <v>105</v>
      </c>
      <c r="BS44" s="193">
        <v>80</v>
      </c>
      <c r="BT44" s="193">
        <v>90</v>
      </c>
      <c r="BU44" s="186">
        <v>416</v>
      </c>
      <c r="BV44" s="186">
        <v>126</v>
      </c>
      <c r="BW44" s="222">
        <f t="shared" si="6"/>
        <v>0.30288461538461536</v>
      </c>
      <c r="BX44" s="186">
        <v>43</v>
      </c>
      <c r="BY44" s="193">
        <v>4</v>
      </c>
      <c r="BZ44" s="1676">
        <v>251</v>
      </c>
      <c r="CA44" s="222">
        <v>2.7713370873357623E-2</v>
      </c>
      <c r="CB44" s="200">
        <v>110</v>
      </c>
      <c r="CC44" s="200">
        <v>135</v>
      </c>
      <c r="CD44" s="200">
        <v>155</v>
      </c>
      <c r="CE44" s="200">
        <v>140</v>
      </c>
      <c r="CF44" s="184">
        <v>420</v>
      </c>
      <c r="CG44" s="187">
        <v>0.11600000000000001</v>
      </c>
      <c r="CH44" s="184">
        <v>385</v>
      </c>
      <c r="CI44" s="187">
        <v>0.11278571428571428</v>
      </c>
      <c r="CJ44" s="184">
        <v>435</v>
      </c>
      <c r="CK44" s="187">
        <v>0.11542857142857142</v>
      </c>
      <c r="CL44" s="184">
        <v>415</v>
      </c>
      <c r="CM44" s="187">
        <v>0.10264285714285715</v>
      </c>
      <c r="CN44" s="184">
        <v>440</v>
      </c>
      <c r="CO44" s="187">
        <v>0.11557142857142859</v>
      </c>
      <c r="CP44" s="184">
        <v>365</v>
      </c>
      <c r="CQ44" s="187">
        <v>9.9455040871934602E-2</v>
      </c>
      <c r="CR44" s="184">
        <v>207</v>
      </c>
      <c r="CS44" s="184">
        <v>14</v>
      </c>
      <c r="CT44" s="184">
        <v>193</v>
      </c>
      <c r="CU44" s="187">
        <v>0.93933534952442532</v>
      </c>
      <c r="CV44" s="186">
        <v>85</v>
      </c>
      <c r="CW44" s="186">
        <v>110</v>
      </c>
      <c r="CX44" s="187">
        <v>0.46018530409875624</v>
      </c>
      <c r="CY44" s="187">
        <v>0.60210405672566514</v>
      </c>
      <c r="CZ44" s="187">
        <v>0.37221521505149513</v>
      </c>
      <c r="DA44" s="187">
        <v>0.51093956523884998</v>
      </c>
      <c r="DB44" s="187">
        <v>0.49940629268557302</v>
      </c>
      <c r="DC44" s="187">
        <v>0.63775983479967402</v>
      </c>
      <c r="DD44" s="185">
        <v>174</v>
      </c>
      <c r="DE44" s="185">
        <v>27</v>
      </c>
      <c r="DF44" s="143">
        <v>0.15517241379310345</v>
      </c>
      <c r="DG44" s="143">
        <v>0.10888846203868341</v>
      </c>
      <c r="DH44" s="143">
        <v>0.21635324034192896</v>
      </c>
      <c r="DI44" s="178" t="str">
        <f t="shared" si="12"/>
        <v>Sig worse than Eng.</v>
      </c>
      <c r="DJ44" s="185">
        <v>178</v>
      </c>
      <c r="DK44" s="185">
        <v>13</v>
      </c>
      <c r="DL44" s="143">
        <v>7.3033707865168537E-2</v>
      </c>
      <c r="DM44" s="143">
        <v>4.3175025310267297E-2</v>
      </c>
      <c r="DN44" s="143">
        <v>0.12093198864698146</v>
      </c>
      <c r="DO44" s="178" t="str">
        <f t="shared" si="13"/>
        <v>No Sig diff</v>
      </c>
      <c r="DP44" s="183">
        <v>194</v>
      </c>
      <c r="DQ44" s="183">
        <v>14</v>
      </c>
      <c r="DR44" s="143">
        <v>7.2164948453608241E-2</v>
      </c>
      <c r="DS44" s="143">
        <v>4.3470708676375661E-2</v>
      </c>
      <c r="DT44" s="143">
        <v>0.11747361012564239</v>
      </c>
      <c r="DU44" s="178" t="str">
        <f t="shared" si="7"/>
        <v>No Sig diff</v>
      </c>
      <c r="DV44" s="178">
        <v>212</v>
      </c>
      <c r="DW44" s="178">
        <v>24</v>
      </c>
      <c r="DX44" s="179">
        <v>0.11320754716981132</v>
      </c>
      <c r="DY44" s="179">
        <v>7.7264917405978337E-2</v>
      </c>
      <c r="DZ44" s="179">
        <v>0.1629181276120798</v>
      </c>
      <c r="EA44" s="178" t="str">
        <f t="shared" si="14"/>
        <v>No Sig diff</v>
      </c>
      <c r="EB44" s="185">
        <v>180</v>
      </c>
      <c r="EC44" s="185">
        <v>24</v>
      </c>
      <c r="ED44" s="143">
        <v>0.13333333333333333</v>
      </c>
      <c r="EE44" s="143">
        <v>9.1262810536594019E-2</v>
      </c>
      <c r="EF44" s="143">
        <v>0.1907272212725889</v>
      </c>
      <c r="EG44" s="178" t="str">
        <f t="shared" si="15"/>
        <v>No Sig diff</v>
      </c>
      <c r="EH44" s="185">
        <v>181</v>
      </c>
      <c r="EI44" s="185">
        <v>38</v>
      </c>
      <c r="EJ44" s="143">
        <v>0.20994475138121546</v>
      </c>
      <c r="EK44" s="143">
        <v>0.15695179474513435</v>
      </c>
      <c r="EL44" s="143">
        <v>0.27499382681666318</v>
      </c>
      <c r="EM44" s="178" t="str">
        <f t="shared" si="8"/>
        <v>No Sig diff</v>
      </c>
      <c r="EN44" s="183">
        <v>177</v>
      </c>
      <c r="EO44" s="183">
        <v>29</v>
      </c>
      <c r="EP44" s="197">
        <v>0.16384180790960451</v>
      </c>
      <c r="EQ44" s="178">
        <v>0.11656641651721572</v>
      </c>
      <c r="ER44" s="178">
        <v>0.22539863521359599</v>
      </c>
      <c r="ES44" s="178" t="str">
        <f t="shared" si="9"/>
        <v>No Sig diff</v>
      </c>
      <c r="ET44" s="206">
        <v>182</v>
      </c>
      <c r="EU44" s="206">
        <v>23</v>
      </c>
      <c r="EV44" s="179">
        <v>0.12637362637362637</v>
      </c>
      <c r="EW44" s="179">
        <v>8.5705065885255408E-2</v>
      </c>
      <c r="EX44" s="179">
        <v>0.18248836703857232</v>
      </c>
      <c r="EY44" s="178" t="str">
        <f t="shared" si="10"/>
        <v>Sig better than Eng.</v>
      </c>
      <c r="EZ44" s="207">
        <v>241</v>
      </c>
      <c r="FA44" s="186">
        <v>129</v>
      </c>
      <c r="FB44" s="187">
        <v>0.53526970954356845</v>
      </c>
      <c r="FC44" s="187">
        <v>0.47224088134498177</v>
      </c>
      <c r="FD44" s="187">
        <v>0.59719180412373907</v>
      </c>
      <c r="FE44" s="208">
        <v>241</v>
      </c>
      <c r="FF44" s="209">
        <v>34</v>
      </c>
      <c r="FG44" s="208">
        <v>48</v>
      </c>
      <c r="FH44" s="209">
        <v>24.562500000000007</v>
      </c>
      <c r="FI44" s="187">
        <f t="shared" si="11"/>
        <v>0.2775735294117645</v>
      </c>
      <c r="FJ44" s="186">
        <v>209</v>
      </c>
      <c r="FK44" s="186">
        <v>137</v>
      </c>
      <c r="FL44" s="187">
        <v>0.65550239234449759</v>
      </c>
      <c r="FM44" s="187">
        <v>0.58879307370670031</v>
      </c>
      <c r="FN44" s="187">
        <v>0.71659855610146839</v>
      </c>
      <c r="FO44" s="198">
        <v>209</v>
      </c>
      <c r="FP44" s="199">
        <v>34</v>
      </c>
      <c r="FQ44" s="198">
        <v>41</v>
      </c>
      <c r="FR44" s="199">
        <v>25.512195121951219</v>
      </c>
      <c r="FS44" s="210">
        <v>0.24964131994261121</v>
      </c>
      <c r="FT44" s="200">
        <v>3058</v>
      </c>
      <c r="FU44" s="200">
        <v>3021</v>
      </c>
      <c r="FV44" s="200">
        <v>37</v>
      </c>
      <c r="FW44" s="200">
        <v>36</v>
      </c>
      <c r="FX44" s="200">
        <v>1</v>
      </c>
      <c r="FY44" s="187">
        <f t="shared" si="4"/>
        <v>0.97297297297297303</v>
      </c>
      <c r="FZ44" s="187">
        <f t="shared" si="5"/>
        <v>2.7027027027027029E-2</v>
      </c>
      <c r="GA44" s="197">
        <v>0.91651404151404159</v>
      </c>
      <c r="GB44" s="197">
        <v>8.3485958485958481E-2</v>
      </c>
      <c r="GC44" s="197">
        <v>6.9158620605686214E-2</v>
      </c>
      <c r="GD44" s="197">
        <v>0.16758575632747763</v>
      </c>
      <c r="GE44" s="197">
        <v>0.93107448107448121</v>
      </c>
      <c r="GF44" s="197">
        <v>6.8925518925518917E-2</v>
      </c>
      <c r="GG44" s="197">
        <v>5.4210515626730349E-2</v>
      </c>
      <c r="GH44" s="197">
        <v>0.14499669951626121</v>
      </c>
      <c r="GI44" s="197">
        <v>0.89275684632827512</v>
      </c>
      <c r="GJ44" s="197">
        <v>0.1072431536717251</v>
      </c>
      <c r="GK44" s="197">
        <v>8.4547343075125556E-2</v>
      </c>
      <c r="GL44" s="197">
        <v>0.18973419564821054</v>
      </c>
      <c r="GM44" s="197">
        <v>0.73381301238444085</v>
      </c>
      <c r="GN44" s="197">
        <v>0.26618698761555903</v>
      </c>
      <c r="GO44" s="197">
        <v>0.20578932597912503</v>
      </c>
      <c r="GP44" s="197">
        <v>0.34376473253880774</v>
      </c>
      <c r="GQ44" s="186">
        <v>61</v>
      </c>
      <c r="GR44" s="186">
        <v>58</v>
      </c>
      <c r="GS44" s="178">
        <v>58</v>
      </c>
      <c r="GT44" s="178">
        <v>60</v>
      </c>
      <c r="GU44" s="178">
        <v>59</v>
      </c>
      <c r="GV44" s="178">
        <v>53</v>
      </c>
      <c r="GW44" s="178">
        <v>52</v>
      </c>
      <c r="GX44" s="178">
        <v>53</v>
      </c>
      <c r="GY44" s="178">
        <v>52</v>
      </c>
      <c r="GZ44" s="178">
        <v>53</v>
      </c>
      <c r="HA44" s="178">
        <v>53</v>
      </c>
      <c r="HB44" s="178">
        <v>51</v>
      </c>
      <c r="HC44" s="178">
        <v>53</v>
      </c>
      <c r="HD44" s="178">
        <v>67</v>
      </c>
      <c r="HE44" s="178">
        <v>64</v>
      </c>
      <c r="HF44" s="178">
        <v>65</v>
      </c>
      <c r="HG44" s="178">
        <v>61</v>
      </c>
      <c r="HH44" s="178">
        <v>64</v>
      </c>
      <c r="HI44" s="178">
        <v>64</v>
      </c>
      <c r="HJ44" s="178">
        <v>57</v>
      </c>
      <c r="HK44" s="178">
        <v>61</v>
      </c>
      <c r="HL44" s="178">
        <v>61</v>
      </c>
      <c r="HM44" s="178">
        <v>65</v>
      </c>
      <c r="HN44" s="186">
        <v>19</v>
      </c>
      <c r="HO44" s="187">
        <v>1.8482490272373541E-2</v>
      </c>
      <c r="HP44" s="217">
        <v>1627</v>
      </c>
      <c r="HQ44" s="217">
        <v>1483</v>
      </c>
      <c r="HR44" s="217">
        <v>144</v>
      </c>
      <c r="HS44" s="1704">
        <v>8.8506453595574672E-2</v>
      </c>
    </row>
    <row r="45" spans="1:227" ht="13.8" customHeight="1" x14ac:dyDescent="0.25">
      <c r="A45" s="183" t="s">
        <v>441</v>
      </c>
      <c r="B45" s="183"/>
      <c r="C45" s="183" t="s">
        <v>37</v>
      </c>
      <c r="D45" s="183" t="s">
        <v>37</v>
      </c>
      <c r="E45" s="183" t="s">
        <v>37</v>
      </c>
      <c r="F45" s="183" t="s">
        <v>138</v>
      </c>
      <c r="G45" s="183" t="s">
        <v>487</v>
      </c>
      <c r="H45" s="183" t="s">
        <v>37</v>
      </c>
      <c r="I45" s="183" t="s">
        <v>127</v>
      </c>
      <c r="J45" s="183" t="s">
        <v>704</v>
      </c>
      <c r="K45" s="183" t="s">
        <v>133</v>
      </c>
      <c r="L45" s="184">
        <v>13165</v>
      </c>
      <c r="M45" s="184">
        <v>13320</v>
      </c>
      <c r="N45" s="184">
        <v>13405</v>
      </c>
      <c r="O45" s="184">
        <v>13530</v>
      </c>
      <c r="P45" s="184">
        <v>13660</v>
      </c>
      <c r="Q45" s="184">
        <v>13830</v>
      </c>
      <c r="R45" s="184">
        <v>13930</v>
      </c>
      <c r="S45" s="184">
        <v>14030</v>
      </c>
      <c r="T45" s="184">
        <v>14190</v>
      </c>
      <c r="U45" s="184">
        <v>14215</v>
      </c>
      <c r="V45" s="184">
        <v>875</v>
      </c>
      <c r="W45" s="184">
        <v>890</v>
      </c>
      <c r="X45" s="184">
        <v>900</v>
      </c>
      <c r="Y45" s="184">
        <v>915</v>
      </c>
      <c r="Z45" s="184">
        <v>950</v>
      </c>
      <c r="AA45" s="184">
        <v>995</v>
      </c>
      <c r="AB45" s="184">
        <v>995</v>
      </c>
      <c r="AC45" s="184">
        <v>1000</v>
      </c>
      <c r="AD45" s="184">
        <v>1010</v>
      </c>
      <c r="AE45" s="184">
        <v>965</v>
      </c>
      <c r="AF45" s="187">
        <v>0.83480825958702065</v>
      </c>
      <c r="AG45" s="187">
        <v>2.8515240904621434E-2</v>
      </c>
      <c r="AH45" s="187">
        <v>6.5880039331366769E-2</v>
      </c>
      <c r="AI45" s="187">
        <v>5.1130776794493606E-2</v>
      </c>
      <c r="AJ45" s="187">
        <v>1.4749262536873156E-2</v>
      </c>
      <c r="AK45" s="187">
        <v>4.9164208456243851E-3</v>
      </c>
      <c r="AL45" s="187">
        <v>0.16519174041297935</v>
      </c>
      <c r="AM45" s="184">
        <v>1995</v>
      </c>
      <c r="AN45" s="187">
        <v>0.66984445559458106</v>
      </c>
      <c r="AO45" s="187">
        <v>0.10386352232814852</v>
      </c>
      <c r="AP45" s="187">
        <v>0.22629202207727045</v>
      </c>
      <c r="AQ45" s="184">
        <v>183</v>
      </c>
      <c r="AR45" s="184">
        <v>162</v>
      </c>
      <c r="AS45" s="184">
        <v>185</v>
      </c>
      <c r="AT45" s="184">
        <v>166</v>
      </c>
      <c r="AU45" s="184">
        <v>151</v>
      </c>
      <c r="AV45" s="186">
        <v>14</v>
      </c>
      <c r="AW45" s="186">
        <v>5</v>
      </c>
      <c r="AX45" s="186">
        <v>10</v>
      </c>
      <c r="AY45" s="186">
        <v>8</v>
      </c>
      <c r="AZ45" s="186">
        <v>8</v>
      </c>
      <c r="BA45" s="186">
        <v>9</v>
      </c>
      <c r="BB45" s="187">
        <v>5.9602649006622516E-2</v>
      </c>
      <c r="BC45" s="187">
        <v>3.167075659834806E-2</v>
      </c>
      <c r="BD45" s="187">
        <v>0.10938616050281703</v>
      </c>
      <c r="BE45" s="193">
        <v>17</v>
      </c>
      <c r="BF45" s="184">
        <v>292</v>
      </c>
      <c r="BG45" s="184">
        <v>331</v>
      </c>
      <c r="BH45" s="184">
        <v>171</v>
      </c>
      <c r="BI45" s="184">
        <v>0.16135239546166366</v>
      </c>
      <c r="BJ45" s="184">
        <v>1975</v>
      </c>
      <c r="BK45" s="184">
        <v>3591</v>
      </c>
      <c r="BL45" s="186">
        <v>1617</v>
      </c>
      <c r="BM45" s="186">
        <v>880</v>
      </c>
      <c r="BN45" s="186">
        <v>0</v>
      </c>
      <c r="BO45" s="186">
        <v>264</v>
      </c>
      <c r="BP45" s="186">
        <v>366</v>
      </c>
      <c r="BQ45" s="186">
        <v>107</v>
      </c>
      <c r="BR45" s="193">
        <v>125</v>
      </c>
      <c r="BS45" s="193">
        <v>120</v>
      </c>
      <c r="BT45" s="193">
        <v>90</v>
      </c>
      <c r="BU45" s="186">
        <v>476</v>
      </c>
      <c r="BV45" s="186">
        <v>162</v>
      </c>
      <c r="BW45" s="222">
        <f t="shared" si="6"/>
        <v>0.34033613445378152</v>
      </c>
      <c r="BX45" s="186">
        <v>35</v>
      </c>
      <c r="BY45" s="193">
        <v>4</v>
      </c>
      <c r="BZ45" s="1676">
        <v>315</v>
      </c>
      <c r="CA45" s="222">
        <v>5.4254219772648986E-2</v>
      </c>
      <c r="CB45" s="200">
        <v>175</v>
      </c>
      <c r="CC45" s="200">
        <v>155</v>
      </c>
      <c r="CD45" s="200">
        <v>160</v>
      </c>
      <c r="CE45" s="200">
        <v>135</v>
      </c>
      <c r="CF45" s="184">
        <v>440</v>
      </c>
      <c r="CG45" s="187">
        <v>0.15611111111111112</v>
      </c>
      <c r="CH45" s="184">
        <v>455</v>
      </c>
      <c r="CI45" s="187">
        <v>0.13388888888888886</v>
      </c>
      <c r="CJ45" s="184">
        <v>485</v>
      </c>
      <c r="CK45" s="187">
        <v>0.15444444444444447</v>
      </c>
      <c r="CL45" s="184">
        <v>405</v>
      </c>
      <c r="CM45" s="187">
        <v>0.14644444444444446</v>
      </c>
      <c r="CN45" s="184">
        <v>470</v>
      </c>
      <c r="CO45" s="187">
        <v>0.13633333333333331</v>
      </c>
      <c r="CP45" s="184">
        <v>410</v>
      </c>
      <c r="CQ45" s="187">
        <v>0.13333333333333333</v>
      </c>
      <c r="CR45" s="184">
        <v>172</v>
      </c>
      <c r="CS45" s="184">
        <v>4</v>
      </c>
      <c r="CT45" s="184">
        <v>168</v>
      </c>
      <c r="CU45" s="187">
        <v>0.97713264643089193</v>
      </c>
      <c r="CV45" s="186">
        <v>70</v>
      </c>
      <c r="CW45" s="186">
        <v>87</v>
      </c>
      <c r="CX45" s="187">
        <v>0.41528562596674057</v>
      </c>
      <c r="CY45" s="187">
        <v>0.51025165065412736</v>
      </c>
      <c r="CZ45" s="187">
        <v>0.34479298206061598</v>
      </c>
      <c r="DA45" s="187">
        <v>0.49226626319780803</v>
      </c>
      <c r="DB45" s="187">
        <v>0.44274583327172728</v>
      </c>
      <c r="DC45" s="187">
        <v>0.59217004274432472</v>
      </c>
      <c r="DD45" s="185">
        <v>130</v>
      </c>
      <c r="DE45" s="185">
        <v>14</v>
      </c>
      <c r="DF45" s="143">
        <v>0.1076923076923077</v>
      </c>
      <c r="DG45" s="143">
        <v>6.5241339616437855E-2</v>
      </c>
      <c r="DH45" s="143">
        <v>0.17266296224380834</v>
      </c>
      <c r="DI45" s="178" t="str">
        <f t="shared" si="12"/>
        <v>No Sig diff</v>
      </c>
      <c r="DJ45" s="185">
        <v>186</v>
      </c>
      <c r="DK45" s="185">
        <v>13</v>
      </c>
      <c r="DL45" s="143">
        <v>6.9892473118279563E-2</v>
      </c>
      <c r="DM45" s="143">
        <v>4.1297216253746931E-2</v>
      </c>
      <c r="DN45" s="143">
        <v>0.11589425818008303</v>
      </c>
      <c r="DO45" s="178" t="str">
        <f t="shared" si="13"/>
        <v>No Sig diff</v>
      </c>
      <c r="DP45" s="183">
        <v>159</v>
      </c>
      <c r="DQ45" s="183">
        <v>13</v>
      </c>
      <c r="DR45" s="143">
        <v>8.1761006289308172E-2</v>
      </c>
      <c r="DS45" s="143">
        <v>4.8402298802567148E-2</v>
      </c>
      <c r="DT45" s="143">
        <v>0.13485237747463791</v>
      </c>
      <c r="DU45" s="178" t="str">
        <f t="shared" si="7"/>
        <v>No Sig diff</v>
      </c>
      <c r="DV45" s="178">
        <v>192</v>
      </c>
      <c r="DW45" s="178">
        <v>25</v>
      </c>
      <c r="DX45" s="179">
        <v>0.13020833333333334</v>
      </c>
      <c r="DY45" s="179">
        <v>8.9774224743510128E-2</v>
      </c>
      <c r="DZ45" s="179">
        <v>0.18514947703502674</v>
      </c>
      <c r="EA45" s="178" t="str">
        <f t="shared" si="14"/>
        <v>No Sig diff</v>
      </c>
      <c r="EB45" s="185">
        <v>152</v>
      </c>
      <c r="EC45" s="185">
        <v>20</v>
      </c>
      <c r="ED45" s="143">
        <v>0.13157894736842105</v>
      </c>
      <c r="EE45" s="143">
        <v>8.6817115241413917E-2</v>
      </c>
      <c r="EF45" s="143">
        <v>0.19450378070282012</v>
      </c>
      <c r="EG45" s="178" t="str">
        <f t="shared" si="15"/>
        <v>No Sig diff</v>
      </c>
      <c r="EH45" s="185">
        <v>163</v>
      </c>
      <c r="EI45" s="185">
        <v>32</v>
      </c>
      <c r="EJ45" s="143">
        <v>0.19631901840490798</v>
      </c>
      <c r="EK45" s="143">
        <v>0.14263444430709368</v>
      </c>
      <c r="EL45" s="143">
        <v>0.26398786228400306</v>
      </c>
      <c r="EM45" s="178" t="str">
        <f t="shared" si="8"/>
        <v>No Sig diff</v>
      </c>
      <c r="EN45" s="183">
        <v>148</v>
      </c>
      <c r="EO45" s="183">
        <v>17</v>
      </c>
      <c r="EP45" s="197">
        <v>0.11486486486486487</v>
      </c>
      <c r="EQ45" s="178">
        <v>7.2964239324355348E-2</v>
      </c>
      <c r="ER45" s="178">
        <v>0.17625266832785691</v>
      </c>
      <c r="ES45" s="178" t="str">
        <f t="shared" si="9"/>
        <v>Sig better than Eng.</v>
      </c>
      <c r="ET45" s="206">
        <v>146</v>
      </c>
      <c r="EU45" s="206">
        <v>22</v>
      </c>
      <c r="EV45" s="179">
        <v>0.15068493150684931</v>
      </c>
      <c r="EW45" s="179">
        <v>0.10166464144505639</v>
      </c>
      <c r="EX45" s="179">
        <v>0.21761587809355135</v>
      </c>
      <c r="EY45" s="178" t="str">
        <f t="shared" si="10"/>
        <v>No Sig diff</v>
      </c>
      <c r="EZ45" s="207">
        <v>222</v>
      </c>
      <c r="FA45" s="186">
        <v>118</v>
      </c>
      <c r="FB45" s="187">
        <v>0.53153153153153154</v>
      </c>
      <c r="FC45" s="187">
        <v>0.46591247372915356</v>
      </c>
      <c r="FD45" s="187">
        <v>0.59607791578172553</v>
      </c>
      <c r="FE45" s="208">
        <v>222</v>
      </c>
      <c r="FF45" s="209">
        <v>34</v>
      </c>
      <c r="FG45" s="208">
        <v>44</v>
      </c>
      <c r="FH45" s="209">
        <v>24.886363636363633</v>
      </c>
      <c r="FI45" s="187">
        <f t="shared" si="11"/>
        <v>0.26804812834224606</v>
      </c>
      <c r="FJ45" s="186">
        <v>203</v>
      </c>
      <c r="FK45" s="186">
        <v>141</v>
      </c>
      <c r="FL45" s="187">
        <v>0.69458128078817738</v>
      </c>
      <c r="FM45" s="187">
        <v>0.62809552282698589</v>
      </c>
      <c r="FN45" s="187">
        <v>0.75383951307161123</v>
      </c>
      <c r="FO45" s="198">
        <v>203</v>
      </c>
      <c r="FP45" s="199">
        <v>34</v>
      </c>
      <c r="FQ45" s="198">
        <v>40</v>
      </c>
      <c r="FR45" s="199">
        <v>26.025000000000006</v>
      </c>
      <c r="FS45" s="210">
        <v>0.2345588235294116</v>
      </c>
      <c r="FT45" s="200">
        <v>2577</v>
      </c>
      <c r="FU45" s="200">
        <v>2501</v>
      </c>
      <c r="FV45" s="200">
        <v>76</v>
      </c>
      <c r="FW45" s="200">
        <v>65</v>
      </c>
      <c r="FX45" s="200">
        <v>11</v>
      </c>
      <c r="FY45" s="187">
        <f t="shared" si="4"/>
        <v>0.85526315789473684</v>
      </c>
      <c r="FZ45" s="187">
        <f t="shared" si="5"/>
        <v>0.14473684210526316</v>
      </c>
      <c r="GA45" s="197">
        <v>0.88145604395604382</v>
      </c>
      <c r="GB45" s="197">
        <v>0.11854395604395604</v>
      </c>
      <c r="GC45" s="197">
        <v>7.1709958980432961E-2</v>
      </c>
      <c r="GD45" s="197">
        <v>0.19511025818384223</v>
      </c>
      <c r="GE45" s="197">
        <v>0.92870879120879124</v>
      </c>
      <c r="GF45" s="197">
        <v>7.1291208791208788E-2</v>
      </c>
      <c r="GG45" s="197">
        <v>3.8009793445671562E-2</v>
      </c>
      <c r="GH45" s="197">
        <v>0.13939825508010059</v>
      </c>
      <c r="GI45" s="197">
        <v>0.88305860805860803</v>
      </c>
      <c r="GJ45" s="197">
        <v>0.11694139194139194</v>
      </c>
      <c r="GK45" s="197">
        <v>7.1709958980432961E-2</v>
      </c>
      <c r="GL45" s="197">
        <v>0.19511025818384223</v>
      </c>
      <c r="GM45" s="197">
        <v>0.81379731379731379</v>
      </c>
      <c r="GN45" s="197">
        <v>0.18620268620268621</v>
      </c>
      <c r="GO45" s="197">
        <v>0.12319860172367546</v>
      </c>
      <c r="GP45" s="197">
        <v>0.26879865153450394</v>
      </c>
      <c r="GQ45" s="186">
        <v>38</v>
      </c>
      <c r="GR45" s="186">
        <v>36</v>
      </c>
      <c r="GS45" s="178">
        <v>36</v>
      </c>
      <c r="GT45" s="178">
        <v>37</v>
      </c>
      <c r="GU45" s="178">
        <v>36</v>
      </c>
      <c r="GV45" s="178">
        <v>54</v>
      </c>
      <c r="GW45" s="178">
        <v>50</v>
      </c>
      <c r="GX45" s="178">
        <v>51</v>
      </c>
      <c r="GY45" s="178">
        <v>50</v>
      </c>
      <c r="GZ45" s="178">
        <v>52</v>
      </c>
      <c r="HA45" s="178">
        <v>53</v>
      </c>
      <c r="HB45" s="178">
        <v>49</v>
      </c>
      <c r="HC45" s="178">
        <v>52</v>
      </c>
      <c r="HD45" s="178">
        <v>52</v>
      </c>
      <c r="HE45" s="178">
        <v>48</v>
      </c>
      <c r="HF45" s="178">
        <v>47</v>
      </c>
      <c r="HG45" s="178">
        <v>45</v>
      </c>
      <c r="HH45" s="178">
        <v>48</v>
      </c>
      <c r="HI45" s="178">
        <v>51</v>
      </c>
      <c r="HJ45" s="178">
        <v>47</v>
      </c>
      <c r="HK45" s="178">
        <v>50</v>
      </c>
      <c r="HL45" s="178">
        <v>46</v>
      </c>
      <c r="HM45" s="178">
        <v>50</v>
      </c>
      <c r="HN45" s="186">
        <v>20</v>
      </c>
      <c r="HO45" s="187">
        <v>1.966568338249754E-2</v>
      </c>
      <c r="HP45" s="217">
        <v>1566</v>
      </c>
      <c r="HQ45" s="217">
        <v>1396</v>
      </c>
      <c r="HR45" s="217">
        <v>170</v>
      </c>
      <c r="HS45" s="1704">
        <v>0.10855683269476372</v>
      </c>
    </row>
    <row r="46" spans="1:227" ht="13.8" customHeight="1" x14ac:dyDescent="0.25">
      <c r="A46" s="183" t="s">
        <v>442</v>
      </c>
      <c r="B46" s="183"/>
      <c r="C46" s="183" t="s">
        <v>429</v>
      </c>
      <c r="D46" s="183" t="s">
        <v>677</v>
      </c>
      <c r="E46" s="183" t="s">
        <v>100</v>
      </c>
      <c r="F46" s="183" t="s">
        <v>489</v>
      </c>
      <c r="G46" s="183" t="s">
        <v>455</v>
      </c>
      <c r="H46" s="183" t="s">
        <v>129</v>
      </c>
      <c r="I46" s="183" t="s">
        <v>130</v>
      </c>
      <c r="J46" s="183" t="s">
        <v>704</v>
      </c>
      <c r="K46" s="183" t="s">
        <v>128</v>
      </c>
      <c r="L46" s="184">
        <v>13355</v>
      </c>
      <c r="M46" s="184">
        <v>13435</v>
      </c>
      <c r="N46" s="184">
        <v>13285</v>
      </c>
      <c r="O46" s="184">
        <v>13270</v>
      </c>
      <c r="P46" s="184">
        <v>13255</v>
      </c>
      <c r="Q46" s="184">
        <v>13215</v>
      </c>
      <c r="R46" s="184">
        <v>13290</v>
      </c>
      <c r="S46" s="184">
        <v>13380</v>
      </c>
      <c r="T46" s="184">
        <v>13845</v>
      </c>
      <c r="U46" s="184">
        <v>14270</v>
      </c>
      <c r="V46" s="184">
        <v>790</v>
      </c>
      <c r="W46" s="184">
        <v>780</v>
      </c>
      <c r="X46" s="184">
        <v>770</v>
      </c>
      <c r="Y46" s="184">
        <v>780</v>
      </c>
      <c r="Z46" s="184">
        <v>805</v>
      </c>
      <c r="AA46" s="184">
        <v>855</v>
      </c>
      <c r="AB46" s="184">
        <v>870</v>
      </c>
      <c r="AC46" s="184">
        <v>900</v>
      </c>
      <c r="AD46" s="184">
        <v>960</v>
      </c>
      <c r="AE46" s="184">
        <v>1055</v>
      </c>
      <c r="AF46" s="187">
        <v>0.8165137614678899</v>
      </c>
      <c r="AG46" s="187">
        <v>0.11582568807339449</v>
      </c>
      <c r="AH46" s="187">
        <v>2.8669724770642203E-2</v>
      </c>
      <c r="AI46" s="187">
        <v>2.8669724770642203E-2</v>
      </c>
      <c r="AJ46" s="187">
        <v>5.7339449541284407E-3</v>
      </c>
      <c r="AK46" s="187">
        <v>4.5871559633027525E-3</v>
      </c>
      <c r="AL46" s="187">
        <v>0.1834862385321101</v>
      </c>
      <c r="AM46" s="184">
        <v>1590</v>
      </c>
      <c r="AN46" s="187">
        <v>0.55499685732243875</v>
      </c>
      <c r="AO46" s="187">
        <v>0.17284726587052168</v>
      </c>
      <c r="AP46" s="187">
        <v>0.27215587680703962</v>
      </c>
      <c r="AQ46" s="184">
        <v>181</v>
      </c>
      <c r="AR46" s="184">
        <v>205</v>
      </c>
      <c r="AS46" s="184">
        <v>186</v>
      </c>
      <c r="AT46" s="184">
        <v>208</v>
      </c>
      <c r="AU46" s="184">
        <v>219</v>
      </c>
      <c r="AV46" s="186">
        <v>16</v>
      </c>
      <c r="AW46" s="186">
        <v>9</v>
      </c>
      <c r="AX46" s="186">
        <v>15</v>
      </c>
      <c r="AY46" s="186">
        <v>12</v>
      </c>
      <c r="AZ46" s="186">
        <v>15</v>
      </c>
      <c r="BA46" s="186">
        <v>10</v>
      </c>
      <c r="BB46" s="187">
        <v>4.5662100456621002E-2</v>
      </c>
      <c r="BC46" s="187">
        <v>2.4989013068053595E-2</v>
      </c>
      <c r="BD46" s="187">
        <v>8.1999421430922537E-2</v>
      </c>
      <c r="BE46" s="193">
        <v>25</v>
      </c>
      <c r="BF46" s="184">
        <v>278</v>
      </c>
      <c r="BG46" s="184">
        <v>265</v>
      </c>
      <c r="BH46" s="184">
        <v>130</v>
      </c>
      <c r="BI46" s="184">
        <v>0.14120386595365619</v>
      </c>
      <c r="BJ46" s="184">
        <v>1626</v>
      </c>
      <c r="BK46" s="184">
        <v>2858</v>
      </c>
      <c r="BL46" s="186">
        <v>1629</v>
      </c>
      <c r="BM46" s="186">
        <v>778</v>
      </c>
      <c r="BN46" s="186">
        <v>1</v>
      </c>
      <c r="BO46" s="186">
        <v>284</v>
      </c>
      <c r="BP46" s="186">
        <v>410</v>
      </c>
      <c r="BQ46" s="186">
        <v>156</v>
      </c>
      <c r="BR46" s="193">
        <v>140</v>
      </c>
      <c r="BS46" s="193">
        <v>135</v>
      </c>
      <c r="BT46" s="193">
        <v>130</v>
      </c>
      <c r="BU46" s="186">
        <v>409</v>
      </c>
      <c r="BV46" s="186">
        <v>162</v>
      </c>
      <c r="BW46" s="222">
        <f t="shared" si="6"/>
        <v>0.39608801955990219</v>
      </c>
      <c r="BX46" s="186">
        <v>34</v>
      </c>
      <c r="BY46" s="193">
        <v>1</v>
      </c>
      <c r="BZ46" s="1676">
        <v>382</v>
      </c>
      <c r="CA46" s="222">
        <v>6.7694488747120321E-2</v>
      </c>
      <c r="CB46" s="200">
        <v>185</v>
      </c>
      <c r="CC46" s="200">
        <v>170</v>
      </c>
      <c r="CD46" s="200">
        <v>190</v>
      </c>
      <c r="CE46" s="200">
        <v>220</v>
      </c>
      <c r="CF46" s="184">
        <v>535</v>
      </c>
      <c r="CG46" s="187">
        <v>0.22511111111111115</v>
      </c>
      <c r="CH46" s="184">
        <v>540</v>
      </c>
      <c r="CI46" s="187">
        <v>0.21177777777777779</v>
      </c>
      <c r="CJ46" s="184">
        <v>585</v>
      </c>
      <c r="CK46" s="187">
        <v>0.21944444444444444</v>
      </c>
      <c r="CL46" s="184">
        <v>575</v>
      </c>
      <c r="CM46" s="187">
        <v>0.20233333333333334</v>
      </c>
      <c r="CN46" s="184">
        <v>620</v>
      </c>
      <c r="CO46" s="187">
        <v>0.19422222222222224</v>
      </c>
      <c r="CP46" s="184">
        <v>515</v>
      </c>
      <c r="CQ46" s="187">
        <v>0.18864468864468864</v>
      </c>
      <c r="CR46" s="184">
        <v>200</v>
      </c>
      <c r="CS46" s="184">
        <v>7</v>
      </c>
      <c r="CT46" s="184">
        <v>193</v>
      </c>
      <c r="CU46" s="187">
        <v>0.96329494760867318</v>
      </c>
      <c r="CV46" s="186">
        <v>79</v>
      </c>
      <c r="CW46" s="186">
        <v>93</v>
      </c>
      <c r="CX46" s="187">
        <v>0.41464355972233413</v>
      </c>
      <c r="CY46" s="187">
        <v>0.4833177411501387</v>
      </c>
      <c r="CZ46" s="187">
        <v>0.34238121808503996</v>
      </c>
      <c r="DA46" s="187">
        <v>0.47981083887852871</v>
      </c>
      <c r="DB46" s="187">
        <v>0.41241407003029495</v>
      </c>
      <c r="DC46" s="187">
        <v>0.55202434136241874</v>
      </c>
      <c r="DD46" s="185">
        <v>132</v>
      </c>
      <c r="DE46" s="185">
        <v>14</v>
      </c>
      <c r="DF46" s="143">
        <v>0.106</v>
      </c>
      <c r="DG46" s="143">
        <v>6.4000000000000001E-2</v>
      </c>
      <c r="DH46" s="143">
        <v>0.17</v>
      </c>
      <c r="DI46" s="178" t="str">
        <f t="shared" si="12"/>
        <v>No Sig diff</v>
      </c>
      <c r="DJ46" s="185">
        <v>141</v>
      </c>
      <c r="DK46" s="185">
        <v>14</v>
      </c>
      <c r="DL46" s="143">
        <v>9.9000000000000005E-2</v>
      </c>
      <c r="DM46" s="143">
        <v>0.06</v>
      </c>
      <c r="DN46" s="143">
        <v>0.16</v>
      </c>
      <c r="DO46" s="178" t="str">
        <f t="shared" si="13"/>
        <v>No Sig diff</v>
      </c>
      <c r="DP46" s="183">
        <v>157</v>
      </c>
      <c r="DQ46" s="183">
        <v>23</v>
      </c>
      <c r="DR46" s="143">
        <v>0.1464968152866242</v>
      </c>
      <c r="DS46" s="143">
        <v>9.9644421057218227E-2</v>
      </c>
      <c r="DT46" s="143">
        <v>0.21023500422365618</v>
      </c>
      <c r="DU46" s="178" t="str">
        <f t="shared" si="7"/>
        <v>Sig worse than Eng.</v>
      </c>
      <c r="DV46" s="178">
        <v>177</v>
      </c>
      <c r="DW46" s="178">
        <v>17</v>
      </c>
      <c r="DX46" s="179">
        <v>9.6045197740112997E-2</v>
      </c>
      <c r="DY46" s="179">
        <v>6.0832403068680117E-2</v>
      </c>
      <c r="DZ46" s="179">
        <v>0.14841971791876588</v>
      </c>
      <c r="EA46" s="178" t="str">
        <f t="shared" si="14"/>
        <v>No Sig diff</v>
      </c>
      <c r="EB46" s="185">
        <v>155</v>
      </c>
      <c r="EC46" s="185">
        <v>33</v>
      </c>
      <c r="ED46" s="143">
        <v>0.2129032258064516</v>
      </c>
      <c r="EE46" s="143">
        <v>0.15580823566402421</v>
      </c>
      <c r="EF46" s="143">
        <v>0.28388464640358285</v>
      </c>
      <c r="EG46" s="178" t="str">
        <f t="shared" si="15"/>
        <v>No Sig diff</v>
      </c>
      <c r="EH46" s="185">
        <v>124</v>
      </c>
      <c r="EI46" s="185">
        <v>25</v>
      </c>
      <c r="EJ46" s="143">
        <v>0.20161290322580644</v>
      </c>
      <c r="EK46" s="143">
        <v>0.14045648042948655</v>
      </c>
      <c r="EL46" s="143">
        <v>0.28070156420930498</v>
      </c>
      <c r="EM46" s="178" t="str">
        <f t="shared" si="8"/>
        <v>No Sig diff</v>
      </c>
      <c r="EN46" s="183">
        <v>114</v>
      </c>
      <c r="EO46" s="183">
        <v>22</v>
      </c>
      <c r="EP46" s="197">
        <v>0.19298245614035087</v>
      </c>
      <c r="EQ46" s="178">
        <v>0.13103892161535791</v>
      </c>
      <c r="ER46" s="178">
        <v>0.27494263444708866</v>
      </c>
      <c r="ES46" s="178" t="str">
        <f t="shared" si="9"/>
        <v>No Sig diff</v>
      </c>
      <c r="ET46" s="206">
        <v>112</v>
      </c>
      <c r="EU46" s="206">
        <v>20</v>
      </c>
      <c r="EV46" s="179">
        <v>0.17857142857142858</v>
      </c>
      <c r="EW46" s="179">
        <v>0.11867660544910416</v>
      </c>
      <c r="EX46" s="179">
        <v>0.25978426052250259</v>
      </c>
      <c r="EY46" s="178" t="str">
        <f t="shared" si="10"/>
        <v>No Sig diff</v>
      </c>
      <c r="EZ46" s="207">
        <v>174</v>
      </c>
      <c r="FA46" s="186">
        <v>66</v>
      </c>
      <c r="FB46" s="187">
        <v>0.37931034482758619</v>
      </c>
      <c r="FC46" s="187">
        <v>0.31055707756930351</v>
      </c>
      <c r="FD46" s="187">
        <v>0.45327751826391088</v>
      </c>
      <c r="FE46" s="208">
        <v>174</v>
      </c>
      <c r="FF46" s="209">
        <v>31</v>
      </c>
      <c r="FG46" s="208">
        <v>34</v>
      </c>
      <c r="FH46" s="209">
        <v>19.382352941176478</v>
      </c>
      <c r="FI46" s="187">
        <f t="shared" si="11"/>
        <v>0.37476280834914588</v>
      </c>
      <c r="FJ46" s="186">
        <v>199</v>
      </c>
      <c r="FK46" s="186">
        <v>88</v>
      </c>
      <c r="FL46" s="187">
        <v>0.44221105527638194</v>
      </c>
      <c r="FM46" s="187">
        <v>0.37494971073800898</v>
      </c>
      <c r="FN46" s="187">
        <v>0.5116612408213006</v>
      </c>
      <c r="FO46" s="198">
        <v>199</v>
      </c>
      <c r="FP46" s="199">
        <v>33</v>
      </c>
      <c r="FQ46" s="198">
        <v>39</v>
      </c>
      <c r="FR46" s="199">
        <v>20.333333333333332</v>
      </c>
      <c r="FS46" s="210">
        <v>0.38383838383838387</v>
      </c>
      <c r="FT46" s="200">
        <v>1967</v>
      </c>
      <c r="FU46" s="200">
        <v>1849</v>
      </c>
      <c r="FV46" s="200">
        <v>118</v>
      </c>
      <c r="FW46" s="200">
        <v>101</v>
      </c>
      <c r="FX46" s="200">
        <v>17</v>
      </c>
      <c r="FY46" s="187">
        <f t="shared" si="4"/>
        <v>0.85593220338983056</v>
      </c>
      <c r="FZ46" s="187">
        <f t="shared" si="5"/>
        <v>0.1440677966101695</v>
      </c>
      <c r="GA46" s="197">
        <v>0.80888710055376711</v>
      </c>
      <c r="GB46" s="197">
        <v>0.1911128994462328</v>
      </c>
      <c r="GC46" s="197">
        <v>0.12559204496833837</v>
      </c>
      <c r="GD46" s="197">
        <v>0.27354270907748762</v>
      </c>
      <c r="GE46" s="197">
        <v>0.8403833820500487</v>
      </c>
      <c r="GF46" s="197">
        <v>0.1596166179499513</v>
      </c>
      <c r="GG46" s="197">
        <v>0.11019873582848602</v>
      </c>
      <c r="GH46" s="197">
        <v>0.25251994270496581</v>
      </c>
      <c r="GI46" s="197">
        <v>0.85686689853356524</v>
      </c>
      <c r="GJ46" s="197">
        <v>0.14313310146643482</v>
      </c>
      <c r="GK46" s="197">
        <v>9.5097773135579794E-2</v>
      </c>
      <c r="GL46" s="197">
        <v>0.23120482988549781</v>
      </c>
      <c r="GM46" s="197">
        <v>0.65537163453830127</v>
      </c>
      <c r="GN46" s="197">
        <v>0.34462836546169878</v>
      </c>
      <c r="GO46" s="197">
        <v>0.26503550667530684</v>
      </c>
      <c r="GP46" s="197">
        <v>0.44363588922569969</v>
      </c>
      <c r="GQ46" s="186">
        <v>55</v>
      </c>
      <c r="GR46" s="186">
        <v>53</v>
      </c>
      <c r="GS46" s="178">
        <v>54</v>
      </c>
      <c r="GT46" s="178">
        <v>53</v>
      </c>
      <c r="GU46" s="178">
        <v>54</v>
      </c>
      <c r="GV46" s="178">
        <v>50</v>
      </c>
      <c r="GW46" s="178">
        <v>46</v>
      </c>
      <c r="GX46" s="178">
        <v>44</v>
      </c>
      <c r="GY46" s="178">
        <v>46</v>
      </c>
      <c r="GZ46" s="178">
        <v>44</v>
      </c>
      <c r="HA46" s="178">
        <v>45</v>
      </c>
      <c r="HB46" s="178">
        <v>45</v>
      </c>
      <c r="HC46" s="178">
        <v>45</v>
      </c>
      <c r="HD46" s="178">
        <v>49</v>
      </c>
      <c r="HE46" s="178">
        <v>42</v>
      </c>
      <c r="HF46" s="178">
        <v>44</v>
      </c>
      <c r="HG46" s="178">
        <v>39</v>
      </c>
      <c r="HH46" s="178">
        <v>44</v>
      </c>
      <c r="HI46" s="178">
        <v>45</v>
      </c>
      <c r="HJ46" s="178">
        <v>41</v>
      </c>
      <c r="HK46" s="178">
        <v>45</v>
      </c>
      <c r="HL46" s="178">
        <v>41</v>
      </c>
      <c r="HM46" s="178">
        <v>47</v>
      </c>
      <c r="HN46" s="186">
        <v>17</v>
      </c>
      <c r="HO46" s="187">
        <v>1.9495412844036698E-2</v>
      </c>
      <c r="HP46" s="217">
        <v>1401</v>
      </c>
      <c r="HQ46" s="217">
        <v>1225</v>
      </c>
      <c r="HR46" s="217">
        <v>176</v>
      </c>
      <c r="HS46" s="1704">
        <v>0.12562455389007851</v>
      </c>
    </row>
    <row r="47" spans="1:227" ht="13.8" customHeight="1" x14ac:dyDescent="0.25">
      <c r="A47" s="183" t="s">
        <v>626</v>
      </c>
      <c r="B47" s="183"/>
      <c r="C47" s="183" t="s">
        <v>37</v>
      </c>
      <c r="D47" s="183" t="s">
        <v>37</v>
      </c>
      <c r="E47" s="183" t="s">
        <v>37</v>
      </c>
      <c r="F47" s="183" t="s">
        <v>138</v>
      </c>
      <c r="G47" s="183" t="s">
        <v>488</v>
      </c>
      <c r="H47" s="183" t="s">
        <v>37</v>
      </c>
      <c r="I47" s="183" t="s">
        <v>127</v>
      </c>
      <c r="J47" s="183" t="s">
        <v>704</v>
      </c>
      <c r="K47" s="183" t="s">
        <v>137</v>
      </c>
      <c r="L47" s="184">
        <v>15975</v>
      </c>
      <c r="M47" s="184">
        <v>16075</v>
      </c>
      <c r="N47" s="184">
        <v>16115</v>
      </c>
      <c r="O47" s="184">
        <v>16215</v>
      </c>
      <c r="P47" s="184">
        <v>16445</v>
      </c>
      <c r="Q47" s="184">
        <v>16465</v>
      </c>
      <c r="R47" s="184">
        <v>16535</v>
      </c>
      <c r="S47" s="184">
        <v>16690</v>
      </c>
      <c r="T47" s="184">
        <v>16745</v>
      </c>
      <c r="U47" s="184">
        <v>16800</v>
      </c>
      <c r="V47" s="184">
        <v>835</v>
      </c>
      <c r="W47" s="184">
        <v>820</v>
      </c>
      <c r="X47" s="184">
        <v>835</v>
      </c>
      <c r="Y47" s="184">
        <v>920</v>
      </c>
      <c r="Z47" s="184">
        <v>960</v>
      </c>
      <c r="AA47" s="184">
        <v>955</v>
      </c>
      <c r="AB47" s="184">
        <v>995</v>
      </c>
      <c r="AC47" s="184">
        <v>1040</v>
      </c>
      <c r="AD47" s="184">
        <v>995</v>
      </c>
      <c r="AE47" s="184">
        <v>950</v>
      </c>
      <c r="AF47" s="187">
        <v>0.87996127783155853</v>
      </c>
      <c r="AG47" s="187">
        <v>1.9361084220716359E-2</v>
      </c>
      <c r="AH47" s="187">
        <v>6.8731848983543078E-2</v>
      </c>
      <c r="AI47" s="187">
        <v>2.3233301064859633E-2</v>
      </c>
      <c r="AJ47" s="187">
        <v>5.8083252662149082E-3</v>
      </c>
      <c r="AK47" s="187">
        <v>2.9041626331074541E-3</v>
      </c>
      <c r="AL47" s="187">
        <v>0.12003872216844143</v>
      </c>
      <c r="AM47" s="184">
        <v>1920</v>
      </c>
      <c r="AN47" s="187">
        <v>0.72173006774361648</v>
      </c>
      <c r="AO47" s="187">
        <v>6.3574778530484627E-2</v>
      </c>
      <c r="AP47" s="187">
        <v>0.2146951537258989</v>
      </c>
      <c r="AQ47" s="184">
        <v>177</v>
      </c>
      <c r="AR47" s="184">
        <v>194</v>
      </c>
      <c r="AS47" s="184">
        <v>199</v>
      </c>
      <c r="AT47" s="184">
        <v>192</v>
      </c>
      <c r="AU47" s="184">
        <v>180</v>
      </c>
      <c r="AV47" s="186">
        <v>5</v>
      </c>
      <c r="AW47" s="186">
        <v>7</v>
      </c>
      <c r="AX47" s="186">
        <v>4</v>
      </c>
      <c r="AY47" s="186">
        <v>7</v>
      </c>
      <c r="AZ47" s="186">
        <v>6</v>
      </c>
      <c r="BA47" s="186">
        <v>19</v>
      </c>
      <c r="BB47" s="187">
        <v>0.10555555555555556</v>
      </c>
      <c r="BC47" s="187">
        <v>6.8622994329574208E-2</v>
      </c>
      <c r="BD47" s="187">
        <v>0.15897234291969828</v>
      </c>
      <c r="BE47" s="193">
        <v>10</v>
      </c>
      <c r="BF47" s="184">
        <v>305</v>
      </c>
      <c r="BG47" s="184">
        <v>362</v>
      </c>
      <c r="BH47" s="184">
        <v>126</v>
      </c>
      <c r="BI47" s="184">
        <v>0.11040218512385018</v>
      </c>
      <c r="BJ47" s="184">
        <v>1957</v>
      </c>
      <c r="BK47" s="184">
        <v>3375</v>
      </c>
      <c r="BL47" s="186">
        <v>1779</v>
      </c>
      <c r="BM47" s="186">
        <v>871</v>
      </c>
      <c r="BN47" s="186">
        <v>2</v>
      </c>
      <c r="BO47" s="186">
        <v>301</v>
      </c>
      <c r="BP47" s="186">
        <v>459</v>
      </c>
      <c r="BQ47" s="186">
        <v>146</v>
      </c>
      <c r="BR47" s="193">
        <v>95</v>
      </c>
      <c r="BS47" s="193">
        <v>95</v>
      </c>
      <c r="BT47" s="193">
        <v>65</v>
      </c>
      <c r="BU47" s="186">
        <v>410</v>
      </c>
      <c r="BV47" s="186">
        <v>120</v>
      </c>
      <c r="BW47" s="222">
        <f t="shared" si="6"/>
        <v>0.29268292682926828</v>
      </c>
      <c r="BX47" s="186">
        <v>46</v>
      </c>
      <c r="BY47" s="193">
        <v>6</v>
      </c>
      <c r="BZ47" s="1676">
        <v>284</v>
      </c>
      <c r="CA47" s="222">
        <v>3.7576078327599897E-2</v>
      </c>
      <c r="CB47" s="200">
        <v>125</v>
      </c>
      <c r="CC47" s="200">
        <v>135</v>
      </c>
      <c r="CD47" s="200">
        <v>150</v>
      </c>
      <c r="CE47" s="200">
        <v>115</v>
      </c>
      <c r="CF47" s="184">
        <v>330</v>
      </c>
      <c r="CG47" s="187">
        <v>9.7599999999999992E-2</v>
      </c>
      <c r="CH47" s="184">
        <v>290</v>
      </c>
      <c r="CI47" s="187">
        <v>8.660000000000001E-2</v>
      </c>
      <c r="CJ47" s="184">
        <v>295</v>
      </c>
      <c r="CK47" s="187">
        <v>9.8500000000000004E-2</v>
      </c>
      <c r="CL47" s="184">
        <v>260</v>
      </c>
      <c r="CM47" s="187">
        <v>9.8999999999999991E-2</v>
      </c>
      <c r="CN47" s="184">
        <v>295</v>
      </c>
      <c r="CO47" s="187">
        <v>0.10369999999999999</v>
      </c>
      <c r="CP47" s="184">
        <v>300</v>
      </c>
      <c r="CQ47" s="187">
        <v>0.10256410256410256</v>
      </c>
      <c r="CR47" s="184">
        <v>182</v>
      </c>
      <c r="CS47" s="184">
        <v>3</v>
      </c>
      <c r="CT47" s="184">
        <v>179</v>
      </c>
      <c r="CU47" s="187">
        <v>0.97499999999999998</v>
      </c>
      <c r="CV47" s="186">
        <v>81</v>
      </c>
      <c r="CW47" s="186">
        <v>101</v>
      </c>
      <c r="CX47" s="187">
        <v>0.46937373737373739</v>
      </c>
      <c r="CY47" s="187">
        <v>0.5735577200577201</v>
      </c>
      <c r="CZ47" s="187">
        <v>0.38135730949003172</v>
      </c>
      <c r="DA47" s="187">
        <v>0.52566603749446195</v>
      </c>
      <c r="DB47" s="187">
        <v>0.49100901444444317</v>
      </c>
      <c r="DC47" s="187">
        <v>0.6347829278706536</v>
      </c>
      <c r="DD47" s="185">
        <v>147</v>
      </c>
      <c r="DE47" s="185">
        <v>10</v>
      </c>
      <c r="DF47" s="143">
        <v>6.8027210884353748E-2</v>
      </c>
      <c r="DG47" s="143">
        <v>3.7367568349765325E-2</v>
      </c>
      <c r="DH47" s="143">
        <v>0.12068883740957281</v>
      </c>
      <c r="DI47" s="178" t="str">
        <f t="shared" si="12"/>
        <v>No Sig diff</v>
      </c>
      <c r="DJ47" s="185">
        <v>180</v>
      </c>
      <c r="DK47" s="185">
        <v>12</v>
      </c>
      <c r="DL47" s="143">
        <v>6.6666666666666666E-2</v>
      </c>
      <c r="DM47" s="143">
        <v>3.8544074935702596E-2</v>
      </c>
      <c r="DN47" s="143">
        <v>0.11289868992969539</v>
      </c>
      <c r="DO47" s="178" t="str">
        <f t="shared" si="13"/>
        <v>No Sig diff</v>
      </c>
      <c r="DP47" s="183">
        <v>162</v>
      </c>
      <c r="DQ47" s="183">
        <v>10</v>
      </c>
      <c r="DR47" s="143">
        <v>6.1728395061728392E-2</v>
      </c>
      <c r="DS47" s="143">
        <v>3.3871842697269186E-2</v>
      </c>
      <c r="DT47" s="143">
        <v>0.10988870421441249</v>
      </c>
      <c r="DU47" s="178" t="str">
        <f t="shared" si="7"/>
        <v>No Sig diff</v>
      </c>
      <c r="DV47" s="178">
        <v>178</v>
      </c>
      <c r="DW47" s="178">
        <v>12</v>
      </c>
      <c r="DX47" s="179">
        <v>6.741573033707865E-2</v>
      </c>
      <c r="DY47" s="179">
        <v>3.898189964215943E-2</v>
      </c>
      <c r="DZ47" s="179">
        <v>0.11412652239347416</v>
      </c>
      <c r="EA47" s="178" t="str">
        <f t="shared" si="14"/>
        <v>No Sig diff</v>
      </c>
      <c r="EB47" s="185">
        <v>152</v>
      </c>
      <c r="EC47" s="185">
        <v>23</v>
      </c>
      <c r="ED47" s="143">
        <v>0.15131578947368421</v>
      </c>
      <c r="EE47" s="143">
        <v>0.10299520465345144</v>
      </c>
      <c r="EF47" s="143">
        <v>0.21682635757948435</v>
      </c>
      <c r="EG47" s="178" t="str">
        <f t="shared" si="15"/>
        <v>No Sig diff</v>
      </c>
      <c r="EH47" s="185">
        <v>148</v>
      </c>
      <c r="EI47" s="185">
        <v>18</v>
      </c>
      <c r="EJ47" s="143">
        <v>0.12162162162162163</v>
      </c>
      <c r="EK47" s="143">
        <v>7.833277129047371E-2</v>
      </c>
      <c r="EL47" s="143">
        <v>0.18405576956082262</v>
      </c>
      <c r="EM47" s="178" t="str">
        <f t="shared" si="8"/>
        <v>Sig better than Eng.</v>
      </c>
      <c r="EN47" s="183">
        <v>151</v>
      </c>
      <c r="EO47" s="183">
        <v>26</v>
      </c>
      <c r="EP47" s="197">
        <v>0.17218543046357615</v>
      </c>
      <c r="EQ47" s="178">
        <v>0.1202985593941184</v>
      </c>
      <c r="ER47" s="178">
        <v>0.24033779243306463</v>
      </c>
      <c r="ES47" s="178" t="str">
        <f t="shared" si="9"/>
        <v>No Sig diff</v>
      </c>
      <c r="ET47" s="206">
        <v>132</v>
      </c>
      <c r="EU47" s="206">
        <v>17</v>
      </c>
      <c r="EV47" s="179">
        <v>0.12878787878787878</v>
      </c>
      <c r="EW47" s="179">
        <v>8.1986655242001494E-2</v>
      </c>
      <c r="EX47" s="179">
        <v>0.19658410768423812</v>
      </c>
      <c r="EY47" s="178" t="str">
        <f t="shared" si="10"/>
        <v>No Sig diff</v>
      </c>
      <c r="EZ47" s="207">
        <v>200</v>
      </c>
      <c r="FA47" s="186">
        <v>109</v>
      </c>
      <c r="FB47" s="187">
        <v>0.54500000000000004</v>
      </c>
      <c r="FC47" s="187">
        <v>0.475786113724881</v>
      </c>
      <c r="FD47" s="187">
        <v>0.61251780690116497</v>
      </c>
      <c r="FE47" s="208">
        <v>200</v>
      </c>
      <c r="FF47" s="209">
        <v>34</v>
      </c>
      <c r="FG47" s="208">
        <v>40</v>
      </c>
      <c r="FH47" s="209">
        <v>26.749999999999996</v>
      </c>
      <c r="FI47" s="187">
        <f t="shared" si="11"/>
        <v>0.21323529411764716</v>
      </c>
      <c r="FJ47" s="186">
        <v>212</v>
      </c>
      <c r="FK47" s="186">
        <v>123</v>
      </c>
      <c r="FL47" s="187">
        <v>0.58018867924528306</v>
      </c>
      <c r="FM47" s="187">
        <v>0.51290566369236901</v>
      </c>
      <c r="FN47" s="187">
        <v>0.64461736355998478</v>
      </c>
      <c r="FO47" s="198">
        <v>212</v>
      </c>
      <c r="FP47" s="199">
        <v>34</v>
      </c>
      <c r="FQ47" s="198">
        <v>42</v>
      </c>
      <c r="FR47" s="199">
        <v>26.61904761904762</v>
      </c>
      <c r="FS47" s="210">
        <v>0.21708683473389351</v>
      </c>
      <c r="FT47" s="200">
        <v>2349</v>
      </c>
      <c r="FU47" s="200">
        <v>2302</v>
      </c>
      <c r="FV47" s="200">
        <v>47</v>
      </c>
      <c r="FW47" s="200">
        <v>38</v>
      </c>
      <c r="FX47" s="200">
        <v>9</v>
      </c>
      <c r="FY47" s="187">
        <f t="shared" si="4"/>
        <v>0.80851063829787229</v>
      </c>
      <c r="FZ47" s="187">
        <f t="shared" si="5"/>
        <v>0.19148936170212766</v>
      </c>
      <c r="GA47" s="197">
        <v>0.90526844070961732</v>
      </c>
      <c r="GB47" s="197">
        <v>9.4731559290382822E-2</v>
      </c>
      <c r="GC47" s="197">
        <v>6.0704434258640506E-2</v>
      </c>
      <c r="GD47" s="197">
        <v>0.17357043245469891</v>
      </c>
      <c r="GE47" s="197">
        <v>0.91740079365079374</v>
      </c>
      <c r="GF47" s="197">
        <v>8.2599206349206339E-2</v>
      </c>
      <c r="GG47" s="197">
        <v>4.7917980164869027E-2</v>
      </c>
      <c r="GH47" s="197">
        <v>0.15269863893147434</v>
      </c>
      <c r="GI47" s="197">
        <v>0.925436507936508</v>
      </c>
      <c r="GJ47" s="197">
        <v>7.4563492063492068E-2</v>
      </c>
      <c r="GK47" s="197">
        <v>4.7917980164869027E-2</v>
      </c>
      <c r="GL47" s="197">
        <v>0.15269863893147434</v>
      </c>
      <c r="GM47" s="197">
        <v>0.83954481792717084</v>
      </c>
      <c r="GN47" s="197">
        <v>0.16045518207282913</v>
      </c>
      <c r="GO47" s="197">
        <v>0.11549589521930297</v>
      </c>
      <c r="GP47" s="197">
        <v>0.25341196196202076</v>
      </c>
      <c r="GQ47" s="186">
        <v>39</v>
      </c>
      <c r="GR47" s="186">
        <v>39</v>
      </c>
      <c r="GS47" s="178">
        <v>39</v>
      </c>
      <c r="GT47" s="178">
        <v>39</v>
      </c>
      <c r="GU47" s="178">
        <v>39</v>
      </c>
      <c r="GV47" s="178">
        <v>45</v>
      </c>
      <c r="GW47" s="178">
        <v>43</v>
      </c>
      <c r="GX47" s="178">
        <v>45</v>
      </c>
      <c r="GY47" s="178">
        <v>43</v>
      </c>
      <c r="GZ47" s="178">
        <v>45</v>
      </c>
      <c r="HA47" s="178">
        <v>45</v>
      </c>
      <c r="HB47" s="178">
        <v>43</v>
      </c>
      <c r="HC47" s="178">
        <v>45</v>
      </c>
      <c r="HD47" s="178">
        <v>59</v>
      </c>
      <c r="HE47" s="178">
        <v>56</v>
      </c>
      <c r="HF47" s="178">
        <v>54</v>
      </c>
      <c r="HG47" s="178">
        <v>54</v>
      </c>
      <c r="HH47" s="178">
        <v>57</v>
      </c>
      <c r="HI47" s="178">
        <v>58</v>
      </c>
      <c r="HJ47" s="178">
        <v>57</v>
      </c>
      <c r="HK47" s="178">
        <v>57</v>
      </c>
      <c r="HL47" s="178">
        <v>57</v>
      </c>
      <c r="HM47" s="178">
        <v>58</v>
      </c>
      <c r="HN47" s="186">
        <v>13</v>
      </c>
      <c r="HO47" s="187">
        <v>1.2584704743465635E-2</v>
      </c>
      <c r="HP47" s="217">
        <v>1567</v>
      </c>
      <c r="HQ47" s="217">
        <v>1408</v>
      </c>
      <c r="HR47" s="217">
        <v>159</v>
      </c>
      <c r="HS47" s="1704">
        <v>0.10146777281429484</v>
      </c>
    </row>
    <row r="48" spans="1:227" ht="13.8" customHeight="1" x14ac:dyDescent="0.25">
      <c r="A48" s="183" t="s">
        <v>644</v>
      </c>
      <c r="B48" s="183"/>
      <c r="C48" s="183" t="s">
        <v>164</v>
      </c>
      <c r="D48" s="183" t="s">
        <v>644</v>
      </c>
      <c r="E48" s="183" t="s">
        <v>34</v>
      </c>
      <c r="F48" s="183"/>
      <c r="G48" s="183" t="s">
        <v>164</v>
      </c>
      <c r="H48" s="183" t="s">
        <v>164</v>
      </c>
      <c r="I48" s="183" t="s">
        <v>164</v>
      </c>
      <c r="J48" s="183" t="s">
        <v>704</v>
      </c>
      <c r="K48" s="183" t="s">
        <v>133</v>
      </c>
      <c r="L48" s="184">
        <v>27300</v>
      </c>
      <c r="M48" s="184">
        <v>27205</v>
      </c>
      <c r="N48" s="184">
        <v>27465</v>
      </c>
      <c r="O48" s="184">
        <v>27495</v>
      </c>
      <c r="P48" s="184">
        <v>27515</v>
      </c>
      <c r="Q48" s="184">
        <v>27770</v>
      </c>
      <c r="R48" s="184">
        <v>27820</v>
      </c>
      <c r="S48" s="184">
        <v>27855</v>
      </c>
      <c r="T48" s="184">
        <v>28125</v>
      </c>
      <c r="U48" s="184">
        <v>28580</v>
      </c>
      <c r="V48" s="200">
        <v>1470</v>
      </c>
      <c r="W48" s="200">
        <v>1455</v>
      </c>
      <c r="X48" s="200">
        <v>1510</v>
      </c>
      <c r="Y48" s="200">
        <v>1510</v>
      </c>
      <c r="Z48" s="200">
        <v>1565</v>
      </c>
      <c r="AA48" s="200">
        <v>1590</v>
      </c>
      <c r="AB48" s="200">
        <v>1630</v>
      </c>
      <c r="AC48" s="200">
        <v>1710</v>
      </c>
      <c r="AD48" s="200">
        <v>1770</v>
      </c>
      <c r="AE48" s="200">
        <v>1825</v>
      </c>
      <c r="AF48" s="187">
        <v>0.89380530973451322</v>
      </c>
      <c r="AG48" s="187">
        <v>2.0648967551622419E-2</v>
      </c>
      <c r="AH48" s="187">
        <v>4.1297935103244837E-2</v>
      </c>
      <c r="AI48" s="187">
        <v>2.9498525073746312E-2</v>
      </c>
      <c r="AJ48" s="187">
        <v>2.9498525073746312E-3</v>
      </c>
      <c r="AK48" s="187">
        <v>1.1799410029498525E-2</v>
      </c>
      <c r="AL48" s="187">
        <v>0.10619469026548672</v>
      </c>
      <c r="AM48" s="184">
        <v>3208</v>
      </c>
      <c r="AN48" s="187">
        <v>0.5960099750623441</v>
      </c>
      <c r="AO48" s="187">
        <v>0.20511221945137156</v>
      </c>
      <c r="AP48" s="187">
        <v>0.19887780548628428</v>
      </c>
      <c r="AQ48" s="184">
        <f>AQ20+AQ39</f>
        <v>259</v>
      </c>
      <c r="AR48" s="184">
        <f>AR20+AR39</f>
        <v>293</v>
      </c>
      <c r="AS48" s="184">
        <f>AS20+AS39</f>
        <v>276</v>
      </c>
      <c r="AT48" s="184">
        <f>AT20+AT39</f>
        <v>316</v>
      </c>
      <c r="AU48" s="184">
        <v>317</v>
      </c>
      <c r="AV48" s="186">
        <f>AV20+AV39</f>
        <v>17</v>
      </c>
      <c r="AW48" s="186">
        <f>AW20+AW39</f>
        <v>12</v>
      </c>
      <c r="AX48" s="186">
        <f>AX20+AX39</f>
        <v>12</v>
      </c>
      <c r="AY48" s="186">
        <f>AY20+AY39</f>
        <v>11</v>
      </c>
      <c r="AZ48" s="186">
        <v>13</v>
      </c>
      <c r="BA48" s="186">
        <v>21</v>
      </c>
      <c r="BB48" s="187">
        <v>6.6246056782334389E-2</v>
      </c>
      <c r="BC48" s="187">
        <v>4.373390669612897E-2</v>
      </c>
      <c r="BD48" s="187">
        <v>9.9144943777846523E-2</v>
      </c>
      <c r="BE48" s="193">
        <v>24</v>
      </c>
      <c r="BF48" s="184">
        <f>BF20+BF39</f>
        <v>555</v>
      </c>
      <c r="BG48" s="184">
        <f>BG20+BG39</f>
        <v>572</v>
      </c>
      <c r="BH48" s="184">
        <f>BH20+BH39</f>
        <v>212</v>
      </c>
      <c r="BI48" s="184">
        <f>BH48/BJ48</f>
        <v>6.2982768865121802E-2</v>
      </c>
      <c r="BJ48" s="184">
        <f t="shared" ref="BJ48:BT48" si="16">BJ20+BJ39</f>
        <v>3366</v>
      </c>
      <c r="BK48" s="184">
        <f t="shared" si="16"/>
        <v>5787</v>
      </c>
      <c r="BL48" s="186">
        <f t="shared" si="16"/>
        <v>3378</v>
      </c>
      <c r="BM48" s="186">
        <f t="shared" si="16"/>
        <v>1740</v>
      </c>
      <c r="BN48" s="186">
        <f t="shared" si="16"/>
        <v>4</v>
      </c>
      <c r="BO48" s="186">
        <f t="shared" si="16"/>
        <v>585</v>
      </c>
      <c r="BP48" s="186">
        <f t="shared" si="16"/>
        <v>790</v>
      </c>
      <c r="BQ48" s="186">
        <f t="shared" si="16"/>
        <v>259</v>
      </c>
      <c r="BR48" s="193">
        <f t="shared" si="16"/>
        <v>280</v>
      </c>
      <c r="BS48" s="193">
        <f t="shared" si="16"/>
        <v>235</v>
      </c>
      <c r="BT48" s="193">
        <f t="shared" si="16"/>
        <v>200</v>
      </c>
      <c r="BU48" s="186">
        <v>789</v>
      </c>
      <c r="BV48" s="186">
        <v>307</v>
      </c>
      <c r="BW48" s="222">
        <v>0.38910012674271227</v>
      </c>
      <c r="BX48" s="186">
        <v>64</v>
      </c>
      <c r="BY48" s="237" t="s">
        <v>164</v>
      </c>
      <c r="BZ48" s="1676">
        <v>645</v>
      </c>
      <c r="CA48" s="222">
        <v>5.3580328958298722E-2</v>
      </c>
      <c r="CB48" s="200">
        <f>CB20+CB39</f>
        <v>380</v>
      </c>
      <c r="CC48" s="200">
        <f>CC20+CC39</f>
        <v>375</v>
      </c>
      <c r="CD48" s="200">
        <v>370</v>
      </c>
      <c r="CE48" s="200">
        <f>CE20+CE39</f>
        <v>340</v>
      </c>
      <c r="CF48" s="184">
        <v>895</v>
      </c>
      <c r="CG48" s="211">
        <v>0.18011697985441</v>
      </c>
      <c r="CH48" s="184">
        <v>905</v>
      </c>
      <c r="CI48" s="211">
        <v>0.17256772141302529</v>
      </c>
      <c r="CJ48" s="184">
        <v>975</v>
      </c>
      <c r="CK48" s="211">
        <v>0.18370287490287487</v>
      </c>
      <c r="CL48" s="184">
        <v>935</v>
      </c>
      <c r="CM48" s="211">
        <v>0.16952676497596283</v>
      </c>
      <c r="CN48" s="184">
        <v>965</v>
      </c>
      <c r="CO48" s="211">
        <v>0.16842979012927198</v>
      </c>
      <c r="CP48" s="184">
        <v>930</v>
      </c>
      <c r="CQ48" s="187">
        <v>0.18058252427184465</v>
      </c>
      <c r="CR48" s="184">
        <f>CR20+CR39</f>
        <v>319</v>
      </c>
      <c r="CS48" s="184">
        <f>CS20+CS39</f>
        <v>20</v>
      </c>
      <c r="CT48" s="184">
        <f>CT20+CT39</f>
        <v>299</v>
      </c>
      <c r="CU48" s="187">
        <f>CT48/CR48</f>
        <v>0.93730407523510972</v>
      </c>
      <c r="CV48" s="186">
        <f>CV20+CV39</f>
        <v>124</v>
      </c>
      <c r="CW48" s="186">
        <f>CW20+CW39</f>
        <v>166</v>
      </c>
      <c r="CX48" s="187">
        <v>0.41471571906354515</v>
      </c>
      <c r="CY48" s="187">
        <v>0.55518394648829428</v>
      </c>
      <c r="CZ48" s="187">
        <v>0.36029897736062799</v>
      </c>
      <c r="DA48" s="187">
        <v>0.47129607505194154</v>
      </c>
      <c r="DB48" s="187">
        <v>0.49851037608616161</v>
      </c>
      <c r="DC48" s="187">
        <v>0.61045753117629342</v>
      </c>
      <c r="DD48" s="200">
        <f>DD20+DD39</f>
        <v>213</v>
      </c>
      <c r="DE48" s="200">
        <f>DE20+DE39</f>
        <v>10</v>
      </c>
      <c r="DF48" s="143">
        <v>4.6948356807511735E-2</v>
      </c>
      <c r="DG48" s="143">
        <v>2.5698400422747351E-2</v>
      </c>
      <c r="DH48" s="143">
        <v>8.425040249694056E-2</v>
      </c>
      <c r="DI48" s="178" t="str">
        <f t="shared" si="12"/>
        <v>Sig better than Eng.</v>
      </c>
      <c r="DJ48" s="200">
        <f>DJ20+DJ39</f>
        <v>276</v>
      </c>
      <c r="DK48" s="200">
        <f>DK20+DK39</f>
        <v>15</v>
      </c>
      <c r="DL48" s="143">
        <v>5.434782608695652E-2</v>
      </c>
      <c r="DM48" s="143">
        <v>3.3208743744781791E-2</v>
      </c>
      <c r="DN48" s="143">
        <v>8.7722082456984568E-2</v>
      </c>
      <c r="DO48" s="178" t="str">
        <f t="shared" si="13"/>
        <v>Sig better than Eng.</v>
      </c>
      <c r="DP48" s="183">
        <f>DP20+DP39</f>
        <v>224</v>
      </c>
      <c r="DQ48" s="183">
        <f>DQ20+DQ39</f>
        <v>22</v>
      </c>
      <c r="DR48" s="143">
        <v>9.8214285714285712E-2</v>
      </c>
      <c r="DS48" s="143">
        <v>6.5756221573603557E-2</v>
      </c>
      <c r="DT48" s="143">
        <v>0.14422074692160006</v>
      </c>
      <c r="DU48" s="178" t="str">
        <f t="shared" si="7"/>
        <v>No Sig diff</v>
      </c>
      <c r="DV48" s="183">
        <f>DV20+DV39</f>
        <v>279</v>
      </c>
      <c r="DW48" s="183">
        <f>DW20+DW39</f>
        <v>28</v>
      </c>
      <c r="DX48" s="179">
        <v>0.1003584229390681</v>
      </c>
      <c r="DY48" s="179">
        <v>7.0350311392395601E-2</v>
      </c>
      <c r="DZ48" s="179">
        <v>0.14122213300879916</v>
      </c>
      <c r="EA48" s="178" t="str">
        <f t="shared" si="14"/>
        <v>No Sig diff</v>
      </c>
      <c r="EB48" s="183">
        <f>EB20+EB39</f>
        <v>238</v>
      </c>
      <c r="EC48" s="183">
        <f>EC20+EC39</f>
        <v>44</v>
      </c>
      <c r="ED48" s="143">
        <v>0.18487394957983194</v>
      </c>
      <c r="EE48" s="143">
        <v>0.14069884589089099</v>
      </c>
      <c r="EF48" s="143">
        <v>0.23906010556658902</v>
      </c>
      <c r="EG48" s="178" t="str">
        <f t="shared" si="15"/>
        <v>No Sig diff</v>
      </c>
      <c r="EH48" s="183">
        <f>EH20+EH39</f>
        <v>214</v>
      </c>
      <c r="EI48" s="183">
        <f>EI20+EI39</f>
        <v>46</v>
      </c>
      <c r="EJ48" s="143">
        <v>0.21495327102803738</v>
      </c>
      <c r="EK48" s="143">
        <v>0.16519838423066768</v>
      </c>
      <c r="EL48" s="143">
        <v>0.2747612971795706</v>
      </c>
      <c r="EM48" s="178" t="str">
        <f t="shared" si="8"/>
        <v>No Sig diff</v>
      </c>
      <c r="EN48" s="183">
        <f>EN20+EN39</f>
        <v>218</v>
      </c>
      <c r="EO48" s="183">
        <f>EO20+EO39</f>
        <v>36</v>
      </c>
      <c r="EP48" s="197">
        <v>0.16513761467889909</v>
      </c>
      <c r="EQ48" s="179">
        <v>0.12173288009530026</v>
      </c>
      <c r="ER48" s="179">
        <v>0.22013946073704996</v>
      </c>
      <c r="ES48" s="178" t="str">
        <f t="shared" si="9"/>
        <v>No Sig diff</v>
      </c>
      <c r="ET48" s="183">
        <f>ET20+ET39</f>
        <v>215</v>
      </c>
      <c r="EU48" s="183">
        <f>EU20+EU39</f>
        <v>46</v>
      </c>
      <c r="EV48" s="179">
        <v>0.21395348837209302</v>
      </c>
      <c r="EW48" s="179">
        <v>0.16440969363966532</v>
      </c>
      <c r="EX48" s="179">
        <v>0.27353958405739576</v>
      </c>
      <c r="EY48" s="178" t="str">
        <f t="shared" si="10"/>
        <v>No Sig diff</v>
      </c>
      <c r="EZ48" s="207">
        <v>314</v>
      </c>
      <c r="FA48" s="186">
        <v>156</v>
      </c>
      <c r="FB48" s="187">
        <v>0.49681528662420382</v>
      </c>
      <c r="FC48" s="187">
        <v>0.44188651347485403</v>
      </c>
      <c r="FD48" s="187">
        <v>0.55182104120532927</v>
      </c>
      <c r="FE48" s="208">
        <v>314</v>
      </c>
      <c r="FF48" s="209">
        <v>34</v>
      </c>
      <c r="FG48" s="208">
        <v>62</v>
      </c>
      <c r="FH48" s="209">
        <v>22.870967741935495</v>
      </c>
      <c r="FI48" s="187">
        <v>0.32732447817836779</v>
      </c>
      <c r="FJ48" s="186">
        <v>294</v>
      </c>
      <c r="FK48" s="186">
        <v>174</v>
      </c>
      <c r="FL48" s="187">
        <v>0.59183673469387754</v>
      </c>
      <c r="FM48" s="187">
        <v>0.53482179706187938</v>
      </c>
      <c r="FN48" s="187">
        <v>0.64648271378027622</v>
      </c>
      <c r="FO48" s="198">
        <v>294</v>
      </c>
      <c r="FP48" s="199">
        <v>34</v>
      </c>
      <c r="FQ48" s="198">
        <v>58</v>
      </c>
      <c r="FR48" s="199">
        <v>25.379310344827587</v>
      </c>
      <c r="FS48" s="210">
        <v>0.25354969574036507</v>
      </c>
      <c r="FT48" s="200">
        <f>FT20+FT39</f>
        <v>4052</v>
      </c>
      <c r="FU48" s="200">
        <f>FU20+FU39</f>
        <v>3973</v>
      </c>
      <c r="FV48" s="200">
        <f>FV20+FV39</f>
        <v>79</v>
      </c>
      <c r="FW48" s="200">
        <f>FW20+FW39</f>
        <v>73</v>
      </c>
      <c r="FX48" s="200">
        <f>FX20+FX39</f>
        <v>6</v>
      </c>
      <c r="FY48" s="187">
        <f t="shared" ref="FY48:FY66" si="17">FW48/FV48</f>
        <v>0.92405063291139244</v>
      </c>
      <c r="FZ48" s="187">
        <f t="shared" ref="FZ48:FZ66" si="18">FX48/FV48</f>
        <v>7.5949367088607597E-2</v>
      </c>
      <c r="GA48" s="197"/>
      <c r="GB48" s="197"/>
      <c r="GC48" s="197"/>
      <c r="GD48" s="197"/>
      <c r="GE48" s="197"/>
      <c r="GF48" s="197"/>
      <c r="GG48" s="197"/>
      <c r="GH48" s="197"/>
      <c r="GI48" s="197"/>
      <c r="GJ48" s="197"/>
      <c r="GK48" s="197"/>
      <c r="GL48" s="197"/>
      <c r="GM48" s="197"/>
      <c r="GN48" s="197"/>
      <c r="GO48" s="197"/>
      <c r="GP48" s="197"/>
      <c r="GQ48" s="186">
        <f t="shared" ref="GQ48:HM48" si="19">GQ20+GQ39</f>
        <v>93</v>
      </c>
      <c r="GR48" s="186">
        <f t="shared" si="19"/>
        <v>85</v>
      </c>
      <c r="GS48" s="178">
        <f t="shared" si="19"/>
        <v>86</v>
      </c>
      <c r="GT48" s="178">
        <f t="shared" si="19"/>
        <v>88</v>
      </c>
      <c r="GU48" s="178">
        <f t="shared" si="19"/>
        <v>86</v>
      </c>
      <c r="GV48" s="178">
        <f t="shared" si="19"/>
        <v>66</v>
      </c>
      <c r="GW48" s="178">
        <f t="shared" si="19"/>
        <v>64</v>
      </c>
      <c r="GX48" s="178">
        <f t="shared" si="19"/>
        <v>65</v>
      </c>
      <c r="GY48" s="178">
        <f t="shared" si="19"/>
        <v>62</v>
      </c>
      <c r="GZ48" s="178">
        <f t="shared" si="19"/>
        <v>65</v>
      </c>
      <c r="HA48" s="178">
        <f t="shared" si="19"/>
        <v>65</v>
      </c>
      <c r="HB48" s="178">
        <f t="shared" si="19"/>
        <v>62</v>
      </c>
      <c r="HC48" s="178">
        <f t="shared" si="19"/>
        <v>65</v>
      </c>
      <c r="HD48" s="178">
        <f t="shared" si="19"/>
        <v>71</v>
      </c>
      <c r="HE48" s="178">
        <f t="shared" si="19"/>
        <v>67</v>
      </c>
      <c r="HF48" s="178">
        <f t="shared" si="19"/>
        <v>67</v>
      </c>
      <c r="HG48" s="178">
        <f t="shared" si="19"/>
        <v>64</v>
      </c>
      <c r="HH48" s="178">
        <f t="shared" si="19"/>
        <v>67</v>
      </c>
      <c r="HI48" s="178">
        <f t="shared" si="19"/>
        <v>68</v>
      </c>
      <c r="HJ48" s="178">
        <f t="shared" si="19"/>
        <v>63</v>
      </c>
      <c r="HK48" s="178">
        <f t="shared" si="19"/>
        <v>66</v>
      </c>
      <c r="HL48" s="178">
        <f t="shared" si="19"/>
        <v>63</v>
      </c>
      <c r="HM48" s="178">
        <f t="shared" si="19"/>
        <v>68</v>
      </c>
      <c r="HN48" s="186">
        <v>48</v>
      </c>
      <c r="HO48" s="187">
        <v>2.8301886792452831E-2</v>
      </c>
      <c r="HP48" s="217">
        <v>2641</v>
      </c>
      <c r="HQ48" s="217">
        <v>2287</v>
      </c>
      <c r="HR48" s="217">
        <v>354</v>
      </c>
      <c r="HS48" s="1704">
        <v>0.13404013631200304</v>
      </c>
    </row>
    <row r="49" spans="1:227" ht="13.8" customHeight="1" x14ac:dyDescent="0.25">
      <c r="A49" s="183" t="s">
        <v>645</v>
      </c>
      <c r="B49" s="183"/>
      <c r="C49" s="183" t="s">
        <v>164</v>
      </c>
      <c r="D49" s="183" t="s">
        <v>645</v>
      </c>
      <c r="E49" s="183" t="s">
        <v>34</v>
      </c>
      <c r="F49" s="183"/>
      <c r="G49" s="183" t="s">
        <v>164</v>
      </c>
      <c r="H49" s="183" t="s">
        <v>164</v>
      </c>
      <c r="I49" s="183" t="s">
        <v>164</v>
      </c>
      <c r="J49" s="183" t="s">
        <v>704</v>
      </c>
      <c r="K49" s="183" t="s">
        <v>133</v>
      </c>
      <c r="L49" s="184">
        <v>29760</v>
      </c>
      <c r="M49" s="184">
        <v>29685</v>
      </c>
      <c r="N49" s="184">
        <v>29960</v>
      </c>
      <c r="O49" s="184">
        <v>30165</v>
      </c>
      <c r="P49" s="184">
        <v>30300</v>
      </c>
      <c r="Q49" s="184">
        <v>30380</v>
      </c>
      <c r="R49" s="184">
        <v>30535</v>
      </c>
      <c r="S49" s="184">
        <v>30635</v>
      </c>
      <c r="T49" s="184">
        <v>30915</v>
      </c>
      <c r="U49" s="184">
        <v>31085</v>
      </c>
      <c r="V49" s="200">
        <v>1465</v>
      </c>
      <c r="W49" s="200">
        <v>1435</v>
      </c>
      <c r="X49" s="200">
        <v>1470</v>
      </c>
      <c r="Y49" s="200">
        <v>1535</v>
      </c>
      <c r="Z49" s="200">
        <v>1520</v>
      </c>
      <c r="AA49" s="200">
        <v>1640</v>
      </c>
      <c r="AB49" s="200">
        <v>1725</v>
      </c>
      <c r="AC49" s="200">
        <v>1755</v>
      </c>
      <c r="AD49" s="200">
        <v>1805</v>
      </c>
      <c r="AE49" s="200">
        <v>1840</v>
      </c>
      <c r="AF49" s="187">
        <v>0.89565217391304353</v>
      </c>
      <c r="AG49" s="187">
        <v>3.4782608695652174E-2</v>
      </c>
      <c r="AH49" s="187">
        <v>4.3478260869565216E-2</v>
      </c>
      <c r="AI49" s="187">
        <v>1.7391304347826087E-2</v>
      </c>
      <c r="AJ49" s="187">
        <v>2.8985507246376812E-3</v>
      </c>
      <c r="AK49" s="187">
        <v>5.7971014492753624E-3</v>
      </c>
      <c r="AL49" s="187">
        <v>0.10434782608695652</v>
      </c>
      <c r="AM49" s="184">
        <v>3211</v>
      </c>
      <c r="AN49" s="187">
        <v>0.62099034568670197</v>
      </c>
      <c r="AO49" s="187">
        <v>0.16256617876051074</v>
      </c>
      <c r="AP49" s="187">
        <v>0.21644347555278728</v>
      </c>
      <c r="AQ49" s="184">
        <f t="shared" ref="AQ49:AX49" si="20">AQ7+AQ21</f>
        <v>354</v>
      </c>
      <c r="AR49" s="184">
        <f t="shared" si="20"/>
        <v>346</v>
      </c>
      <c r="AS49" s="184">
        <f t="shared" si="20"/>
        <v>345</v>
      </c>
      <c r="AT49" s="184">
        <f t="shared" si="20"/>
        <v>377</v>
      </c>
      <c r="AU49" s="184">
        <f t="shared" si="20"/>
        <v>371</v>
      </c>
      <c r="AV49" s="186">
        <f t="shared" si="20"/>
        <v>22</v>
      </c>
      <c r="AW49" s="186">
        <f t="shared" si="20"/>
        <v>26</v>
      </c>
      <c r="AX49" s="186">
        <f t="shared" si="20"/>
        <v>15</v>
      </c>
      <c r="AY49" s="186">
        <f>AY7+AY21</f>
        <v>21</v>
      </c>
      <c r="AZ49" s="186">
        <v>11</v>
      </c>
      <c r="BA49" s="186">
        <v>22</v>
      </c>
      <c r="BB49" s="187">
        <v>5.9299191374663072E-2</v>
      </c>
      <c r="BC49" s="187">
        <v>3.9483053394127665E-2</v>
      </c>
      <c r="BD49" s="187">
        <v>8.8148129589767241E-2</v>
      </c>
      <c r="BE49" s="193">
        <v>27</v>
      </c>
      <c r="BF49" s="184">
        <f>BF7+BF21</f>
        <v>589</v>
      </c>
      <c r="BG49" s="184">
        <f>BG7+BG21</f>
        <v>517</v>
      </c>
      <c r="BH49" s="184">
        <f>BH7+BH21</f>
        <v>247</v>
      </c>
      <c r="BI49" s="184">
        <f t="shared" ref="BI49:BI59" si="21">BH49/BJ49</f>
        <v>7.439759036144579E-2</v>
      </c>
      <c r="BJ49" s="184">
        <f t="shared" ref="BJ49:BT49" si="22">BJ7+BJ21</f>
        <v>3320</v>
      </c>
      <c r="BK49" s="184">
        <f t="shared" si="22"/>
        <v>5743</v>
      </c>
      <c r="BL49" s="186">
        <f t="shared" si="22"/>
        <v>3348</v>
      </c>
      <c r="BM49" s="186">
        <f t="shared" si="22"/>
        <v>1712</v>
      </c>
      <c r="BN49" s="186">
        <f t="shared" si="22"/>
        <v>2</v>
      </c>
      <c r="BO49" s="186">
        <f t="shared" si="22"/>
        <v>565</v>
      </c>
      <c r="BP49" s="186">
        <f t="shared" si="22"/>
        <v>802</v>
      </c>
      <c r="BQ49" s="186">
        <f t="shared" si="22"/>
        <v>267</v>
      </c>
      <c r="BR49" s="193">
        <f t="shared" si="22"/>
        <v>265</v>
      </c>
      <c r="BS49" s="193">
        <f t="shared" si="22"/>
        <v>275</v>
      </c>
      <c r="BT49" s="193">
        <f t="shared" si="22"/>
        <v>260</v>
      </c>
      <c r="BU49" s="186">
        <v>802</v>
      </c>
      <c r="BV49" s="186">
        <v>325</v>
      </c>
      <c r="BW49" s="222">
        <v>0.40523690773067333</v>
      </c>
      <c r="BX49" s="186">
        <v>92</v>
      </c>
      <c r="BY49" s="237" t="s">
        <v>164</v>
      </c>
      <c r="BZ49" s="1676">
        <v>644</v>
      </c>
      <c r="CA49" s="222">
        <v>4.6592388945159893E-2</v>
      </c>
      <c r="CB49" s="200">
        <f>CB7+CB21</f>
        <v>380</v>
      </c>
      <c r="CC49" s="200">
        <f>CC7+CC21</f>
        <v>340</v>
      </c>
      <c r="CD49" s="200">
        <v>355</v>
      </c>
      <c r="CE49" s="200">
        <f>CE7+CE21</f>
        <v>335</v>
      </c>
      <c r="CF49" s="184">
        <v>870</v>
      </c>
      <c r="CG49" s="211">
        <v>0.17352507836990594</v>
      </c>
      <c r="CH49" s="184">
        <v>855</v>
      </c>
      <c r="CI49" s="211">
        <v>0.17224313308523834</v>
      </c>
      <c r="CJ49" s="184">
        <v>985</v>
      </c>
      <c r="CK49" s="211">
        <v>0.18749792339640056</v>
      </c>
      <c r="CL49" s="184">
        <v>880</v>
      </c>
      <c r="CM49" s="211">
        <v>0.16750447658402201</v>
      </c>
      <c r="CN49" s="184">
        <v>925</v>
      </c>
      <c r="CO49" s="211">
        <v>0.16530515970515972</v>
      </c>
      <c r="CP49" s="184">
        <v>785</v>
      </c>
      <c r="CQ49" s="187">
        <v>0.15287244401168451</v>
      </c>
      <c r="CR49" s="184">
        <f>CR7+CR21</f>
        <v>379</v>
      </c>
      <c r="CS49" s="184">
        <f>CS7+CS21</f>
        <v>26</v>
      </c>
      <c r="CT49" s="184">
        <f>CT7+CT21</f>
        <v>353</v>
      </c>
      <c r="CU49" s="187">
        <f t="shared" ref="CU49:CU66" si="23">CT49/CR49</f>
        <v>0.93139841688654357</v>
      </c>
      <c r="CV49" s="186">
        <f>CV7+CV21</f>
        <v>131</v>
      </c>
      <c r="CW49" s="186">
        <f>CW7+CW21</f>
        <v>163</v>
      </c>
      <c r="CX49" s="187">
        <v>0.37110481586402266</v>
      </c>
      <c r="CY49" s="187">
        <v>0.46175637393767704</v>
      </c>
      <c r="CZ49" s="187">
        <v>0.32234894432887634</v>
      </c>
      <c r="DA49" s="187">
        <v>0.42263584443210189</v>
      </c>
      <c r="DB49" s="187">
        <v>0.41044073960374611</v>
      </c>
      <c r="DC49" s="187">
        <v>0.51389540651214849</v>
      </c>
      <c r="DD49" s="200">
        <f>DD7+DD21</f>
        <v>264</v>
      </c>
      <c r="DE49" s="200">
        <f>DE7+DE21</f>
        <v>17</v>
      </c>
      <c r="DF49" s="143">
        <v>6.4393939393939392E-2</v>
      </c>
      <c r="DG49" s="143">
        <v>4.0589617518918868E-2</v>
      </c>
      <c r="DH49" s="143">
        <v>0.10069343472889242</v>
      </c>
      <c r="DI49" s="178" t="str">
        <f t="shared" si="12"/>
        <v>No Sig diff</v>
      </c>
      <c r="DJ49" s="200">
        <f>DJ7+DJ21</f>
        <v>287</v>
      </c>
      <c r="DK49" s="200">
        <f>DK7+DK21</f>
        <v>27</v>
      </c>
      <c r="DL49" s="143">
        <v>9.4076655052264813E-2</v>
      </c>
      <c r="DM49" s="143">
        <v>6.5461356844761939E-2</v>
      </c>
      <c r="DN49" s="143">
        <v>0.13341489365690332</v>
      </c>
      <c r="DO49" s="178" t="str">
        <f t="shared" si="13"/>
        <v>No Sig diff</v>
      </c>
      <c r="DP49" s="183">
        <f>DP7+DP21</f>
        <v>272</v>
      </c>
      <c r="DQ49" s="183">
        <f>DQ7+DQ21</f>
        <v>29</v>
      </c>
      <c r="DR49" s="143">
        <v>0.10661764705882353</v>
      </c>
      <c r="DS49" s="143">
        <v>7.5265326856754355E-2</v>
      </c>
      <c r="DT49" s="143">
        <v>0.14892671115335882</v>
      </c>
      <c r="DU49" s="178" t="str">
        <f t="shared" si="7"/>
        <v>No Sig diff</v>
      </c>
      <c r="DV49" s="183">
        <f>DV7+DV21</f>
        <v>315</v>
      </c>
      <c r="DW49" s="183">
        <f>DW7+DW21</f>
        <v>22</v>
      </c>
      <c r="DX49" s="179">
        <v>6.9841269841269843E-2</v>
      </c>
      <c r="DY49" s="179">
        <v>4.6571287675486066E-2</v>
      </c>
      <c r="DZ49" s="179">
        <v>0.10347651036698424</v>
      </c>
      <c r="EA49" s="178" t="str">
        <f t="shared" si="14"/>
        <v>No Sig diff</v>
      </c>
      <c r="EB49" s="183">
        <f>EB7+EB21</f>
        <v>244</v>
      </c>
      <c r="EC49" s="183">
        <f>EC7+EC21</f>
        <v>45</v>
      </c>
      <c r="ED49" s="143">
        <v>0.18442622950819673</v>
      </c>
      <c r="EE49" s="143">
        <v>0.14078630607299766</v>
      </c>
      <c r="EF49" s="143">
        <v>0.23784872644827881</v>
      </c>
      <c r="EG49" s="178" t="str">
        <f t="shared" si="15"/>
        <v>No Sig diff</v>
      </c>
      <c r="EH49" s="183">
        <f>EH7+EH21</f>
        <v>254</v>
      </c>
      <c r="EI49" s="183">
        <f>EI7+EI21</f>
        <v>33</v>
      </c>
      <c r="EJ49" s="143">
        <v>0.12992125984251968</v>
      </c>
      <c r="EK49" s="143">
        <v>9.4027695335937009E-2</v>
      </c>
      <c r="EL49" s="143">
        <v>0.17684208309353841</v>
      </c>
      <c r="EM49" s="178" t="str">
        <f t="shared" si="8"/>
        <v>Sig better than Eng.</v>
      </c>
      <c r="EN49" s="183">
        <f>EN7+EN21</f>
        <v>222</v>
      </c>
      <c r="EO49" s="183">
        <f>EO7+EO21</f>
        <v>39</v>
      </c>
      <c r="EP49" s="197">
        <v>0.17567567567567569</v>
      </c>
      <c r="EQ49" s="179">
        <v>0.13125584687818342</v>
      </c>
      <c r="ER49" s="179">
        <v>0.23112871815277405</v>
      </c>
      <c r="ES49" s="178" t="str">
        <f t="shared" si="9"/>
        <v>No Sig diff</v>
      </c>
      <c r="ET49" s="183">
        <f>ET7+ET21</f>
        <v>246</v>
      </c>
      <c r="EU49" s="183">
        <f>EU7+EU21</f>
        <v>32</v>
      </c>
      <c r="EV49" s="179">
        <v>0.13008130081300814</v>
      </c>
      <c r="EW49" s="179">
        <v>9.3670872414040679E-2</v>
      </c>
      <c r="EX49" s="179">
        <v>0.1778671627099957</v>
      </c>
      <c r="EY49" s="178" t="str">
        <f t="shared" si="10"/>
        <v>Sig better than Eng.</v>
      </c>
      <c r="EZ49" s="207">
        <v>347</v>
      </c>
      <c r="FA49" s="186">
        <v>171</v>
      </c>
      <c r="FB49" s="187">
        <v>0.49279538904899134</v>
      </c>
      <c r="FC49" s="187">
        <v>0.4405602602109211</v>
      </c>
      <c r="FD49" s="187">
        <v>0.54518828838762023</v>
      </c>
      <c r="FE49" s="208">
        <v>347</v>
      </c>
      <c r="FF49" s="209">
        <v>34</v>
      </c>
      <c r="FG49" s="208">
        <v>69</v>
      </c>
      <c r="FH49" s="209">
        <v>21.420289855072468</v>
      </c>
      <c r="FI49" s="187">
        <v>0.36999147485080974</v>
      </c>
      <c r="FJ49" s="186">
        <v>335</v>
      </c>
      <c r="FK49" s="186">
        <v>184</v>
      </c>
      <c r="FL49" s="187">
        <v>0.54925373134328359</v>
      </c>
      <c r="FM49" s="187">
        <v>0.49571356302278635</v>
      </c>
      <c r="FN49" s="187">
        <v>0.60167711672122548</v>
      </c>
      <c r="FO49" s="198">
        <v>335</v>
      </c>
      <c r="FP49" s="199">
        <v>34</v>
      </c>
      <c r="FQ49" s="198">
        <v>66</v>
      </c>
      <c r="FR49" s="199">
        <v>21.621212121212125</v>
      </c>
      <c r="FS49" s="210">
        <v>0.36408199643493749</v>
      </c>
      <c r="FT49" s="200">
        <f>FT7+FT21</f>
        <v>4003</v>
      </c>
      <c r="FU49" s="200">
        <f>FU7+FU21</f>
        <v>3955</v>
      </c>
      <c r="FV49" s="200">
        <f>FV7+FV21</f>
        <v>48</v>
      </c>
      <c r="FW49" s="200">
        <f>FW7+FW21</f>
        <v>39</v>
      </c>
      <c r="FX49" s="200">
        <f>FX7+FX21</f>
        <v>9</v>
      </c>
      <c r="FY49" s="187">
        <f t="shared" si="17"/>
        <v>0.8125</v>
      </c>
      <c r="FZ49" s="187">
        <f t="shared" si="18"/>
        <v>0.1875</v>
      </c>
      <c r="GA49" s="197"/>
      <c r="GB49" s="197"/>
      <c r="GC49" s="197"/>
      <c r="GD49" s="197"/>
      <c r="GE49" s="197"/>
      <c r="GF49" s="197"/>
      <c r="GG49" s="197"/>
      <c r="GH49" s="197"/>
      <c r="GI49" s="197"/>
      <c r="GJ49" s="197"/>
      <c r="GK49" s="197"/>
      <c r="GL49" s="197"/>
      <c r="GM49" s="197"/>
      <c r="GN49" s="197"/>
      <c r="GO49" s="197"/>
      <c r="GP49" s="197"/>
      <c r="GQ49" s="186">
        <f t="shared" ref="GQ49:HM49" si="24">GQ7+GQ21</f>
        <v>96</v>
      </c>
      <c r="GR49" s="186">
        <f t="shared" si="24"/>
        <v>94</v>
      </c>
      <c r="GS49" s="178">
        <f t="shared" si="24"/>
        <v>94</v>
      </c>
      <c r="GT49" s="178">
        <f t="shared" si="24"/>
        <v>95</v>
      </c>
      <c r="GU49" s="178">
        <f t="shared" si="24"/>
        <v>94</v>
      </c>
      <c r="GV49" s="178">
        <f t="shared" si="24"/>
        <v>106</v>
      </c>
      <c r="GW49" s="178">
        <f t="shared" si="24"/>
        <v>101</v>
      </c>
      <c r="GX49" s="178">
        <f t="shared" si="24"/>
        <v>104</v>
      </c>
      <c r="GY49" s="178">
        <f t="shared" si="24"/>
        <v>100</v>
      </c>
      <c r="GZ49" s="178">
        <f t="shared" si="24"/>
        <v>103</v>
      </c>
      <c r="HA49" s="178">
        <f t="shared" si="24"/>
        <v>105</v>
      </c>
      <c r="HB49" s="178">
        <f t="shared" si="24"/>
        <v>102</v>
      </c>
      <c r="HC49" s="178">
        <f t="shared" si="24"/>
        <v>104</v>
      </c>
      <c r="HD49" s="178">
        <f t="shared" si="24"/>
        <v>88</v>
      </c>
      <c r="HE49" s="178">
        <f t="shared" si="24"/>
        <v>84</v>
      </c>
      <c r="HF49" s="178">
        <f t="shared" si="24"/>
        <v>82</v>
      </c>
      <c r="HG49" s="178">
        <f t="shared" si="24"/>
        <v>80</v>
      </c>
      <c r="HH49" s="178">
        <f t="shared" si="24"/>
        <v>82</v>
      </c>
      <c r="HI49" s="178">
        <f t="shared" si="24"/>
        <v>83</v>
      </c>
      <c r="HJ49" s="178">
        <f t="shared" si="24"/>
        <v>82</v>
      </c>
      <c r="HK49" s="178">
        <f t="shared" si="24"/>
        <v>84</v>
      </c>
      <c r="HL49" s="178">
        <f t="shared" si="24"/>
        <v>83</v>
      </c>
      <c r="HM49" s="178">
        <f t="shared" si="24"/>
        <v>83</v>
      </c>
      <c r="HN49" s="186">
        <v>31</v>
      </c>
      <c r="HO49" s="187">
        <v>1.7971014492753623E-2</v>
      </c>
      <c r="HP49" s="217">
        <v>2686</v>
      </c>
      <c r="HQ49" s="217">
        <v>2343</v>
      </c>
      <c r="HR49" s="217">
        <v>343</v>
      </c>
      <c r="HS49" s="1704">
        <v>0.12769918093819807</v>
      </c>
    </row>
    <row r="50" spans="1:227" ht="13.8" customHeight="1" x14ac:dyDescent="0.25">
      <c r="A50" s="183" t="s">
        <v>646</v>
      </c>
      <c r="B50" s="183"/>
      <c r="C50" s="183" t="s">
        <v>164</v>
      </c>
      <c r="D50" s="183" t="s">
        <v>646</v>
      </c>
      <c r="E50" s="183" t="s">
        <v>100</v>
      </c>
      <c r="F50" s="183"/>
      <c r="G50" s="183" t="s">
        <v>164</v>
      </c>
      <c r="H50" s="183" t="s">
        <v>164</v>
      </c>
      <c r="I50" s="183" t="s">
        <v>164</v>
      </c>
      <c r="J50" s="183" t="s">
        <v>704</v>
      </c>
      <c r="K50" s="183" t="s">
        <v>706</v>
      </c>
      <c r="L50" s="184">
        <v>53555</v>
      </c>
      <c r="M50" s="184">
        <v>53925</v>
      </c>
      <c r="N50" s="184">
        <v>54555</v>
      </c>
      <c r="O50" s="184">
        <v>54965</v>
      </c>
      <c r="P50" s="184">
        <v>55265</v>
      </c>
      <c r="Q50" s="184">
        <v>55595</v>
      </c>
      <c r="R50" s="184">
        <v>55840</v>
      </c>
      <c r="S50" s="184">
        <v>56205</v>
      </c>
      <c r="T50" s="184">
        <v>56680</v>
      </c>
      <c r="U50" s="184">
        <v>57130</v>
      </c>
      <c r="V50" s="200">
        <v>2675</v>
      </c>
      <c r="W50" s="200">
        <v>2700</v>
      </c>
      <c r="X50" s="200">
        <v>2735</v>
      </c>
      <c r="Y50" s="200">
        <v>2740</v>
      </c>
      <c r="Z50" s="200">
        <v>2760</v>
      </c>
      <c r="AA50" s="200">
        <v>2835</v>
      </c>
      <c r="AB50" s="200">
        <v>2865</v>
      </c>
      <c r="AC50" s="200">
        <v>2935</v>
      </c>
      <c r="AD50" s="200">
        <v>3070</v>
      </c>
      <c r="AE50" s="200">
        <v>3090</v>
      </c>
      <c r="AF50" s="187">
        <v>0.88581314878892736</v>
      </c>
      <c r="AG50" s="187">
        <v>5.1903114186851208E-2</v>
      </c>
      <c r="AH50" s="187">
        <v>3.8062283737024222E-2</v>
      </c>
      <c r="AI50" s="187">
        <v>1.9031141868512111E-2</v>
      </c>
      <c r="AJ50" s="187">
        <v>3.4602076124567475E-3</v>
      </c>
      <c r="AK50" s="187">
        <v>1.7301038062283738E-3</v>
      </c>
      <c r="AL50" s="187">
        <v>0.11418685121107267</v>
      </c>
      <c r="AM50" s="184">
        <v>5674</v>
      </c>
      <c r="AN50" s="187">
        <v>0.57737046175537543</v>
      </c>
      <c r="AO50" s="187">
        <v>0.1473387381036306</v>
      </c>
      <c r="AP50" s="187">
        <v>0.275290800140994</v>
      </c>
      <c r="AQ50" s="184">
        <f t="shared" ref="AQ50:AX50" si="25">AQ23+AQ11+AQ3</f>
        <v>561</v>
      </c>
      <c r="AR50" s="184">
        <f t="shared" si="25"/>
        <v>576</v>
      </c>
      <c r="AS50" s="184">
        <f t="shared" si="25"/>
        <v>644</v>
      </c>
      <c r="AT50" s="184">
        <f t="shared" si="25"/>
        <v>630</v>
      </c>
      <c r="AU50" s="184">
        <f t="shared" si="25"/>
        <v>560</v>
      </c>
      <c r="AV50" s="186">
        <f t="shared" si="25"/>
        <v>44</v>
      </c>
      <c r="AW50" s="186">
        <f t="shared" si="25"/>
        <v>30</v>
      </c>
      <c r="AX50" s="186">
        <f t="shared" si="25"/>
        <v>47</v>
      </c>
      <c r="AY50" s="186">
        <f>AY23+AY11+AY3</f>
        <v>32</v>
      </c>
      <c r="AZ50" s="186">
        <v>26</v>
      </c>
      <c r="BA50" s="186">
        <v>38</v>
      </c>
      <c r="BB50" s="187">
        <v>6.7857142857142852E-2</v>
      </c>
      <c r="BC50" s="187">
        <v>4.9834490003291265E-2</v>
      </c>
      <c r="BD50" s="187">
        <v>9.1768184953756049E-2</v>
      </c>
      <c r="BE50" s="193">
        <v>55</v>
      </c>
      <c r="BF50" s="184">
        <f>BF23+BF11+BF3</f>
        <v>987</v>
      </c>
      <c r="BG50" s="184">
        <f>BG23+BG11+BG3</f>
        <v>889</v>
      </c>
      <c r="BH50" s="184">
        <f>BH23+BH11+BH3</f>
        <v>436</v>
      </c>
      <c r="BI50" s="184">
        <f t="shared" si="21"/>
        <v>7.2054205916377456E-2</v>
      </c>
      <c r="BJ50" s="184">
        <f t="shared" ref="BJ50:BT50" si="26">BJ23+BJ11+BJ3</f>
        <v>6051</v>
      </c>
      <c r="BK50" s="184">
        <f t="shared" si="26"/>
        <v>10574</v>
      </c>
      <c r="BL50" s="186">
        <f t="shared" si="26"/>
        <v>6079</v>
      </c>
      <c r="BM50" s="186">
        <f t="shared" si="26"/>
        <v>3197</v>
      </c>
      <c r="BN50" s="186">
        <f t="shared" si="26"/>
        <v>3</v>
      </c>
      <c r="BO50" s="186">
        <f t="shared" si="26"/>
        <v>898</v>
      </c>
      <c r="BP50" s="186">
        <f t="shared" si="26"/>
        <v>1483</v>
      </c>
      <c r="BQ50" s="186">
        <f t="shared" si="26"/>
        <v>498</v>
      </c>
      <c r="BR50" s="193">
        <f t="shared" si="26"/>
        <v>480</v>
      </c>
      <c r="BS50" s="193">
        <f t="shared" si="26"/>
        <v>465</v>
      </c>
      <c r="BT50" s="193">
        <f t="shared" si="26"/>
        <v>365</v>
      </c>
      <c r="BU50" s="186">
        <v>1482</v>
      </c>
      <c r="BV50" s="186">
        <v>508</v>
      </c>
      <c r="BW50" s="222">
        <v>0.34278002699055332</v>
      </c>
      <c r="BX50" s="186">
        <v>137</v>
      </c>
      <c r="BY50" s="237" t="s">
        <v>164</v>
      </c>
      <c r="BZ50" s="1676">
        <v>1108</v>
      </c>
      <c r="CA50" s="222">
        <v>4.3713259951868068E-2</v>
      </c>
      <c r="CB50" s="200">
        <f>CB23+CB11+CB3</f>
        <v>605</v>
      </c>
      <c r="CC50" s="200">
        <f>CC23+CC11+CC3</f>
        <v>655</v>
      </c>
      <c r="CD50" s="200">
        <v>650</v>
      </c>
      <c r="CE50" s="200">
        <f>CE23+CE11+CE3</f>
        <v>610</v>
      </c>
      <c r="CF50" s="184">
        <v>1745</v>
      </c>
      <c r="CG50" s="211">
        <v>0.22530978987583569</v>
      </c>
      <c r="CH50" s="184">
        <v>1735</v>
      </c>
      <c r="CI50" s="211">
        <v>0.20418318924111431</v>
      </c>
      <c r="CJ50" s="184">
        <v>1805</v>
      </c>
      <c r="CK50" s="211">
        <v>0.22404164358264086</v>
      </c>
      <c r="CL50" s="184">
        <v>1690</v>
      </c>
      <c r="CM50" s="211">
        <v>0.20753303747534516</v>
      </c>
      <c r="CN50" s="184">
        <v>1810</v>
      </c>
      <c r="CO50" s="211">
        <v>0.20711832412523021</v>
      </c>
      <c r="CP50" s="184">
        <v>1655</v>
      </c>
      <c r="CQ50" s="187">
        <v>0.17239583333333333</v>
      </c>
      <c r="CR50" s="184">
        <f>CR23+CR11+CR3</f>
        <v>588</v>
      </c>
      <c r="CS50" s="184">
        <f>CS23+CS11+CS3</f>
        <v>23</v>
      </c>
      <c r="CT50" s="184">
        <f>CT23+CT11+CT3</f>
        <v>565</v>
      </c>
      <c r="CU50" s="187">
        <f t="shared" si="23"/>
        <v>0.96088435374149661</v>
      </c>
      <c r="CV50" s="186">
        <f>CV23+CV11+CV3</f>
        <v>207</v>
      </c>
      <c r="CW50" s="186">
        <f>CW23+CW11+CW3</f>
        <v>263</v>
      </c>
      <c r="CX50" s="187">
        <v>0.36637168141592918</v>
      </c>
      <c r="CY50" s="187">
        <v>0.46548672566371679</v>
      </c>
      <c r="CZ50" s="187">
        <v>0.32766968695072873</v>
      </c>
      <c r="DA50" s="187">
        <v>0.40687849399049719</v>
      </c>
      <c r="DB50" s="187">
        <v>0.42472843243816932</v>
      </c>
      <c r="DC50" s="187">
        <v>0.50671116396386917</v>
      </c>
      <c r="DD50" s="200">
        <f>DD23+DD11+DD3</f>
        <v>416</v>
      </c>
      <c r="DE50" s="200">
        <f>DE23+DE11+DE3</f>
        <v>22</v>
      </c>
      <c r="DF50" s="143">
        <v>5.2884615384615384E-2</v>
      </c>
      <c r="DG50" s="143">
        <v>3.5180459502092254E-2</v>
      </c>
      <c r="DH50" s="143">
        <v>7.877078998879293E-2</v>
      </c>
      <c r="DI50" s="178" t="str">
        <f t="shared" si="12"/>
        <v>Sig better than Eng.</v>
      </c>
      <c r="DJ50" s="200">
        <f>DJ23+DJ11+DJ3</f>
        <v>472</v>
      </c>
      <c r="DK50" s="200">
        <f>DK23+DK11+DK3</f>
        <v>40</v>
      </c>
      <c r="DL50" s="143">
        <v>8.4745762711864403E-2</v>
      </c>
      <c r="DM50" s="143">
        <v>6.2851118482604509E-2</v>
      </c>
      <c r="DN50" s="143">
        <v>0.1133450856659019</v>
      </c>
      <c r="DO50" s="178" t="str">
        <f t="shared" si="13"/>
        <v>No Sig diff</v>
      </c>
      <c r="DP50" s="183">
        <f>DP23+DP11+DP3</f>
        <v>364</v>
      </c>
      <c r="DQ50" s="183">
        <f>DQ23+DQ11+DQ3</f>
        <v>27</v>
      </c>
      <c r="DR50" s="143">
        <v>7.4175824175824176E-2</v>
      </c>
      <c r="DS50" s="143">
        <v>5.1475936681714074E-2</v>
      </c>
      <c r="DT50" s="143">
        <v>0.10576968485897578</v>
      </c>
      <c r="DU50" s="178" t="str">
        <f t="shared" si="7"/>
        <v>No Sig diff</v>
      </c>
      <c r="DV50" s="183">
        <f>DV23+DV11+DV3</f>
        <v>513</v>
      </c>
      <c r="DW50" s="183">
        <f>DW23+DW11+DW3</f>
        <v>47</v>
      </c>
      <c r="DX50" s="179">
        <v>9.1617933723196876E-2</v>
      </c>
      <c r="DY50" s="179">
        <v>6.9597686036753315E-2</v>
      </c>
      <c r="DZ50" s="179">
        <v>0.11970883562647475</v>
      </c>
      <c r="EA50" s="178" t="str">
        <f t="shared" si="14"/>
        <v>No Sig diff</v>
      </c>
      <c r="EB50" s="183">
        <f>EB23+EB11+EB3</f>
        <v>486</v>
      </c>
      <c r="EC50" s="183">
        <f>EC23+EC11+EC3</f>
        <v>73</v>
      </c>
      <c r="ED50" s="143">
        <v>0.15020576131687244</v>
      </c>
      <c r="EE50" s="143">
        <v>0.12119140050135882</v>
      </c>
      <c r="EF50" s="143">
        <v>0.18470646935522964</v>
      </c>
      <c r="EG50" s="178" t="str">
        <f t="shared" si="15"/>
        <v>Sig better than Eng.</v>
      </c>
      <c r="EH50" s="183">
        <f>EH23+EH11+EH3</f>
        <v>495</v>
      </c>
      <c r="EI50" s="183">
        <f>EI23+EI11+EI3</f>
        <v>84</v>
      </c>
      <c r="EJ50" s="143">
        <v>0.16969696969696971</v>
      </c>
      <c r="EK50" s="143">
        <v>0.13920260146623115</v>
      </c>
      <c r="EL50" s="143">
        <v>0.20527850727509667</v>
      </c>
      <c r="EM50" s="178" t="str">
        <f t="shared" si="8"/>
        <v>No Sig diff</v>
      </c>
      <c r="EN50" s="183">
        <f>EN23+EN11+EN3</f>
        <v>500</v>
      </c>
      <c r="EO50" s="183">
        <f>EO23+EO11+EO3</f>
        <v>103</v>
      </c>
      <c r="EP50" s="197">
        <v>0.20599999999999999</v>
      </c>
      <c r="EQ50" s="179">
        <v>0.17285664127336728</v>
      </c>
      <c r="ER50" s="179">
        <v>0.24362647091802545</v>
      </c>
      <c r="ES50" s="178" t="str">
        <f t="shared" si="9"/>
        <v>No Sig diff</v>
      </c>
      <c r="ET50" s="183">
        <f>ET23+ET11+ET3</f>
        <v>506</v>
      </c>
      <c r="EU50" s="183">
        <f>EU23+EU11+EU3</f>
        <v>73</v>
      </c>
      <c r="EV50" s="179">
        <v>0.14426877470355731</v>
      </c>
      <c r="EW50" s="179">
        <v>0.11633254008067927</v>
      </c>
      <c r="EX50" s="179">
        <v>0.17756560458431117</v>
      </c>
      <c r="EY50" s="178" t="str">
        <f t="shared" si="10"/>
        <v>Sig better than Eng.</v>
      </c>
      <c r="EZ50" s="207">
        <v>573</v>
      </c>
      <c r="FA50" s="186">
        <v>306</v>
      </c>
      <c r="FB50" s="187">
        <v>0.53403141361256545</v>
      </c>
      <c r="FC50" s="187">
        <v>0.49309598153954287</v>
      </c>
      <c r="FD50" s="187">
        <v>0.57451358327872171</v>
      </c>
      <c r="FE50" s="208">
        <v>573</v>
      </c>
      <c r="FF50" s="209">
        <v>34</v>
      </c>
      <c r="FG50" s="208">
        <v>114</v>
      </c>
      <c r="FH50" s="209">
        <v>24.087719298245613</v>
      </c>
      <c r="FI50" s="187">
        <v>0.29153766769865846</v>
      </c>
      <c r="FJ50" s="186">
        <v>623</v>
      </c>
      <c r="FK50" s="186">
        <v>370</v>
      </c>
      <c r="FL50" s="187">
        <v>0.593900481540931</v>
      </c>
      <c r="FM50" s="187">
        <v>0.55487551037941496</v>
      </c>
      <c r="FN50" s="187">
        <v>0.6317745561623187</v>
      </c>
      <c r="FO50" s="198">
        <v>623</v>
      </c>
      <c r="FP50" s="199">
        <v>34</v>
      </c>
      <c r="FQ50" s="198">
        <v>123</v>
      </c>
      <c r="FR50" s="199">
        <v>24.869918699186982</v>
      </c>
      <c r="FS50" s="210">
        <v>0.26853180296508877</v>
      </c>
      <c r="FT50" s="200">
        <f>FT23+FT11+FT3</f>
        <v>7538</v>
      </c>
      <c r="FU50" s="200">
        <f>FU23+FU11+FU3</f>
        <v>7332</v>
      </c>
      <c r="FV50" s="200">
        <f>FV23+FV11+FV3</f>
        <v>206</v>
      </c>
      <c r="FW50" s="200">
        <f>FW23+FW11+FW3</f>
        <v>166</v>
      </c>
      <c r="FX50" s="200">
        <f>FX23+FX11+FX3</f>
        <v>40</v>
      </c>
      <c r="FY50" s="187">
        <f t="shared" si="17"/>
        <v>0.80582524271844658</v>
      </c>
      <c r="FZ50" s="187">
        <f t="shared" si="18"/>
        <v>0.1941747572815534</v>
      </c>
      <c r="GA50" s="197"/>
      <c r="GB50" s="197"/>
      <c r="GC50" s="197"/>
      <c r="GD50" s="197"/>
      <c r="GE50" s="197"/>
      <c r="GF50" s="197"/>
      <c r="GG50" s="197"/>
      <c r="GH50" s="197"/>
      <c r="GI50" s="197"/>
      <c r="GJ50" s="197"/>
      <c r="GK50" s="197"/>
      <c r="GL50" s="197"/>
      <c r="GM50" s="197"/>
      <c r="GN50" s="197"/>
      <c r="GO50" s="197"/>
      <c r="GP50" s="197"/>
      <c r="GQ50" s="186">
        <f t="shared" ref="GQ50:HM50" si="27">GQ23+GQ11+GQ3</f>
        <v>184</v>
      </c>
      <c r="GR50" s="186">
        <f t="shared" si="27"/>
        <v>176</v>
      </c>
      <c r="GS50" s="178">
        <f t="shared" si="27"/>
        <v>176</v>
      </c>
      <c r="GT50" s="178">
        <f t="shared" si="27"/>
        <v>182</v>
      </c>
      <c r="GU50" s="178">
        <f t="shared" si="27"/>
        <v>176</v>
      </c>
      <c r="GV50" s="178">
        <f t="shared" si="27"/>
        <v>163</v>
      </c>
      <c r="GW50" s="178">
        <f t="shared" si="27"/>
        <v>150</v>
      </c>
      <c r="GX50" s="178">
        <f t="shared" si="27"/>
        <v>155</v>
      </c>
      <c r="GY50" s="178">
        <f t="shared" si="27"/>
        <v>152</v>
      </c>
      <c r="GZ50" s="178">
        <f t="shared" si="27"/>
        <v>155</v>
      </c>
      <c r="HA50" s="178">
        <f t="shared" si="27"/>
        <v>160</v>
      </c>
      <c r="HB50" s="178">
        <f t="shared" si="27"/>
        <v>148</v>
      </c>
      <c r="HC50" s="178">
        <f t="shared" si="27"/>
        <v>156</v>
      </c>
      <c r="HD50" s="178">
        <f t="shared" si="27"/>
        <v>143</v>
      </c>
      <c r="HE50" s="178">
        <f t="shared" si="27"/>
        <v>137</v>
      </c>
      <c r="HF50" s="178">
        <f t="shared" si="27"/>
        <v>132</v>
      </c>
      <c r="HG50" s="178">
        <f t="shared" si="27"/>
        <v>130</v>
      </c>
      <c r="HH50" s="178">
        <f t="shared" si="27"/>
        <v>133</v>
      </c>
      <c r="HI50" s="178">
        <f t="shared" si="27"/>
        <v>133</v>
      </c>
      <c r="HJ50" s="178">
        <f t="shared" si="27"/>
        <v>131</v>
      </c>
      <c r="HK50" s="178">
        <f t="shared" si="27"/>
        <v>137</v>
      </c>
      <c r="HL50" s="178">
        <f t="shared" si="27"/>
        <v>130</v>
      </c>
      <c r="HM50" s="178">
        <f t="shared" si="27"/>
        <v>138</v>
      </c>
      <c r="HN50" s="186">
        <v>53</v>
      </c>
      <c r="HO50" s="187">
        <v>1.8345448251990307E-2</v>
      </c>
      <c r="HP50" s="217">
        <v>4618</v>
      </c>
      <c r="HQ50" s="217">
        <v>4018</v>
      </c>
      <c r="HR50" s="217">
        <v>600</v>
      </c>
      <c r="HS50" s="1704">
        <v>0.12992637505413598</v>
      </c>
    </row>
    <row r="51" spans="1:227" ht="13.8" customHeight="1" x14ac:dyDescent="0.25">
      <c r="A51" s="183" t="s">
        <v>647</v>
      </c>
      <c r="B51" s="183"/>
      <c r="C51" s="183" t="s">
        <v>164</v>
      </c>
      <c r="D51" s="183" t="s">
        <v>647</v>
      </c>
      <c r="E51" s="183" t="s">
        <v>100</v>
      </c>
      <c r="F51" s="183"/>
      <c r="G51" s="183" t="s">
        <v>164</v>
      </c>
      <c r="H51" s="183" t="s">
        <v>164</v>
      </c>
      <c r="I51" s="183" t="s">
        <v>164</v>
      </c>
      <c r="J51" s="183" t="s">
        <v>704</v>
      </c>
      <c r="K51" s="183" t="s">
        <v>128</v>
      </c>
      <c r="L51" s="184">
        <v>34600</v>
      </c>
      <c r="M51" s="184">
        <v>34840</v>
      </c>
      <c r="N51" s="184">
        <v>34625</v>
      </c>
      <c r="O51" s="184">
        <v>34775</v>
      </c>
      <c r="P51" s="184">
        <v>34970</v>
      </c>
      <c r="Q51" s="184">
        <v>34910</v>
      </c>
      <c r="R51" s="184">
        <v>35030</v>
      </c>
      <c r="S51" s="184">
        <v>35155</v>
      </c>
      <c r="T51" s="184">
        <v>35795</v>
      </c>
      <c r="U51" s="184">
        <v>36285</v>
      </c>
      <c r="V51" s="200">
        <v>1835</v>
      </c>
      <c r="W51" s="200">
        <v>1830</v>
      </c>
      <c r="X51" s="200">
        <v>1830</v>
      </c>
      <c r="Y51" s="200">
        <v>1815</v>
      </c>
      <c r="Z51" s="200">
        <v>1845</v>
      </c>
      <c r="AA51" s="200">
        <v>1885</v>
      </c>
      <c r="AB51" s="200">
        <v>1890</v>
      </c>
      <c r="AC51" s="200">
        <v>1920</v>
      </c>
      <c r="AD51" s="200">
        <v>1995</v>
      </c>
      <c r="AE51" s="200">
        <v>2085</v>
      </c>
      <c r="AF51" s="187">
        <v>0.88157894736842102</v>
      </c>
      <c r="AG51" s="187">
        <v>6.5789473684210523E-2</v>
      </c>
      <c r="AH51" s="187">
        <v>2.6315789473684209E-2</v>
      </c>
      <c r="AI51" s="187">
        <v>2.1052631578947368E-2</v>
      </c>
      <c r="AJ51" s="187">
        <v>2.631578947368421E-3</v>
      </c>
      <c r="AK51" s="187">
        <v>2.631578947368421E-3</v>
      </c>
      <c r="AL51" s="187">
        <v>0.11842105263157894</v>
      </c>
      <c r="AM51" s="184">
        <v>3777</v>
      </c>
      <c r="AN51" s="187">
        <v>0.6346306592533757</v>
      </c>
      <c r="AO51" s="187">
        <v>0.14402965316388669</v>
      </c>
      <c r="AP51" s="187">
        <v>0.22133968758273762</v>
      </c>
      <c r="AQ51" s="184">
        <f t="shared" ref="AQ51:AX51" si="28">AQ46+AQ44</f>
        <v>366</v>
      </c>
      <c r="AR51" s="184">
        <f t="shared" si="28"/>
        <v>396</v>
      </c>
      <c r="AS51" s="184">
        <f t="shared" si="28"/>
        <v>364</v>
      </c>
      <c r="AT51" s="184">
        <f t="shared" si="28"/>
        <v>420</v>
      </c>
      <c r="AU51" s="184">
        <f t="shared" si="28"/>
        <v>383</v>
      </c>
      <c r="AV51" s="186">
        <f t="shared" si="28"/>
        <v>23</v>
      </c>
      <c r="AW51" s="186">
        <f t="shared" si="28"/>
        <v>15</v>
      </c>
      <c r="AX51" s="186">
        <f t="shared" si="28"/>
        <v>21</v>
      </c>
      <c r="AY51" s="186">
        <f>AY46+AY44</f>
        <v>16</v>
      </c>
      <c r="AZ51" s="186">
        <v>21</v>
      </c>
      <c r="BA51" s="186">
        <v>20</v>
      </c>
      <c r="BB51" s="187">
        <v>5.2219321148825062E-2</v>
      </c>
      <c r="BC51" s="187">
        <v>3.405512727403584E-2</v>
      </c>
      <c r="BD51" s="187">
        <v>7.9276724369650539E-2</v>
      </c>
      <c r="BE51" s="193">
        <v>37</v>
      </c>
      <c r="BF51" s="184">
        <f>BF46+BF44</f>
        <v>547</v>
      </c>
      <c r="BG51" s="184">
        <f>BG46+BG44</f>
        <v>636</v>
      </c>
      <c r="BH51" s="184">
        <f>BH46+BH44</f>
        <v>289</v>
      </c>
      <c r="BI51" s="184">
        <f t="shared" si="21"/>
        <v>7.2613065326633169E-2</v>
      </c>
      <c r="BJ51" s="184">
        <f t="shared" ref="BJ51:BT51" si="29">BJ46+BJ44</f>
        <v>3980</v>
      </c>
      <c r="BK51" s="184">
        <f t="shared" si="29"/>
        <v>7077</v>
      </c>
      <c r="BL51" s="186">
        <f t="shared" si="29"/>
        <v>3999</v>
      </c>
      <c r="BM51" s="186">
        <f t="shared" si="29"/>
        <v>2253</v>
      </c>
      <c r="BN51" s="186">
        <f t="shared" si="29"/>
        <v>3</v>
      </c>
      <c r="BO51" s="186">
        <f t="shared" si="29"/>
        <v>569</v>
      </c>
      <c r="BP51" s="186">
        <f t="shared" si="29"/>
        <v>828</v>
      </c>
      <c r="BQ51" s="186">
        <f t="shared" si="29"/>
        <v>346</v>
      </c>
      <c r="BR51" s="193">
        <f t="shared" si="29"/>
        <v>245</v>
      </c>
      <c r="BS51" s="193">
        <f t="shared" si="29"/>
        <v>215</v>
      </c>
      <c r="BT51" s="193">
        <f t="shared" si="29"/>
        <v>220</v>
      </c>
      <c r="BU51" s="186">
        <v>825</v>
      </c>
      <c r="BV51" s="186">
        <v>288</v>
      </c>
      <c r="BW51" s="222">
        <v>0.34909090909090912</v>
      </c>
      <c r="BX51" s="186">
        <v>77</v>
      </c>
      <c r="BY51" s="237" t="s">
        <v>164</v>
      </c>
      <c r="BZ51" s="1676">
        <v>633</v>
      </c>
      <c r="CA51" s="222">
        <v>4.3061224489795921E-2</v>
      </c>
      <c r="CB51" s="200">
        <f>CB46+CB44</f>
        <v>295</v>
      </c>
      <c r="CC51" s="200">
        <f>CC46+CC44</f>
        <v>305</v>
      </c>
      <c r="CD51" s="200">
        <v>345</v>
      </c>
      <c r="CE51" s="200">
        <f>CE46+CE44</f>
        <v>360</v>
      </c>
      <c r="CF51" s="184">
        <v>955</v>
      </c>
      <c r="CG51" s="211">
        <v>0.17712507271669578</v>
      </c>
      <c r="CH51" s="184">
        <v>925</v>
      </c>
      <c r="CI51" s="211">
        <v>0.17057567567567566</v>
      </c>
      <c r="CJ51" s="184">
        <v>1020</v>
      </c>
      <c r="CK51" s="211">
        <v>0.17508473389355741</v>
      </c>
      <c r="CL51" s="184">
        <v>990</v>
      </c>
      <c r="CM51" s="211">
        <v>0.16054389129389129</v>
      </c>
      <c r="CN51" s="184">
        <v>1060</v>
      </c>
      <c r="CO51" s="211">
        <v>0.16157472297094941</v>
      </c>
      <c r="CP51" s="184">
        <v>880</v>
      </c>
      <c r="CQ51" s="187">
        <v>0.13750000000000001</v>
      </c>
      <c r="CR51" s="184">
        <f>CR46+CR44</f>
        <v>407</v>
      </c>
      <c r="CS51" s="184">
        <f>CS46+CS44</f>
        <v>21</v>
      </c>
      <c r="CT51" s="184">
        <f>CT46+CT44</f>
        <v>386</v>
      </c>
      <c r="CU51" s="187">
        <f t="shared" si="23"/>
        <v>0.94840294840294836</v>
      </c>
      <c r="CV51" s="186">
        <f>CV46+CV44</f>
        <v>164</v>
      </c>
      <c r="CW51" s="186">
        <f>CW46+CW44</f>
        <v>203</v>
      </c>
      <c r="CX51" s="187">
        <v>0.42487046632124353</v>
      </c>
      <c r="CY51" s="187">
        <v>0.52590673575129532</v>
      </c>
      <c r="CZ51" s="187">
        <v>0.37653529950140968</v>
      </c>
      <c r="DA51" s="187">
        <v>0.47468627099174598</v>
      </c>
      <c r="DB51" s="187">
        <v>0.47608405802744896</v>
      </c>
      <c r="DC51" s="187">
        <v>0.57521884869904905</v>
      </c>
      <c r="DD51" s="200">
        <f>DD46+DD44</f>
        <v>306</v>
      </c>
      <c r="DE51" s="200">
        <f>DE46+DE44</f>
        <v>41</v>
      </c>
      <c r="DF51" s="143">
        <v>0.13398692810457516</v>
      </c>
      <c r="DG51" s="143">
        <v>0.10032528329781232</v>
      </c>
      <c r="DH51" s="143">
        <v>0.17672433797437112</v>
      </c>
      <c r="DI51" s="178" t="str">
        <f t="shared" si="12"/>
        <v>Sig worse than Eng.</v>
      </c>
      <c r="DJ51" s="200">
        <f>DJ46+DJ44</f>
        <v>319</v>
      </c>
      <c r="DK51" s="200">
        <f>DK46+DK44</f>
        <v>27</v>
      </c>
      <c r="DL51" s="143">
        <v>8.4639498432601878E-2</v>
      </c>
      <c r="DM51" s="143">
        <v>5.8819812484351107E-2</v>
      </c>
      <c r="DN51" s="143">
        <v>0.12034385203377765</v>
      </c>
      <c r="DO51" s="178" t="str">
        <f t="shared" si="13"/>
        <v>No Sig diff</v>
      </c>
      <c r="DP51" s="183">
        <f>DP46+DP44</f>
        <v>351</v>
      </c>
      <c r="DQ51" s="183">
        <f>DQ46+DQ44</f>
        <v>37</v>
      </c>
      <c r="DR51" s="143">
        <v>0.10541310541310542</v>
      </c>
      <c r="DS51" s="143">
        <v>7.7449182248717607E-2</v>
      </c>
      <c r="DT51" s="143">
        <v>0.14192050211510529</v>
      </c>
      <c r="DU51" s="178" t="str">
        <f t="shared" si="7"/>
        <v>No Sig diff</v>
      </c>
      <c r="DV51" s="183">
        <f>DV46+DV44</f>
        <v>389</v>
      </c>
      <c r="DW51" s="183">
        <f>DW46+DW44</f>
        <v>41</v>
      </c>
      <c r="DX51" s="179">
        <v>0.10539845758354756</v>
      </c>
      <c r="DY51" s="179">
        <v>7.8648068865521378E-2</v>
      </c>
      <c r="DZ51" s="179">
        <v>0.13986618642308607</v>
      </c>
      <c r="EA51" s="178" t="str">
        <f t="shared" si="14"/>
        <v>No Sig diff</v>
      </c>
      <c r="EB51" s="183">
        <f>EB46+EB44</f>
        <v>335</v>
      </c>
      <c r="EC51" s="183">
        <f>EC46+EC44</f>
        <v>57</v>
      </c>
      <c r="ED51" s="143">
        <v>0.17014925373134329</v>
      </c>
      <c r="EE51" s="143">
        <v>0.13370474763443638</v>
      </c>
      <c r="EF51" s="143">
        <v>0.21407282135263578</v>
      </c>
      <c r="EG51" s="178" t="str">
        <f t="shared" si="15"/>
        <v>No Sig diff</v>
      </c>
      <c r="EH51" s="183">
        <f>EH46+EH44</f>
        <v>305</v>
      </c>
      <c r="EI51" s="183">
        <f>EI46+EI44</f>
        <v>63</v>
      </c>
      <c r="EJ51" s="143">
        <v>0.20655737704918034</v>
      </c>
      <c r="EK51" s="143">
        <v>0.16490994305307338</v>
      </c>
      <c r="EL51" s="143">
        <v>0.25550465839483955</v>
      </c>
      <c r="EM51" s="178" t="str">
        <f t="shared" si="8"/>
        <v>No Sig diff</v>
      </c>
      <c r="EN51" s="183">
        <f>EN46+EN44</f>
        <v>291</v>
      </c>
      <c r="EO51" s="183">
        <f>EO46+EO44</f>
        <v>51</v>
      </c>
      <c r="EP51" s="197">
        <v>0.17525773195876287</v>
      </c>
      <c r="EQ51" s="179">
        <v>0.13588681157015609</v>
      </c>
      <c r="ER51" s="179">
        <v>0.22309071907983608</v>
      </c>
      <c r="ES51" s="178" t="str">
        <f t="shared" si="9"/>
        <v>No Sig diff</v>
      </c>
      <c r="ET51" s="183">
        <f>ET46+ET44</f>
        <v>294</v>
      </c>
      <c r="EU51" s="183">
        <f>EU46+EU44</f>
        <v>43</v>
      </c>
      <c r="EV51" s="179">
        <v>0.14625850340136054</v>
      </c>
      <c r="EW51" s="179">
        <v>0.11043149100924214</v>
      </c>
      <c r="EX51" s="179">
        <v>0.19121039315430638</v>
      </c>
      <c r="EY51" s="178" t="str">
        <f t="shared" si="10"/>
        <v>No Sig diff</v>
      </c>
      <c r="EZ51" s="207">
        <v>415</v>
      </c>
      <c r="FA51" s="186">
        <v>195</v>
      </c>
      <c r="FB51" s="187">
        <v>0.46987951807228917</v>
      </c>
      <c r="FC51" s="187">
        <v>0.4223576247956472</v>
      </c>
      <c r="FD51" s="187">
        <v>0.51795391917043732</v>
      </c>
      <c r="FE51" s="208">
        <v>415</v>
      </c>
      <c r="FF51" s="209">
        <v>33</v>
      </c>
      <c r="FG51" s="208">
        <v>83</v>
      </c>
      <c r="FH51" s="209">
        <v>21.674698795180728</v>
      </c>
      <c r="FI51" s="187">
        <v>0.343190945600584</v>
      </c>
      <c r="FJ51" s="186">
        <v>408</v>
      </c>
      <c r="FK51" s="186">
        <v>225</v>
      </c>
      <c r="FL51" s="187">
        <v>0.55147058823529416</v>
      </c>
      <c r="FM51" s="187">
        <v>0.50295509749998391</v>
      </c>
      <c r="FN51" s="187">
        <v>0.59902589324404365</v>
      </c>
      <c r="FO51" s="198">
        <v>408</v>
      </c>
      <c r="FP51" s="199">
        <v>34</v>
      </c>
      <c r="FQ51" s="198">
        <v>80</v>
      </c>
      <c r="FR51" s="199">
        <v>22.987500000000008</v>
      </c>
      <c r="FS51" s="210">
        <v>0.3238970588235292</v>
      </c>
      <c r="FT51" s="200">
        <f>FT46+FT44</f>
        <v>5025</v>
      </c>
      <c r="FU51" s="200">
        <f>FU46+FU44</f>
        <v>4870</v>
      </c>
      <c r="FV51" s="200">
        <f>FV46+FV44</f>
        <v>155</v>
      </c>
      <c r="FW51" s="200">
        <f>FW46+FW44</f>
        <v>137</v>
      </c>
      <c r="FX51" s="200">
        <f>FX46+FX44</f>
        <v>18</v>
      </c>
      <c r="FY51" s="187">
        <f t="shared" si="17"/>
        <v>0.88387096774193552</v>
      </c>
      <c r="FZ51" s="187">
        <f t="shared" si="18"/>
        <v>0.11612903225806452</v>
      </c>
      <c r="GA51" s="197"/>
      <c r="GB51" s="197"/>
      <c r="GC51" s="197"/>
      <c r="GD51" s="197"/>
      <c r="GE51" s="197"/>
      <c r="GF51" s="197"/>
      <c r="GG51" s="197"/>
      <c r="GH51" s="197"/>
      <c r="GI51" s="197"/>
      <c r="GJ51" s="197"/>
      <c r="GK51" s="197"/>
      <c r="GL51" s="197"/>
      <c r="GM51" s="197"/>
      <c r="GN51" s="197"/>
      <c r="GO51" s="197"/>
      <c r="GP51" s="197"/>
      <c r="GQ51" s="186">
        <f t="shared" ref="GQ51:HM51" si="30">GQ46+GQ44</f>
        <v>116</v>
      </c>
      <c r="GR51" s="186">
        <f t="shared" si="30"/>
        <v>111</v>
      </c>
      <c r="GS51" s="178">
        <f t="shared" si="30"/>
        <v>112</v>
      </c>
      <c r="GT51" s="178">
        <f t="shared" si="30"/>
        <v>113</v>
      </c>
      <c r="GU51" s="178">
        <f t="shared" si="30"/>
        <v>113</v>
      </c>
      <c r="GV51" s="178">
        <f t="shared" si="30"/>
        <v>103</v>
      </c>
      <c r="GW51" s="178">
        <f t="shared" si="30"/>
        <v>98</v>
      </c>
      <c r="GX51" s="178">
        <f t="shared" si="30"/>
        <v>97</v>
      </c>
      <c r="GY51" s="178">
        <f t="shared" si="30"/>
        <v>98</v>
      </c>
      <c r="GZ51" s="178">
        <f t="shared" si="30"/>
        <v>97</v>
      </c>
      <c r="HA51" s="178">
        <f t="shared" si="30"/>
        <v>98</v>
      </c>
      <c r="HB51" s="178">
        <f t="shared" si="30"/>
        <v>96</v>
      </c>
      <c r="HC51" s="178">
        <f t="shared" si="30"/>
        <v>98</v>
      </c>
      <c r="HD51" s="178">
        <f t="shared" si="30"/>
        <v>116</v>
      </c>
      <c r="HE51" s="178">
        <f t="shared" si="30"/>
        <v>106</v>
      </c>
      <c r="HF51" s="178">
        <f t="shared" si="30"/>
        <v>109</v>
      </c>
      <c r="HG51" s="178">
        <f t="shared" si="30"/>
        <v>100</v>
      </c>
      <c r="HH51" s="178">
        <f t="shared" si="30"/>
        <v>108</v>
      </c>
      <c r="HI51" s="178">
        <f t="shared" si="30"/>
        <v>109</v>
      </c>
      <c r="HJ51" s="178">
        <f t="shared" si="30"/>
        <v>98</v>
      </c>
      <c r="HK51" s="178">
        <f t="shared" si="30"/>
        <v>106</v>
      </c>
      <c r="HL51" s="178">
        <f t="shared" si="30"/>
        <v>102</v>
      </c>
      <c r="HM51" s="178">
        <f t="shared" si="30"/>
        <v>112</v>
      </c>
      <c r="HN51" s="186">
        <v>36</v>
      </c>
      <c r="HO51" s="187">
        <v>1.8947368421052633E-2</v>
      </c>
      <c r="HP51" s="217">
        <v>3028</v>
      </c>
      <c r="HQ51" s="217">
        <v>2708</v>
      </c>
      <c r="HR51" s="217">
        <v>320</v>
      </c>
      <c r="HS51" s="1704">
        <v>0.10568031704095113</v>
      </c>
    </row>
    <row r="52" spans="1:227" ht="13.8" customHeight="1" x14ac:dyDescent="0.25">
      <c r="A52" s="183" t="s">
        <v>648</v>
      </c>
      <c r="B52" s="183"/>
      <c r="C52" s="183" t="s">
        <v>164</v>
      </c>
      <c r="D52" s="183" t="s">
        <v>648</v>
      </c>
      <c r="E52" s="183" t="s">
        <v>100</v>
      </c>
      <c r="F52" s="183"/>
      <c r="G52" s="183" t="s">
        <v>164</v>
      </c>
      <c r="H52" s="183" t="s">
        <v>164</v>
      </c>
      <c r="I52" s="183" t="s">
        <v>164</v>
      </c>
      <c r="J52" s="183" t="s">
        <v>704</v>
      </c>
      <c r="K52" s="183" t="s">
        <v>128</v>
      </c>
      <c r="L52" s="184">
        <v>50060</v>
      </c>
      <c r="M52" s="184">
        <v>50310</v>
      </c>
      <c r="N52" s="184">
        <v>50585</v>
      </c>
      <c r="O52" s="184">
        <v>50940</v>
      </c>
      <c r="P52" s="184">
        <v>51220</v>
      </c>
      <c r="Q52" s="184">
        <v>51400</v>
      </c>
      <c r="R52" s="184">
        <v>51500</v>
      </c>
      <c r="S52" s="184">
        <v>51425</v>
      </c>
      <c r="T52" s="184">
        <v>51845</v>
      </c>
      <c r="U52" s="184">
        <v>52350</v>
      </c>
      <c r="V52" s="200">
        <v>1985</v>
      </c>
      <c r="W52" s="200">
        <v>2010</v>
      </c>
      <c r="X52" s="200">
        <v>2020</v>
      </c>
      <c r="Y52" s="200">
        <v>2100</v>
      </c>
      <c r="Z52" s="200">
        <v>2150</v>
      </c>
      <c r="AA52" s="200">
        <v>2280</v>
      </c>
      <c r="AB52" s="200">
        <v>2360</v>
      </c>
      <c r="AC52" s="200">
        <v>2420</v>
      </c>
      <c r="AD52" s="200">
        <v>2530</v>
      </c>
      <c r="AE52" s="200">
        <v>2610</v>
      </c>
      <c r="AF52" s="187">
        <v>0.85232067510548526</v>
      </c>
      <c r="AG52" s="187">
        <v>9.2827004219409287E-2</v>
      </c>
      <c r="AH52" s="187">
        <v>3.1645569620253167E-2</v>
      </c>
      <c r="AI52" s="187">
        <v>2.1097046413502109E-2</v>
      </c>
      <c r="AJ52" s="187">
        <v>2.1097046413502108E-3</v>
      </c>
      <c r="AK52" s="187">
        <v>2.1097046413502108E-3</v>
      </c>
      <c r="AL52" s="187">
        <v>0.14767932489451477</v>
      </c>
      <c r="AM52" s="184">
        <v>4444</v>
      </c>
      <c r="AN52" s="187">
        <v>0.59428442844284424</v>
      </c>
      <c r="AO52" s="187">
        <v>9.045904590459046E-2</v>
      </c>
      <c r="AP52" s="187">
        <v>0.31525652565256523</v>
      </c>
      <c r="AQ52" s="184">
        <f t="shared" ref="AQ52:AX52" si="31">AQ6+AQ14</f>
        <v>455</v>
      </c>
      <c r="AR52" s="184">
        <f t="shared" si="31"/>
        <v>487</v>
      </c>
      <c r="AS52" s="184">
        <f t="shared" si="31"/>
        <v>513</v>
      </c>
      <c r="AT52" s="184">
        <f t="shared" si="31"/>
        <v>520</v>
      </c>
      <c r="AU52" s="184">
        <f t="shared" si="31"/>
        <v>493</v>
      </c>
      <c r="AV52" s="186">
        <f t="shared" si="31"/>
        <v>43</v>
      </c>
      <c r="AW52" s="186">
        <f t="shared" si="31"/>
        <v>29</v>
      </c>
      <c r="AX52" s="186">
        <f t="shared" si="31"/>
        <v>31</v>
      </c>
      <c r="AY52" s="186">
        <f>AY6+AY14</f>
        <v>27</v>
      </c>
      <c r="AZ52" s="186">
        <v>27</v>
      </c>
      <c r="BA52" s="186">
        <v>35</v>
      </c>
      <c r="BB52" s="187">
        <v>7.099391480730223E-2</v>
      </c>
      <c r="BC52" s="187">
        <v>5.1486753100632228E-2</v>
      </c>
      <c r="BD52" s="187">
        <v>9.7135020525032298E-2</v>
      </c>
      <c r="BE52" s="193">
        <v>56</v>
      </c>
      <c r="BF52" s="184">
        <f>BF6+BF14</f>
        <v>840</v>
      </c>
      <c r="BG52" s="184">
        <f>BG6+BG14</f>
        <v>724</v>
      </c>
      <c r="BH52" s="184">
        <f>BH6+BH14</f>
        <v>320</v>
      </c>
      <c r="BI52" s="184">
        <f t="shared" si="21"/>
        <v>6.6129365571399049E-2</v>
      </c>
      <c r="BJ52" s="184">
        <f t="shared" ref="BJ52:BT52" si="32">BJ6+BJ14</f>
        <v>4839</v>
      </c>
      <c r="BK52" s="184">
        <f t="shared" si="32"/>
        <v>8245</v>
      </c>
      <c r="BL52" s="186">
        <f t="shared" si="32"/>
        <v>4875</v>
      </c>
      <c r="BM52" s="186">
        <f t="shared" si="32"/>
        <v>2596</v>
      </c>
      <c r="BN52" s="186">
        <f t="shared" si="32"/>
        <v>2</v>
      </c>
      <c r="BO52" s="186">
        <f t="shared" si="32"/>
        <v>722</v>
      </c>
      <c r="BP52" s="186">
        <f t="shared" si="32"/>
        <v>1139</v>
      </c>
      <c r="BQ52" s="186">
        <f t="shared" si="32"/>
        <v>416</v>
      </c>
      <c r="BR52" s="193">
        <f t="shared" si="32"/>
        <v>330</v>
      </c>
      <c r="BS52" s="193">
        <f t="shared" si="32"/>
        <v>330</v>
      </c>
      <c r="BT52" s="193">
        <f t="shared" si="32"/>
        <v>285</v>
      </c>
      <c r="BU52" s="186">
        <v>1132</v>
      </c>
      <c r="BV52" s="186">
        <v>388</v>
      </c>
      <c r="BW52" s="222">
        <v>0.34275618374558303</v>
      </c>
      <c r="BX52" s="186">
        <v>110</v>
      </c>
      <c r="BY52" s="237" t="s">
        <v>164</v>
      </c>
      <c r="BZ52" s="1676">
        <v>1060</v>
      </c>
      <c r="CA52" s="222">
        <v>4.5515050023616298E-2</v>
      </c>
      <c r="CB52" s="200">
        <f>CB6+CB14</f>
        <v>415</v>
      </c>
      <c r="CC52" s="200">
        <f>CC6+CC14</f>
        <v>415</v>
      </c>
      <c r="CD52" s="200">
        <v>450</v>
      </c>
      <c r="CE52" s="200">
        <f>CE6+CE14</f>
        <v>445</v>
      </c>
      <c r="CF52" s="184">
        <v>1105</v>
      </c>
      <c r="CG52" s="211">
        <v>0.15507941176470585</v>
      </c>
      <c r="CH52" s="184">
        <v>1135</v>
      </c>
      <c r="CI52" s="211">
        <v>0.14448377386196773</v>
      </c>
      <c r="CJ52" s="184">
        <v>1150</v>
      </c>
      <c r="CK52" s="211">
        <v>0.15235869565217391</v>
      </c>
      <c r="CL52" s="184">
        <v>1085</v>
      </c>
      <c r="CM52" s="211">
        <v>0.14965668202764978</v>
      </c>
      <c r="CN52" s="184">
        <v>1140</v>
      </c>
      <c r="CO52" s="211">
        <v>0.14571337719298244</v>
      </c>
      <c r="CP52" s="184">
        <v>1040</v>
      </c>
      <c r="CQ52" s="187">
        <v>0.14044564483457123</v>
      </c>
      <c r="CR52" s="184">
        <f>CR6+CR14</f>
        <v>518</v>
      </c>
      <c r="CS52" s="184">
        <f>CS6+CS14</f>
        <v>13</v>
      </c>
      <c r="CT52" s="184">
        <f>CT6+CT14</f>
        <v>505</v>
      </c>
      <c r="CU52" s="187">
        <f t="shared" si="23"/>
        <v>0.97490347490347495</v>
      </c>
      <c r="CV52" s="186">
        <f>CV6+CV14</f>
        <v>191</v>
      </c>
      <c r="CW52" s="186">
        <f>CW6+CW14</f>
        <v>230</v>
      </c>
      <c r="CX52" s="187">
        <v>0.37821782178217822</v>
      </c>
      <c r="CY52" s="187">
        <v>0.45544554455445546</v>
      </c>
      <c r="CZ52" s="187">
        <v>0.33699179169590276</v>
      </c>
      <c r="DA52" s="187">
        <v>0.42128262193959698</v>
      </c>
      <c r="DB52" s="187">
        <v>0.41250971705250833</v>
      </c>
      <c r="DC52" s="187">
        <v>0.49905409281413793</v>
      </c>
      <c r="DD52" s="200">
        <f>DD6+DD14</f>
        <v>418</v>
      </c>
      <c r="DE52" s="200">
        <f>DE6+DE14</f>
        <v>43</v>
      </c>
      <c r="DF52" s="143">
        <v>0.10287081339712918</v>
      </c>
      <c r="DG52" s="143">
        <v>7.7272611972378502E-2</v>
      </c>
      <c r="DH52" s="143">
        <v>0.13570185258560061</v>
      </c>
      <c r="DI52" s="178" t="str">
        <f t="shared" si="12"/>
        <v>No Sig diff</v>
      </c>
      <c r="DJ52" s="200">
        <f>DJ6+DJ14</f>
        <v>407</v>
      </c>
      <c r="DK52" s="200">
        <f>DK6+DK14</f>
        <v>39</v>
      </c>
      <c r="DL52" s="143">
        <v>9.5823095823095825E-2</v>
      </c>
      <c r="DM52" s="143">
        <v>7.0889963666718708E-2</v>
      </c>
      <c r="DN52" s="143">
        <v>0.12831451549080627</v>
      </c>
      <c r="DO52" s="178" t="str">
        <f t="shared" si="13"/>
        <v>No Sig diff</v>
      </c>
      <c r="DP52" s="183">
        <f>DP6+DP14</f>
        <v>399</v>
      </c>
      <c r="DQ52" s="183">
        <f>DQ6+DQ14</f>
        <v>52</v>
      </c>
      <c r="DR52" s="143">
        <v>0.13032581453634084</v>
      </c>
      <c r="DS52" s="143">
        <v>0.10078687188272777</v>
      </c>
      <c r="DT52" s="143">
        <v>0.16691511474098436</v>
      </c>
      <c r="DU52" s="178" t="str">
        <f t="shared" si="7"/>
        <v>Sig worse than Eng.</v>
      </c>
      <c r="DV52" s="183">
        <f>DV6+DV14</f>
        <v>488</v>
      </c>
      <c r="DW52" s="183">
        <f>DW6+DW14</f>
        <v>46</v>
      </c>
      <c r="DX52" s="179">
        <v>9.4262295081967207E-2</v>
      </c>
      <c r="DY52" s="179">
        <v>7.1414590127644742E-2</v>
      </c>
      <c r="DZ52" s="179">
        <v>0.12344791505948735</v>
      </c>
      <c r="EA52" s="178" t="str">
        <f t="shared" si="14"/>
        <v>No Sig diff</v>
      </c>
      <c r="EB52" s="183">
        <f>EB6+EB14</f>
        <v>380</v>
      </c>
      <c r="EC52" s="183">
        <f>EC6+EC14</f>
        <v>64</v>
      </c>
      <c r="ED52" s="143">
        <v>0.16842105263157894</v>
      </c>
      <c r="EE52" s="143">
        <v>0.13415388023217073</v>
      </c>
      <c r="EF52" s="143">
        <v>0.20932506345921909</v>
      </c>
      <c r="EG52" s="178" t="str">
        <f t="shared" si="15"/>
        <v>No Sig diff</v>
      </c>
      <c r="EH52" s="183">
        <f>EH6+EH14</f>
        <v>354</v>
      </c>
      <c r="EI52" s="183">
        <f>EI6+EI14</f>
        <v>68</v>
      </c>
      <c r="EJ52" s="143">
        <v>0.19209039548022599</v>
      </c>
      <c r="EK52" s="143">
        <v>0.15444559487597212</v>
      </c>
      <c r="EL52" s="143">
        <v>0.23634606822968654</v>
      </c>
      <c r="EM52" s="178" t="str">
        <f t="shared" si="8"/>
        <v>No Sig diff</v>
      </c>
      <c r="EN52" s="183">
        <f>EN6+EN14</f>
        <v>355</v>
      </c>
      <c r="EO52" s="183">
        <f>EO6+EO14</f>
        <v>56</v>
      </c>
      <c r="EP52" s="197">
        <v>0.15774647887323945</v>
      </c>
      <c r="EQ52" s="179">
        <v>0.12351920142870179</v>
      </c>
      <c r="ER52" s="179">
        <v>0.1993015205731497</v>
      </c>
      <c r="ES52" s="178" t="str">
        <f t="shared" si="9"/>
        <v>No Sig diff</v>
      </c>
      <c r="ET52" s="183">
        <f>ET6+ET14</f>
        <v>353</v>
      </c>
      <c r="EU52" s="183">
        <f>EU6+EU14</f>
        <v>59</v>
      </c>
      <c r="EV52" s="179">
        <v>0.16713881019830029</v>
      </c>
      <c r="EW52" s="179">
        <v>0.13184553567129084</v>
      </c>
      <c r="EX52" s="179">
        <v>0.20959869904112546</v>
      </c>
      <c r="EY52" s="178" t="str">
        <f t="shared" si="10"/>
        <v>No Sig diff</v>
      </c>
      <c r="EZ52" s="207">
        <v>504</v>
      </c>
      <c r="FA52" s="186">
        <v>185</v>
      </c>
      <c r="FB52" s="187">
        <v>0.36706349206349204</v>
      </c>
      <c r="FC52" s="187">
        <v>0.32613570900553129</v>
      </c>
      <c r="FD52" s="187">
        <v>0.41000241506339791</v>
      </c>
      <c r="FE52" s="208">
        <v>504</v>
      </c>
      <c r="FF52" s="209">
        <v>32</v>
      </c>
      <c r="FG52" s="208">
        <v>100</v>
      </c>
      <c r="FH52" s="209">
        <v>21.43</v>
      </c>
      <c r="FI52" s="187">
        <v>0.33031250000000001</v>
      </c>
      <c r="FJ52" s="186">
        <v>506</v>
      </c>
      <c r="FK52" s="186">
        <v>262</v>
      </c>
      <c r="FL52" s="187">
        <v>0.51778656126482214</v>
      </c>
      <c r="FM52" s="187">
        <v>0.47427873046250862</v>
      </c>
      <c r="FN52" s="187">
        <v>0.56102636230424185</v>
      </c>
      <c r="FO52" s="198">
        <v>506</v>
      </c>
      <c r="FP52" s="199">
        <v>34</v>
      </c>
      <c r="FQ52" s="198">
        <v>100</v>
      </c>
      <c r="FR52" s="199">
        <v>23.280000000000005</v>
      </c>
      <c r="FS52" s="210">
        <v>0.31529411764705867</v>
      </c>
      <c r="FT52" s="200">
        <f>FT6+FT14</f>
        <v>5649</v>
      </c>
      <c r="FU52" s="200">
        <f>FU6+FU14</f>
        <v>5391</v>
      </c>
      <c r="FV52" s="200">
        <f>FV6+FV14</f>
        <v>258</v>
      </c>
      <c r="FW52" s="200">
        <f>FW6+FW14</f>
        <v>186</v>
      </c>
      <c r="FX52" s="200">
        <f>FX6+FX14</f>
        <v>72</v>
      </c>
      <c r="FY52" s="187">
        <f t="shared" si="17"/>
        <v>0.72093023255813948</v>
      </c>
      <c r="FZ52" s="187">
        <f t="shared" si="18"/>
        <v>0.27906976744186046</v>
      </c>
      <c r="GA52" s="197"/>
      <c r="GB52" s="197"/>
      <c r="GC52" s="197"/>
      <c r="GD52" s="197"/>
      <c r="GE52" s="197"/>
      <c r="GF52" s="197"/>
      <c r="GG52" s="197"/>
      <c r="GH52" s="197"/>
      <c r="GI52" s="197"/>
      <c r="GJ52" s="197"/>
      <c r="GK52" s="197"/>
      <c r="GL52" s="197"/>
      <c r="GM52" s="197"/>
      <c r="GN52" s="197"/>
      <c r="GO52" s="197"/>
      <c r="GP52" s="197"/>
      <c r="GQ52" s="186">
        <f t="shared" ref="GQ52:HM52" si="33">GQ6+GQ14</f>
        <v>112</v>
      </c>
      <c r="GR52" s="186">
        <f t="shared" si="33"/>
        <v>109</v>
      </c>
      <c r="GS52" s="178">
        <f t="shared" si="33"/>
        <v>109</v>
      </c>
      <c r="GT52" s="178">
        <f t="shared" si="33"/>
        <v>110</v>
      </c>
      <c r="GU52" s="178">
        <f t="shared" si="33"/>
        <v>110</v>
      </c>
      <c r="GV52" s="178">
        <f t="shared" si="33"/>
        <v>134</v>
      </c>
      <c r="GW52" s="178">
        <f t="shared" si="33"/>
        <v>128</v>
      </c>
      <c r="GX52" s="178">
        <f t="shared" si="33"/>
        <v>132</v>
      </c>
      <c r="GY52" s="178">
        <f t="shared" si="33"/>
        <v>128</v>
      </c>
      <c r="GZ52" s="178">
        <f t="shared" si="33"/>
        <v>131</v>
      </c>
      <c r="HA52" s="178">
        <f t="shared" si="33"/>
        <v>133</v>
      </c>
      <c r="HB52" s="178">
        <f t="shared" si="33"/>
        <v>128</v>
      </c>
      <c r="HC52" s="178">
        <f t="shared" si="33"/>
        <v>132</v>
      </c>
      <c r="HD52" s="178">
        <f t="shared" si="33"/>
        <v>152</v>
      </c>
      <c r="HE52" s="178">
        <f t="shared" si="33"/>
        <v>146</v>
      </c>
      <c r="HF52" s="178">
        <f t="shared" si="33"/>
        <v>140</v>
      </c>
      <c r="HG52" s="178">
        <f t="shared" si="33"/>
        <v>138</v>
      </c>
      <c r="HH52" s="178">
        <f t="shared" si="33"/>
        <v>141</v>
      </c>
      <c r="HI52" s="178">
        <f t="shared" si="33"/>
        <v>141</v>
      </c>
      <c r="HJ52" s="178">
        <f t="shared" si="33"/>
        <v>138</v>
      </c>
      <c r="HK52" s="178">
        <f t="shared" si="33"/>
        <v>146</v>
      </c>
      <c r="HL52" s="178">
        <f t="shared" si="33"/>
        <v>137</v>
      </c>
      <c r="HM52" s="178">
        <f t="shared" si="33"/>
        <v>144</v>
      </c>
      <c r="HN52" s="186">
        <v>55</v>
      </c>
      <c r="HO52" s="187">
        <v>2.3245984784446321E-2</v>
      </c>
      <c r="HP52" s="217">
        <v>3782</v>
      </c>
      <c r="HQ52" s="217">
        <v>3333</v>
      </c>
      <c r="HR52" s="217">
        <v>449</v>
      </c>
      <c r="HS52" s="1704">
        <v>0.1187202538339503</v>
      </c>
    </row>
    <row r="53" spans="1:227" ht="13.8" customHeight="1" x14ac:dyDescent="0.25">
      <c r="A53" s="183" t="s">
        <v>650</v>
      </c>
      <c r="B53" s="183"/>
      <c r="C53" s="183" t="s">
        <v>164</v>
      </c>
      <c r="D53" s="183" t="s">
        <v>650</v>
      </c>
      <c r="E53" s="183" t="s">
        <v>35</v>
      </c>
      <c r="F53" s="183"/>
      <c r="G53" s="183" t="s">
        <v>164</v>
      </c>
      <c r="H53" s="183" t="s">
        <v>164</v>
      </c>
      <c r="I53" s="183" t="s">
        <v>164</v>
      </c>
      <c r="J53" s="183" t="s">
        <v>704</v>
      </c>
      <c r="K53" s="183" t="s">
        <v>35</v>
      </c>
      <c r="L53" s="184">
        <v>41470</v>
      </c>
      <c r="M53" s="184">
        <v>41665</v>
      </c>
      <c r="N53" s="184">
        <v>42175</v>
      </c>
      <c r="O53" s="184">
        <v>42615</v>
      </c>
      <c r="P53" s="184">
        <v>43230</v>
      </c>
      <c r="Q53" s="184">
        <v>43680</v>
      </c>
      <c r="R53" s="184">
        <v>44220</v>
      </c>
      <c r="S53" s="184">
        <v>44815</v>
      </c>
      <c r="T53" s="184">
        <v>45235</v>
      </c>
      <c r="U53" s="184">
        <v>45765</v>
      </c>
      <c r="V53" s="200">
        <v>2010</v>
      </c>
      <c r="W53" s="200">
        <v>1985</v>
      </c>
      <c r="X53" s="200">
        <v>2015</v>
      </c>
      <c r="Y53" s="200">
        <v>2075</v>
      </c>
      <c r="Z53" s="200">
        <v>2120</v>
      </c>
      <c r="AA53" s="200">
        <v>2235</v>
      </c>
      <c r="AB53" s="200">
        <v>2285</v>
      </c>
      <c r="AC53" s="200">
        <v>2295</v>
      </c>
      <c r="AD53" s="200">
        <v>2425</v>
      </c>
      <c r="AE53" s="200">
        <v>2420</v>
      </c>
      <c r="AF53" s="187">
        <v>0.87061403508771928</v>
      </c>
      <c r="AG53" s="187">
        <v>4.6052631578947366E-2</v>
      </c>
      <c r="AH53" s="187">
        <v>3.0701754385964911E-2</v>
      </c>
      <c r="AI53" s="187">
        <v>4.1666666666666664E-2</v>
      </c>
      <c r="AJ53" s="187">
        <v>6.5789473684210523E-3</v>
      </c>
      <c r="AK53" s="187">
        <v>6.5789473684210523E-3</v>
      </c>
      <c r="AL53" s="187">
        <v>0.12938596491228072</v>
      </c>
      <c r="AM53" s="184">
        <v>4345</v>
      </c>
      <c r="AN53" s="187">
        <v>0.48745684695051783</v>
      </c>
      <c r="AO53" s="187">
        <v>0.2948216340621404</v>
      </c>
      <c r="AP53" s="187">
        <v>0.21772151898734177</v>
      </c>
      <c r="AQ53" s="184">
        <f t="shared" ref="AQ53:AX53" si="34">AQ9+AQ31</f>
        <v>499</v>
      </c>
      <c r="AR53" s="184">
        <f t="shared" si="34"/>
        <v>458</v>
      </c>
      <c r="AS53" s="184">
        <f t="shared" si="34"/>
        <v>510</v>
      </c>
      <c r="AT53" s="184">
        <f t="shared" si="34"/>
        <v>480</v>
      </c>
      <c r="AU53" s="184">
        <f t="shared" si="34"/>
        <v>430</v>
      </c>
      <c r="AV53" s="186">
        <f t="shared" si="34"/>
        <v>33</v>
      </c>
      <c r="AW53" s="186">
        <f t="shared" si="34"/>
        <v>26</v>
      </c>
      <c r="AX53" s="186">
        <f t="shared" si="34"/>
        <v>29</v>
      </c>
      <c r="AY53" s="186">
        <f>AY9+AY31</f>
        <v>23</v>
      </c>
      <c r="AZ53" s="186">
        <v>23</v>
      </c>
      <c r="BA53" s="186">
        <v>24</v>
      </c>
      <c r="BB53" s="187">
        <v>5.5813953488372092E-2</v>
      </c>
      <c r="BC53" s="187">
        <v>3.779043272891823E-2</v>
      </c>
      <c r="BD53" s="187">
        <v>8.1703584651564756E-2</v>
      </c>
      <c r="BE53" s="193">
        <v>50</v>
      </c>
      <c r="BF53" s="184">
        <f>BF9+BF31</f>
        <v>731</v>
      </c>
      <c r="BG53" s="184">
        <f>BG9+BG31</f>
        <v>698</v>
      </c>
      <c r="BH53" s="184">
        <f>BH9+BH31</f>
        <v>351</v>
      </c>
      <c r="BI53" s="184">
        <f t="shared" si="21"/>
        <v>7.6387377584330798E-2</v>
      </c>
      <c r="BJ53" s="184">
        <f t="shared" ref="BJ53:BT53" si="35">BJ9+BJ31</f>
        <v>4595</v>
      </c>
      <c r="BK53" s="184">
        <f t="shared" si="35"/>
        <v>8125</v>
      </c>
      <c r="BL53" s="186">
        <f t="shared" si="35"/>
        <v>4625</v>
      </c>
      <c r="BM53" s="186">
        <f t="shared" si="35"/>
        <v>2595</v>
      </c>
      <c r="BN53" s="186">
        <f t="shared" si="35"/>
        <v>1</v>
      </c>
      <c r="BO53" s="186">
        <f t="shared" si="35"/>
        <v>630</v>
      </c>
      <c r="BP53" s="186">
        <f t="shared" si="35"/>
        <v>1053</v>
      </c>
      <c r="BQ53" s="186">
        <f t="shared" si="35"/>
        <v>346</v>
      </c>
      <c r="BR53" s="193">
        <f t="shared" si="35"/>
        <v>310</v>
      </c>
      <c r="BS53" s="193">
        <f t="shared" si="35"/>
        <v>305</v>
      </c>
      <c r="BT53" s="193">
        <f t="shared" si="35"/>
        <v>280</v>
      </c>
      <c r="BU53" s="186">
        <v>1052</v>
      </c>
      <c r="BV53" s="186">
        <v>358</v>
      </c>
      <c r="BW53" s="222">
        <v>0.34030418250950573</v>
      </c>
      <c r="BX53" s="186">
        <v>70</v>
      </c>
      <c r="BY53" s="237" t="s">
        <v>164</v>
      </c>
      <c r="BZ53" s="1676">
        <v>715</v>
      </c>
      <c r="CA53" s="222">
        <v>3.5893574297188757E-2</v>
      </c>
      <c r="CB53" s="200">
        <f>CB9+CB31</f>
        <v>435</v>
      </c>
      <c r="CC53" s="200">
        <f>CC9+CC31</f>
        <v>435</v>
      </c>
      <c r="CD53" s="200">
        <v>465</v>
      </c>
      <c r="CE53" s="200">
        <f>CE9+CE31</f>
        <v>395</v>
      </c>
      <c r="CF53" s="184">
        <v>1085</v>
      </c>
      <c r="CG53" s="211">
        <v>0.15531265508684863</v>
      </c>
      <c r="CH53" s="184">
        <v>1105</v>
      </c>
      <c r="CI53" s="211">
        <v>0.16451966585450753</v>
      </c>
      <c r="CJ53" s="184">
        <v>1175</v>
      </c>
      <c r="CK53" s="211">
        <v>0.16166481178396069</v>
      </c>
      <c r="CL53" s="184">
        <v>1140</v>
      </c>
      <c r="CM53" s="211">
        <v>0.15179082321187584</v>
      </c>
      <c r="CN53" s="184">
        <v>1070</v>
      </c>
      <c r="CO53" s="211">
        <v>0.14667864845434939</v>
      </c>
      <c r="CP53" s="184">
        <v>1050</v>
      </c>
      <c r="CQ53" s="187">
        <v>0.14553014553014554</v>
      </c>
      <c r="CR53" s="184">
        <f>CR9+CR31</f>
        <v>452</v>
      </c>
      <c r="CS53" s="184">
        <f>CS9+CS31</f>
        <v>40</v>
      </c>
      <c r="CT53" s="184">
        <f>CT9+CT31</f>
        <v>412</v>
      </c>
      <c r="CU53" s="187">
        <f t="shared" si="23"/>
        <v>0.91150442477876104</v>
      </c>
      <c r="CV53" s="186">
        <f>CV9+CV31</f>
        <v>190</v>
      </c>
      <c r="CW53" s="186">
        <f>CW9+CW31</f>
        <v>243</v>
      </c>
      <c r="CX53" s="187">
        <v>0.46116504854368934</v>
      </c>
      <c r="CY53" s="187">
        <v>0.58980582524271841</v>
      </c>
      <c r="CZ53" s="187">
        <v>0.41361089945461155</v>
      </c>
      <c r="DA53" s="187">
        <v>0.50943669639898514</v>
      </c>
      <c r="DB53" s="187">
        <v>0.54169372818176698</v>
      </c>
      <c r="DC53" s="187">
        <v>0.63625870640679072</v>
      </c>
      <c r="DD53" s="200">
        <f>DD9+DD31</f>
        <v>349</v>
      </c>
      <c r="DE53" s="200">
        <f>DE9+DE31</f>
        <v>35</v>
      </c>
      <c r="DF53" s="143">
        <v>0.10028653295128939</v>
      </c>
      <c r="DG53" s="143">
        <v>7.2995265798449754E-2</v>
      </c>
      <c r="DH53" s="143">
        <v>0.13628132847563371</v>
      </c>
      <c r="DI53" s="178" t="str">
        <f t="shared" si="12"/>
        <v>No Sig diff</v>
      </c>
      <c r="DJ53" s="200">
        <f>DJ9+DJ31</f>
        <v>373</v>
      </c>
      <c r="DK53" s="200">
        <f>DK9+DK31</f>
        <v>29</v>
      </c>
      <c r="DL53" s="143">
        <v>7.7747989276139406E-2</v>
      </c>
      <c r="DM53" s="143">
        <v>5.4676117732342343E-2</v>
      </c>
      <c r="DN53" s="143">
        <v>0.10942859360760356</v>
      </c>
      <c r="DO53" s="178" t="str">
        <f t="shared" si="13"/>
        <v>No Sig diff</v>
      </c>
      <c r="DP53" s="183">
        <f>DP9+DP31</f>
        <v>388</v>
      </c>
      <c r="DQ53" s="183">
        <f>DQ9+DQ31</f>
        <v>26</v>
      </c>
      <c r="DR53" s="143">
        <v>6.7010309278350513E-2</v>
      </c>
      <c r="DS53" s="143">
        <v>4.6136659976996015E-2</v>
      </c>
      <c r="DT53" s="143">
        <v>9.637367823161877E-2</v>
      </c>
      <c r="DU53" s="178" t="str">
        <f t="shared" si="7"/>
        <v>No Sig diff</v>
      </c>
      <c r="DV53" s="183">
        <f>DV9+DV31</f>
        <v>383</v>
      </c>
      <c r="DW53" s="183">
        <f>DW9+DW31</f>
        <v>29</v>
      </c>
      <c r="DX53" s="179">
        <v>7.5718015665796348E-2</v>
      </c>
      <c r="DY53" s="179">
        <v>5.3234401388678944E-2</v>
      </c>
      <c r="DZ53" s="179">
        <v>0.10662814025621341</v>
      </c>
      <c r="EA53" s="178" t="str">
        <f t="shared" si="14"/>
        <v>No Sig diff</v>
      </c>
      <c r="EB53" s="183">
        <f>EB9+EB31</f>
        <v>333</v>
      </c>
      <c r="EC53" s="183">
        <f>EC9+EC31</f>
        <v>54</v>
      </c>
      <c r="ED53" s="143">
        <v>0.16216216216216217</v>
      </c>
      <c r="EE53" s="143">
        <v>0.12646370828997461</v>
      </c>
      <c r="EF53" s="143">
        <v>0.20556625979132698</v>
      </c>
      <c r="EG53" s="178" t="str">
        <f t="shared" si="15"/>
        <v>No Sig diff</v>
      </c>
      <c r="EH53" s="183">
        <f>EH9+EH31</f>
        <v>324</v>
      </c>
      <c r="EI53" s="183">
        <f>EI9+EI31</f>
        <v>51</v>
      </c>
      <c r="EJ53" s="143">
        <v>0.15740740740740741</v>
      </c>
      <c r="EK53" s="143">
        <v>0.12179595147916422</v>
      </c>
      <c r="EL53" s="143">
        <v>0.20104747168465792</v>
      </c>
      <c r="EM53" s="178" t="str">
        <f t="shared" si="8"/>
        <v>No Sig diff</v>
      </c>
      <c r="EN53" s="183">
        <f>EN9+EN31</f>
        <v>333</v>
      </c>
      <c r="EO53" s="183">
        <f>EO9+EO31</f>
        <v>57</v>
      </c>
      <c r="EP53" s="197">
        <v>0.17117117117117117</v>
      </c>
      <c r="EQ53" s="179">
        <v>0.13452302236020316</v>
      </c>
      <c r="ER53" s="179">
        <v>0.21531947990559702</v>
      </c>
      <c r="ES53" s="178" t="str">
        <f t="shared" si="9"/>
        <v>No Sig diff</v>
      </c>
      <c r="ET53" s="183">
        <f>ET9+ET31</f>
        <v>320</v>
      </c>
      <c r="EU53" s="183">
        <f>EU9+EU31</f>
        <v>39</v>
      </c>
      <c r="EV53" s="179">
        <v>0.121875</v>
      </c>
      <c r="EW53" s="179">
        <v>9.0449037019305387E-2</v>
      </c>
      <c r="EX53" s="179">
        <v>0.16227172059687262</v>
      </c>
      <c r="EY53" s="178" t="str">
        <f t="shared" si="10"/>
        <v>Sig better than Eng.</v>
      </c>
      <c r="EZ53" s="207">
        <v>457</v>
      </c>
      <c r="FA53" s="186">
        <v>224</v>
      </c>
      <c r="FB53" s="187">
        <v>0.49015317286652077</v>
      </c>
      <c r="FC53" s="187">
        <v>0.44459387098320663</v>
      </c>
      <c r="FD53" s="187">
        <v>0.53587663611259317</v>
      </c>
      <c r="FE53" s="208">
        <v>457</v>
      </c>
      <c r="FF53" s="209">
        <v>34</v>
      </c>
      <c r="FG53" s="208">
        <v>91</v>
      </c>
      <c r="FH53" s="209">
        <v>20.461538461538463</v>
      </c>
      <c r="FI53" s="187">
        <v>0.3981900452488687</v>
      </c>
      <c r="FJ53" s="186">
        <v>460</v>
      </c>
      <c r="FK53" s="186">
        <v>240</v>
      </c>
      <c r="FL53" s="187">
        <v>0.52173913043478259</v>
      </c>
      <c r="FM53" s="187">
        <v>0.47609946596788244</v>
      </c>
      <c r="FN53" s="187">
        <v>0.5670187150822753</v>
      </c>
      <c r="FO53" s="198">
        <v>460</v>
      </c>
      <c r="FP53" s="199">
        <v>34</v>
      </c>
      <c r="FQ53" s="198">
        <v>91</v>
      </c>
      <c r="FR53" s="199">
        <v>21.736263736263741</v>
      </c>
      <c r="FS53" s="210">
        <v>0.36069812540400764</v>
      </c>
      <c r="FT53" s="200">
        <f>FT9+FT31</f>
        <v>6478</v>
      </c>
      <c r="FU53" s="200">
        <f>FU9+FU31</f>
        <v>5978</v>
      </c>
      <c r="FV53" s="200">
        <f>FV9+FV31</f>
        <v>500</v>
      </c>
      <c r="FW53" s="200">
        <f>FW9+FW31</f>
        <v>425</v>
      </c>
      <c r="FX53" s="200">
        <f>FX9+FX31</f>
        <v>75</v>
      </c>
      <c r="FY53" s="187">
        <f t="shared" si="17"/>
        <v>0.85</v>
      </c>
      <c r="FZ53" s="187">
        <f t="shared" si="18"/>
        <v>0.15</v>
      </c>
      <c r="GA53" s="197"/>
      <c r="GB53" s="197"/>
      <c r="GC53" s="197"/>
      <c r="GD53" s="197"/>
      <c r="GE53" s="197"/>
      <c r="GF53" s="197"/>
      <c r="GG53" s="197"/>
      <c r="GH53" s="197"/>
      <c r="GI53" s="197"/>
      <c r="GJ53" s="197"/>
      <c r="GK53" s="197"/>
      <c r="GL53" s="197"/>
      <c r="GM53" s="197"/>
      <c r="GN53" s="197"/>
      <c r="GO53" s="197"/>
      <c r="GP53" s="197"/>
      <c r="GQ53" s="186">
        <f t="shared" ref="GQ53:HM53" si="36">GQ9+GQ31</f>
        <v>117</v>
      </c>
      <c r="GR53" s="186">
        <f t="shared" si="36"/>
        <v>111</v>
      </c>
      <c r="GS53" s="178">
        <f t="shared" si="36"/>
        <v>111</v>
      </c>
      <c r="GT53" s="178">
        <f t="shared" si="36"/>
        <v>116</v>
      </c>
      <c r="GU53" s="178">
        <f t="shared" si="36"/>
        <v>110</v>
      </c>
      <c r="GV53" s="178">
        <f t="shared" si="36"/>
        <v>108</v>
      </c>
      <c r="GW53" s="178">
        <f t="shared" si="36"/>
        <v>104</v>
      </c>
      <c r="GX53" s="178">
        <f t="shared" si="36"/>
        <v>105</v>
      </c>
      <c r="GY53" s="178">
        <f t="shared" si="36"/>
        <v>103</v>
      </c>
      <c r="GZ53" s="178">
        <f t="shared" si="36"/>
        <v>105</v>
      </c>
      <c r="HA53" s="178">
        <f t="shared" si="36"/>
        <v>107</v>
      </c>
      <c r="HB53" s="178">
        <f t="shared" si="36"/>
        <v>103</v>
      </c>
      <c r="HC53" s="178">
        <f t="shared" si="36"/>
        <v>106</v>
      </c>
      <c r="HD53" s="178">
        <f t="shared" si="36"/>
        <v>134</v>
      </c>
      <c r="HE53" s="178">
        <f t="shared" si="36"/>
        <v>125</v>
      </c>
      <c r="HF53" s="178">
        <f t="shared" si="36"/>
        <v>123</v>
      </c>
      <c r="HG53" s="178">
        <f t="shared" si="36"/>
        <v>120</v>
      </c>
      <c r="HH53" s="178">
        <f t="shared" si="36"/>
        <v>122</v>
      </c>
      <c r="HI53" s="178">
        <f t="shared" si="36"/>
        <v>125</v>
      </c>
      <c r="HJ53" s="178">
        <f t="shared" si="36"/>
        <v>118</v>
      </c>
      <c r="HK53" s="178">
        <f t="shared" si="36"/>
        <v>124</v>
      </c>
      <c r="HL53" s="178">
        <f t="shared" si="36"/>
        <v>120</v>
      </c>
      <c r="HM53" s="178">
        <f t="shared" si="36"/>
        <v>126</v>
      </c>
      <c r="HN53" s="186">
        <v>44</v>
      </c>
      <c r="HO53" s="187">
        <v>1.9332161687170474E-2</v>
      </c>
      <c r="HP53" s="217">
        <v>3520</v>
      </c>
      <c r="HQ53" s="217">
        <v>3144</v>
      </c>
      <c r="HR53" s="217">
        <v>376</v>
      </c>
      <c r="HS53" s="1704">
        <v>0.10681818181818181</v>
      </c>
    </row>
    <row r="54" spans="1:227" ht="13.8" customHeight="1" x14ac:dyDescent="0.25">
      <c r="A54" s="183" t="s">
        <v>649</v>
      </c>
      <c r="B54" s="183"/>
      <c r="C54" s="183" t="s">
        <v>164</v>
      </c>
      <c r="D54" s="183" t="s">
        <v>649</v>
      </c>
      <c r="E54" s="183" t="s">
        <v>35</v>
      </c>
      <c r="F54" s="183"/>
      <c r="G54" s="183" t="s">
        <v>164</v>
      </c>
      <c r="H54" s="183" t="s">
        <v>164</v>
      </c>
      <c r="I54" s="183" t="s">
        <v>164</v>
      </c>
      <c r="J54" s="183" t="s">
        <v>704</v>
      </c>
      <c r="K54" s="183" t="s">
        <v>35</v>
      </c>
      <c r="L54" s="184">
        <v>61200</v>
      </c>
      <c r="M54" s="184">
        <v>61645</v>
      </c>
      <c r="N54" s="184">
        <v>61960</v>
      </c>
      <c r="O54" s="184">
        <v>62350</v>
      </c>
      <c r="P54" s="184">
        <v>62935</v>
      </c>
      <c r="Q54" s="184">
        <v>63140</v>
      </c>
      <c r="R54" s="184">
        <v>63375</v>
      </c>
      <c r="S54" s="184">
        <v>63320</v>
      </c>
      <c r="T54" s="184">
        <v>63385</v>
      </c>
      <c r="U54" s="184">
        <v>63620</v>
      </c>
      <c r="V54" s="200">
        <v>2725</v>
      </c>
      <c r="W54" s="200">
        <v>2765</v>
      </c>
      <c r="X54" s="200">
        <v>2830</v>
      </c>
      <c r="Y54" s="200">
        <v>2925</v>
      </c>
      <c r="Z54" s="200">
        <v>3055</v>
      </c>
      <c r="AA54" s="200">
        <v>3055</v>
      </c>
      <c r="AB54" s="200">
        <v>3060</v>
      </c>
      <c r="AC54" s="200">
        <v>3050</v>
      </c>
      <c r="AD54" s="200">
        <v>3110</v>
      </c>
      <c r="AE54" s="200">
        <v>3085</v>
      </c>
      <c r="AF54" s="187">
        <v>0.93148450244698211</v>
      </c>
      <c r="AG54" s="187">
        <v>2.6101141924959218E-2</v>
      </c>
      <c r="AH54" s="187">
        <v>2.4469820554649267E-2</v>
      </c>
      <c r="AI54" s="187">
        <v>6.5252854812398045E-3</v>
      </c>
      <c r="AJ54" s="187">
        <v>9.7879282218597055E-3</v>
      </c>
      <c r="AK54" s="187">
        <v>3.2626427406199023E-3</v>
      </c>
      <c r="AL54" s="187">
        <v>6.8515497553017946E-2</v>
      </c>
      <c r="AM54" s="184">
        <v>6199</v>
      </c>
      <c r="AN54" s="187">
        <v>0.61300209711243747</v>
      </c>
      <c r="AO54" s="187">
        <v>0.14841103403774802</v>
      </c>
      <c r="AP54" s="187">
        <v>0.23858686884981448</v>
      </c>
      <c r="AQ54" s="184">
        <f t="shared" ref="AQ54:AX54" si="37">AQ27+AQ29+AQ34+AQ36</f>
        <v>546</v>
      </c>
      <c r="AR54" s="184">
        <f t="shared" si="37"/>
        <v>538</v>
      </c>
      <c r="AS54" s="184">
        <f t="shared" si="37"/>
        <v>498</v>
      </c>
      <c r="AT54" s="184">
        <f t="shared" si="37"/>
        <v>484</v>
      </c>
      <c r="AU54" s="184">
        <f t="shared" si="37"/>
        <v>434</v>
      </c>
      <c r="AV54" s="186">
        <f t="shared" si="37"/>
        <v>23</v>
      </c>
      <c r="AW54" s="186">
        <f t="shared" si="37"/>
        <v>28</v>
      </c>
      <c r="AX54" s="186">
        <f t="shared" si="37"/>
        <v>22</v>
      </c>
      <c r="AY54" s="186">
        <f>AY27+AY29+AY34+AY36</f>
        <v>21</v>
      </c>
      <c r="AZ54" s="186">
        <v>27</v>
      </c>
      <c r="BA54" s="186">
        <v>40</v>
      </c>
      <c r="BB54" s="187">
        <v>9.2165898617511524E-2</v>
      </c>
      <c r="BC54" s="187">
        <v>6.8414524660084824E-2</v>
      </c>
      <c r="BD54" s="187">
        <v>0.12307364333231419</v>
      </c>
      <c r="BE54" s="193">
        <v>42</v>
      </c>
      <c r="BF54" s="184">
        <f>BF27+BF29+BF34+BF36</f>
        <v>824</v>
      </c>
      <c r="BG54" s="184">
        <f>BG27+BG29+BG34+BG36</f>
        <v>1010</v>
      </c>
      <c r="BH54" s="184">
        <f>BH27+BH29+BH34+BH36</f>
        <v>497</v>
      </c>
      <c r="BI54" s="184">
        <f t="shared" si="21"/>
        <v>7.6673866090712736E-2</v>
      </c>
      <c r="BJ54" s="184">
        <f t="shared" ref="BJ54:BT54" si="38">BJ27+BJ29+BJ34+BJ36</f>
        <v>6482</v>
      </c>
      <c r="BK54" s="184">
        <f t="shared" si="38"/>
        <v>11616</v>
      </c>
      <c r="BL54" s="186">
        <f t="shared" si="38"/>
        <v>6418</v>
      </c>
      <c r="BM54" s="186">
        <f t="shared" si="38"/>
        <v>4064</v>
      </c>
      <c r="BN54" s="186">
        <f t="shared" si="38"/>
        <v>4</v>
      </c>
      <c r="BO54" s="186">
        <f t="shared" si="38"/>
        <v>746</v>
      </c>
      <c r="BP54" s="186">
        <f t="shared" si="38"/>
        <v>1151</v>
      </c>
      <c r="BQ54" s="186">
        <f t="shared" si="38"/>
        <v>453</v>
      </c>
      <c r="BR54" s="193">
        <f t="shared" si="38"/>
        <v>295</v>
      </c>
      <c r="BS54" s="193">
        <f t="shared" si="38"/>
        <v>255</v>
      </c>
      <c r="BT54" s="193">
        <f t="shared" si="38"/>
        <v>230</v>
      </c>
      <c r="BU54" s="186">
        <v>1160</v>
      </c>
      <c r="BV54" s="186">
        <v>353</v>
      </c>
      <c r="BW54" s="222">
        <v>0.30431034482758623</v>
      </c>
      <c r="BX54" s="186">
        <v>110</v>
      </c>
      <c r="BY54" s="237" t="s">
        <v>164</v>
      </c>
      <c r="BZ54" s="1676">
        <v>754</v>
      </c>
      <c r="CA54" s="222">
        <v>2.7377364656330561E-2</v>
      </c>
      <c r="CB54" s="200">
        <f>CB27+CB29+CB34+CB36</f>
        <v>360</v>
      </c>
      <c r="CC54" s="200">
        <f>CC27+CC29+CC34+CC36</f>
        <v>350</v>
      </c>
      <c r="CD54" s="200">
        <v>385</v>
      </c>
      <c r="CE54" s="200">
        <f>CE27+CE29+CE34+CE36</f>
        <v>355</v>
      </c>
      <c r="CF54" s="184">
        <v>1100</v>
      </c>
      <c r="CG54" s="211">
        <v>0.11094513888888891</v>
      </c>
      <c r="CH54" s="184">
        <v>1170</v>
      </c>
      <c r="CI54" s="211">
        <v>0.1074292497625831</v>
      </c>
      <c r="CJ54" s="184">
        <v>1160</v>
      </c>
      <c r="CK54" s="211">
        <v>0.11869088669950739</v>
      </c>
      <c r="CL54" s="184">
        <v>1120</v>
      </c>
      <c r="CM54" s="211">
        <v>0.11345312500000002</v>
      </c>
      <c r="CN54" s="184">
        <v>1165</v>
      </c>
      <c r="CO54" s="211">
        <v>0.10439686797465766</v>
      </c>
      <c r="CP54" s="184">
        <v>1010</v>
      </c>
      <c r="CQ54" s="187">
        <v>9.8344693281402148E-2</v>
      </c>
      <c r="CR54" s="184">
        <f>CR27+CR29+CR34+CR36</f>
        <v>467</v>
      </c>
      <c r="CS54" s="184">
        <f>CS27+CS29+CS34+CS36</f>
        <v>27</v>
      </c>
      <c r="CT54" s="184">
        <f>CT27+CT29+CT34+CT36</f>
        <v>440</v>
      </c>
      <c r="CU54" s="187">
        <f t="shared" si="23"/>
        <v>0.94218415417558887</v>
      </c>
      <c r="CV54" s="186">
        <f>CV27+CV29+CV34+CV36</f>
        <v>186</v>
      </c>
      <c r="CW54" s="186">
        <f>CW27+CW29+CW34+CW36</f>
        <v>237</v>
      </c>
      <c r="CX54" s="187">
        <v>0.42272727272727273</v>
      </c>
      <c r="CY54" s="187">
        <v>0.53863636363636369</v>
      </c>
      <c r="CZ54" s="187">
        <v>0.37743387164863429</v>
      </c>
      <c r="DA54" s="187">
        <v>0.46935826854331869</v>
      </c>
      <c r="DB54" s="187">
        <v>0.49192365034079505</v>
      </c>
      <c r="DC54" s="187">
        <v>0.58468027956322843</v>
      </c>
      <c r="DD54" s="200">
        <f>DD27+DD29+DD34+DD36</f>
        <v>514</v>
      </c>
      <c r="DE54" s="200">
        <f>DE27+DE29+DE34+DE36</f>
        <v>53</v>
      </c>
      <c r="DF54" s="143">
        <v>0.10311284046692606</v>
      </c>
      <c r="DG54" s="143">
        <v>7.96997006668584E-2</v>
      </c>
      <c r="DH54" s="143">
        <v>0.13241436812717267</v>
      </c>
      <c r="DI54" s="178" t="str">
        <f t="shared" si="12"/>
        <v>No Sig diff</v>
      </c>
      <c r="DJ54" s="200">
        <f>DJ27+DJ29+DJ34+DJ36</f>
        <v>492</v>
      </c>
      <c r="DK54" s="200">
        <f>DK27+DK29+DK34+DK36</f>
        <v>42</v>
      </c>
      <c r="DL54" s="143">
        <v>8.5365853658536592E-2</v>
      </c>
      <c r="DM54" s="143">
        <v>6.3774524361247434E-2</v>
      </c>
      <c r="DN54" s="143">
        <v>0.1133818171629479</v>
      </c>
      <c r="DO54" s="178" t="str">
        <f t="shared" si="13"/>
        <v>No Sig diff</v>
      </c>
      <c r="DP54" s="183">
        <f>DP27+DP29+DP34+DP36</f>
        <v>514</v>
      </c>
      <c r="DQ54" s="183">
        <f>DQ27+DQ29+DQ34+DQ36</f>
        <v>34</v>
      </c>
      <c r="DR54" s="143">
        <v>6.6147859922178989E-2</v>
      </c>
      <c r="DS54" s="143">
        <v>4.7719133057398534E-2</v>
      </c>
      <c r="DT54" s="143">
        <v>9.1013402928233483E-2</v>
      </c>
      <c r="DU54" s="178" t="str">
        <f t="shared" si="7"/>
        <v>Sig better than Eng.</v>
      </c>
      <c r="DV54" s="183">
        <f>DV27+DV29+DV34+DV36</f>
        <v>537</v>
      </c>
      <c r="DW54" s="183">
        <f>DW27+DW29+DW34+DW36</f>
        <v>51</v>
      </c>
      <c r="DX54" s="179">
        <v>9.4972067039106142E-2</v>
      </c>
      <c r="DY54" s="179">
        <v>7.2973712657176823E-2</v>
      </c>
      <c r="DZ54" s="179">
        <v>0.12272404145265352</v>
      </c>
      <c r="EA54" s="178" t="str">
        <f t="shared" si="14"/>
        <v>No Sig diff</v>
      </c>
      <c r="EB54" s="183">
        <f>EB27+EB29+EB34+EB36</f>
        <v>429</v>
      </c>
      <c r="EC54" s="183">
        <f>EC27+EC29+EC34+EC36</f>
        <v>69</v>
      </c>
      <c r="ED54" s="143">
        <v>0.16083916083916083</v>
      </c>
      <c r="EE54" s="143">
        <v>0.12910851511118659</v>
      </c>
      <c r="EF54" s="143">
        <v>0.19858989716001957</v>
      </c>
      <c r="EG54" s="178" t="str">
        <f t="shared" si="15"/>
        <v>No Sig diff</v>
      </c>
      <c r="EH54" s="183">
        <f>EH27+EH29+EH34+EH36</f>
        <v>415</v>
      </c>
      <c r="EI54" s="183">
        <f>EI27+EI29+EI34+EI36</f>
        <v>72</v>
      </c>
      <c r="EJ54" s="143">
        <v>0.17349397590361446</v>
      </c>
      <c r="EK54" s="143">
        <v>0.14010007304062752</v>
      </c>
      <c r="EL54" s="143">
        <v>0.21287706355172928</v>
      </c>
      <c r="EM54" s="178" t="str">
        <f t="shared" si="8"/>
        <v>No Sig diff</v>
      </c>
      <c r="EN54" s="183">
        <f>EN27+EN29+EN34+EN36</f>
        <v>402</v>
      </c>
      <c r="EO54" s="183">
        <f>EO27+EO29+EO34+EO36</f>
        <v>56</v>
      </c>
      <c r="EP54" s="197">
        <v>0.13930348258706468</v>
      </c>
      <c r="EQ54" s="179">
        <v>0.1088570113409154</v>
      </c>
      <c r="ER54" s="179">
        <v>0.17657824004347888</v>
      </c>
      <c r="ES54" s="178" t="str">
        <f t="shared" si="9"/>
        <v>Sig better than Eng.</v>
      </c>
      <c r="ET54" s="183">
        <f>ET27+ET29+ET34+ET36</f>
        <v>419</v>
      </c>
      <c r="EU54" s="183">
        <f>EU27+EU29+EU34+EU36</f>
        <v>56</v>
      </c>
      <c r="EV54" s="179">
        <v>0.13365155131264916</v>
      </c>
      <c r="EW54" s="179">
        <v>0.10437604898695384</v>
      </c>
      <c r="EX54" s="179">
        <v>0.16958350820447257</v>
      </c>
      <c r="EY54" s="178" t="str">
        <f t="shared" si="10"/>
        <v>Sig better than Eng.</v>
      </c>
      <c r="EZ54" s="207">
        <v>623</v>
      </c>
      <c r="FA54" s="186">
        <v>349</v>
      </c>
      <c r="FB54" s="187">
        <v>0.56019261637239171</v>
      </c>
      <c r="FC54" s="187">
        <v>0.5209649959575825</v>
      </c>
      <c r="FD54" s="187">
        <v>0.59868248259481094</v>
      </c>
      <c r="FE54" s="208">
        <v>623</v>
      </c>
      <c r="FF54" s="209">
        <v>34</v>
      </c>
      <c r="FG54" s="208">
        <v>124</v>
      </c>
      <c r="FH54" s="209">
        <v>24.91935483870968</v>
      </c>
      <c r="FI54" s="187">
        <v>0.26707779886148003</v>
      </c>
      <c r="FJ54" s="186">
        <v>632</v>
      </c>
      <c r="FK54" s="186">
        <v>377</v>
      </c>
      <c r="FL54" s="187">
        <v>0.59651898734177211</v>
      </c>
      <c r="FM54" s="187">
        <v>0.55779872368700945</v>
      </c>
      <c r="FN54" s="187">
        <v>0.6340730051969099</v>
      </c>
      <c r="FO54" s="198">
        <v>632</v>
      </c>
      <c r="FP54" s="199">
        <v>34</v>
      </c>
      <c r="FQ54" s="198">
        <v>126</v>
      </c>
      <c r="FR54" s="199">
        <v>24.238095238095237</v>
      </c>
      <c r="FS54" s="210">
        <v>0.28711484593837538</v>
      </c>
      <c r="FT54" s="200">
        <f>FT27+FT29+FT34+FT36</f>
        <v>11169</v>
      </c>
      <c r="FU54" s="200">
        <f>FU27+FU29+FU34+FU36</f>
        <v>10239</v>
      </c>
      <c r="FV54" s="200">
        <f>FV27+FV29+FV34+FV36</f>
        <v>930</v>
      </c>
      <c r="FW54" s="200">
        <f>FW27+FW29+FW34+FW36</f>
        <v>787</v>
      </c>
      <c r="FX54" s="200">
        <f>FX27+FX29+FX34+FX36</f>
        <v>143</v>
      </c>
      <c r="FY54" s="187">
        <f t="shared" si="17"/>
        <v>0.84623655913978491</v>
      </c>
      <c r="FZ54" s="187">
        <f t="shared" si="18"/>
        <v>0.15376344086021507</v>
      </c>
      <c r="GA54" s="197"/>
      <c r="GB54" s="197"/>
      <c r="GC54" s="197"/>
      <c r="GD54" s="197"/>
      <c r="GE54" s="197"/>
      <c r="GF54" s="197"/>
      <c r="GG54" s="197"/>
      <c r="GH54" s="197"/>
      <c r="GI54" s="197"/>
      <c r="GJ54" s="197"/>
      <c r="GK54" s="197"/>
      <c r="GL54" s="197"/>
      <c r="GM54" s="197"/>
      <c r="GN54" s="197"/>
      <c r="GO54" s="197"/>
      <c r="GP54" s="197"/>
      <c r="GQ54" s="186">
        <f t="shared" ref="GQ54:HM54" si="39">GQ27+GQ29+GQ34+GQ36</f>
        <v>136</v>
      </c>
      <c r="GR54" s="186">
        <f t="shared" si="39"/>
        <v>127</v>
      </c>
      <c r="GS54" s="178">
        <f t="shared" si="39"/>
        <v>128</v>
      </c>
      <c r="GT54" s="178">
        <f t="shared" si="39"/>
        <v>131</v>
      </c>
      <c r="GU54" s="178">
        <f t="shared" si="39"/>
        <v>128</v>
      </c>
      <c r="GV54" s="178">
        <f t="shared" si="39"/>
        <v>118</v>
      </c>
      <c r="GW54" s="178">
        <f t="shared" si="39"/>
        <v>109</v>
      </c>
      <c r="GX54" s="178">
        <f t="shared" si="39"/>
        <v>114</v>
      </c>
      <c r="GY54" s="178">
        <f t="shared" si="39"/>
        <v>109</v>
      </c>
      <c r="GZ54" s="178">
        <f t="shared" si="39"/>
        <v>114</v>
      </c>
      <c r="HA54" s="178">
        <f t="shared" si="39"/>
        <v>114</v>
      </c>
      <c r="HB54" s="178">
        <f t="shared" si="39"/>
        <v>107</v>
      </c>
      <c r="HC54" s="178">
        <f t="shared" si="39"/>
        <v>115</v>
      </c>
      <c r="HD54" s="178">
        <f t="shared" si="39"/>
        <v>148</v>
      </c>
      <c r="HE54" s="178">
        <f t="shared" si="39"/>
        <v>127</v>
      </c>
      <c r="HF54" s="178">
        <f t="shared" si="39"/>
        <v>123</v>
      </c>
      <c r="HG54" s="178">
        <f t="shared" si="39"/>
        <v>121</v>
      </c>
      <c r="HH54" s="178">
        <f t="shared" si="39"/>
        <v>122</v>
      </c>
      <c r="HI54" s="178">
        <f t="shared" si="39"/>
        <v>124</v>
      </c>
      <c r="HJ54" s="178">
        <f t="shared" si="39"/>
        <v>116</v>
      </c>
      <c r="HK54" s="178">
        <f t="shared" si="39"/>
        <v>132</v>
      </c>
      <c r="HL54" s="178">
        <f t="shared" si="39"/>
        <v>122</v>
      </c>
      <c r="HM54" s="178">
        <f t="shared" si="39"/>
        <v>128</v>
      </c>
      <c r="HN54" s="186">
        <v>41</v>
      </c>
      <c r="HO54" s="187">
        <v>1.3385569702905649E-2</v>
      </c>
      <c r="HP54" s="217">
        <v>4708</v>
      </c>
      <c r="HQ54" s="217">
        <v>4323</v>
      </c>
      <c r="HR54" s="217">
        <v>385</v>
      </c>
      <c r="HS54" s="1704">
        <v>8.1775700934579434E-2</v>
      </c>
    </row>
    <row r="55" spans="1:227" ht="13.8" customHeight="1" x14ac:dyDescent="0.25">
      <c r="A55" s="183" t="s">
        <v>651</v>
      </c>
      <c r="B55" s="183"/>
      <c r="C55" s="183" t="s">
        <v>164</v>
      </c>
      <c r="D55" s="183" t="s">
        <v>651</v>
      </c>
      <c r="E55" s="183" t="s">
        <v>33</v>
      </c>
      <c r="F55" s="183"/>
      <c r="G55" s="183" t="s">
        <v>164</v>
      </c>
      <c r="H55" s="183" t="s">
        <v>164</v>
      </c>
      <c r="I55" s="183" t="s">
        <v>164</v>
      </c>
      <c r="J55" s="183" t="s">
        <v>33</v>
      </c>
      <c r="K55" s="183" t="s">
        <v>33</v>
      </c>
      <c r="L55" s="184">
        <v>98885</v>
      </c>
      <c r="M55" s="184">
        <v>99705</v>
      </c>
      <c r="N55" s="184">
        <v>100745</v>
      </c>
      <c r="O55" s="184">
        <v>101610</v>
      </c>
      <c r="P55" s="184">
        <v>102825</v>
      </c>
      <c r="Q55" s="184">
        <v>103845</v>
      </c>
      <c r="R55" s="184">
        <v>105480</v>
      </c>
      <c r="S55" s="184">
        <v>107055</v>
      </c>
      <c r="T55" s="184">
        <v>108300</v>
      </c>
      <c r="U55" s="184">
        <v>108970</v>
      </c>
      <c r="V55" s="200">
        <v>6305</v>
      </c>
      <c r="W55" s="200">
        <v>6280</v>
      </c>
      <c r="X55" s="200">
        <v>6370</v>
      </c>
      <c r="Y55" s="200">
        <v>6595</v>
      </c>
      <c r="Z55" s="200">
        <v>6935</v>
      </c>
      <c r="AA55" s="200">
        <v>7190</v>
      </c>
      <c r="AB55" s="200">
        <v>7740</v>
      </c>
      <c r="AC55" s="200">
        <v>8145</v>
      </c>
      <c r="AD55" s="200">
        <v>8320</v>
      </c>
      <c r="AE55" s="200">
        <v>8355</v>
      </c>
      <c r="AF55" s="187">
        <v>0.62205700123915741</v>
      </c>
      <c r="AG55" s="187">
        <v>6.5675340768277565E-2</v>
      </c>
      <c r="AH55" s="187">
        <v>7.6827757125154897E-2</v>
      </c>
      <c r="AI55" s="187">
        <v>0.17348203221809169</v>
      </c>
      <c r="AJ55" s="187">
        <v>4.8946716232961589E-2</v>
      </c>
      <c r="AK55" s="187">
        <v>1.3011152416356878E-2</v>
      </c>
      <c r="AL55" s="187">
        <v>0.37794299876084264</v>
      </c>
      <c r="AM55" s="184">
        <v>14546</v>
      </c>
      <c r="AN55" s="187">
        <v>0.49099408772171044</v>
      </c>
      <c r="AO55" s="187">
        <v>0.31527567716210642</v>
      </c>
      <c r="AP55" s="187">
        <v>0.19373023511618315</v>
      </c>
      <c r="AQ55" s="184">
        <f t="shared" ref="AQ55:AX55" si="40">AQ4+AQ8+AQ22+AQ24+AQ28+AQ37</f>
        <v>1545</v>
      </c>
      <c r="AR55" s="184">
        <f t="shared" si="40"/>
        <v>1666</v>
      </c>
      <c r="AS55" s="184">
        <f t="shared" si="40"/>
        <v>1694</v>
      </c>
      <c r="AT55" s="184">
        <f t="shared" si="40"/>
        <v>1617</v>
      </c>
      <c r="AU55" s="184">
        <f t="shared" si="40"/>
        <v>1621</v>
      </c>
      <c r="AV55" s="186">
        <f t="shared" si="40"/>
        <v>69</v>
      </c>
      <c r="AW55" s="186">
        <f t="shared" si="40"/>
        <v>75</v>
      </c>
      <c r="AX55" s="186">
        <f t="shared" si="40"/>
        <v>79</v>
      </c>
      <c r="AY55" s="186">
        <f>AY4+AY8+AY22+AY24+AY28+AY37</f>
        <v>67</v>
      </c>
      <c r="AZ55" s="186">
        <v>64</v>
      </c>
      <c r="BA55" s="186">
        <v>128</v>
      </c>
      <c r="BB55" s="187">
        <v>7.8963602714373846E-2</v>
      </c>
      <c r="BC55" s="187">
        <v>6.6808520694543738E-2</v>
      </c>
      <c r="BD55" s="187">
        <v>9.3109517714746015E-2</v>
      </c>
      <c r="BE55" s="193">
        <v>144</v>
      </c>
      <c r="BF55" s="184">
        <f>BF4+BF8+BF22+BF24+BF28+BF37</f>
        <v>2712</v>
      </c>
      <c r="BG55" s="184">
        <f>BG4+BG8+BG22+BG24+BG28+BG37</f>
        <v>2241</v>
      </c>
      <c r="BH55" s="184">
        <f>BH4+BH8+BH22+BH24+BH28+BH37</f>
        <v>1333</v>
      </c>
      <c r="BI55" s="184">
        <f t="shared" si="21"/>
        <v>9.5071678196990222E-2</v>
      </c>
      <c r="BJ55" s="184">
        <f t="shared" ref="BJ55:BT55" si="41">BJ4+BJ8+BJ22+BJ24+BJ28+BJ37</f>
        <v>14021</v>
      </c>
      <c r="BK55" s="184">
        <f t="shared" si="41"/>
        <v>24916</v>
      </c>
      <c r="BL55" s="186">
        <f t="shared" si="41"/>
        <v>14216</v>
      </c>
      <c r="BM55" s="186">
        <f t="shared" si="41"/>
        <v>7467</v>
      </c>
      <c r="BN55" s="186">
        <f t="shared" si="41"/>
        <v>9</v>
      </c>
      <c r="BO55" s="186">
        <f t="shared" si="41"/>
        <v>1897</v>
      </c>
      <c r="BP55" s="186">
        <f t="shared" si="41"/>
        <v>3347</v>
      </c>
      <c r="BQ55" s="186">
        <f t="shared" si="41"/>
        <v>1496</v>
      </c>
      <c r="BR55" s="193">
        <f t="shared" si="41"/>
        <v>1180</v>
      </c>
      <c r="BS55" s="193">
        <f t="shared" si="41"/>
        <v>1095</v>
      </c>
      <c r="BT55" s="193">
        <f t="shared" si="41"/>
        <v>925</v>
      </c>
      <c r="BU55" s="186">
        <v>3293</v>
      </c>
      <c r="BV55" s="186">
        <v>1363</v>
      </c>
      <c r="BW55" s="222">
        <v>0.4139082903127847</v>
      </c>
      <c r="BX55" s="186">
        <v>248</v>
      </c>
      <c r="BY55" s="237" t="s">
        <v>164</v>
      </c>
      <c r="BZ55" s="1676">
        <v>2084</v>
      </c>
      <c r="CA55" s="222">
        <v>4.8774779413485618E-2</v>
      </c>
      <c r="CB55" s="200">
        <f>CB4+CB8+CB22+CB24+CB28+CB37</f>
        <v>1650</v>
      </c>
      <c r="CC55" s="200">
        <f>CC4+CC8+CC22+CC24+CC28+CC37</f>
        <v>1650</v>
      </c>
      <c r="CD55" s="200">
        <v>1580</v>
      </c>
      <c r="CE55" s="200">
        <f>CE4+CE8+CE22+CE24+CE28+CE37</f>
        <v>1475</v>
      </c>
      <c r="CF55" s="184">
        <v>3775</v>
      </c>
      <c r="CG55" s="187">
        <v>0.19</v>
      </c>
      <c r="CH55" s="184">
        <v>3775</v>
      </c>
      <c r="CI55" s="187">
        <v>0.187</v>
      </c>
      <c r="CJ55" s="184">
        <v>4090</v>
      </c>
      <c r="CK55" s="187">
        <v>0.19500000000000001</v>
      </c>
      <c r="CL55" s="184">
        <v>4165</v>
      </c>
      <c r="CM55" s="187">
        <v>0.19500000000000001</v>
      </c>
      <c r="CN55" s="184">
        <v>4165</v>
      </c>
      <c r="CO55" s="187">
        <v>0.19</v>
      </c>
      <c r="CP55" s="184">
        <v>3895</v>
      </c>
      <c r="CQ55" s="187">
        <v>0.17399999999999999</v>
      </c>
      <c r="CR55" s="184">
        <f>CR4+CR8+CR22+CR24+CR28+CR37</f>
        <v>1542</v>
      </c>
      <c r="CS55" s="184">
        <f>CS4+CS8+CS22+CS24+CS28+CS37</f>
        <v>48</v>
      </c>
      <c r="CT55" s="184">
        <f>CT4+CT8+CT22+CT24+CT28+CT37</f>
        <v>1494</v>
      </c>
      <c r="CU55" s="187">
        <f t="shared" si="23"/>
        <v>0.9688715953307393</v>
      </c>
      <c r="CV55" s="186">
        <f>CV4+CV8+CV22+CV24+CV28+CV37</f>
        <v>540</v>
      </c>
      <c r="CW55" s="186">
        <f>CW4+CW8+CW22+CW24+CW28+CW37</f>
        <v>809</v>
      </c>
      <c r="CX55" s="187">
        <v>0.36144578313253012</v>
      </c>
      <c r="CY55" s="187">
        <v>0.54149933065595712</v>
      </c>
      <c r="CZ55" s="187">
        <v>0.3374688957422961</v>
      </c>
      <c r="DA55" s="187">
        <v>0.38613336031626067</v>
      </c>
      <c r="DB55" s="187">
        <v>0.51615878957366523</v>
      </c>
      <c r="DC55" s="187">
        <v>0.56662700812860278</v>
      </c>
      <c r="DD55" s="200">
        <f>DD4+DD8+DD22+DD24+DD28+DD37</f>
        <v>1053</v>
      </c>
      <c r="DE55" s="200">
        <f>DE4+DE8+DE22+DE24+DE28+DE37</f>
        <v>91</v>
      </c>
      <c r="DF55" s="143">
        <v>8.6419753086419748E-2</v>
      </c>
      <c r="DG55" s="143">
        <v>7.0916108024578983E-2</v>
      </c>
      <c r="DH55" s="143">
        <v>0.10493000140802267</v>
      </c>
      <c r="DI55" s="178" t="str">
        <f t="shared" si="12"/>
        <v>No Sig diff</v>
      </c>
      <c r="DJ55" s="200">
        <f>DJ4+DJ8+DJ22+DJ24+DJ28+DJ37</f>
        <v>1172</v>
      </c>
      <c r="DK55" s="200">
        <f>DK4+DK8+DK22+DK24+DK28+DK37</f>
        <v>114</v>
      </c>
      <c r="DL55" s="143">
        <v>9.7269624573378843E-2</v>
      </c>
      <c r="DM55" s="143">
        <v>8.1597122865939342E-2</v>
      </c>
      <c r="DN55" s="143">
        <v>0.11557355612442274</v>
      </c>
      <c r="DO55" s="178" t="str">
        <f t="shared" si="13"/>
        <v>No Sig diff</v>
      </c>
      <c r="DP55" s="183">
        <f>DP4+DP8+DP22+DP24+DP28+DP37</f>
        <v>991</v>
      </c>
      <c r="DQ55" s="183">
        <f>DQ4+DQ8+DQ22+DQ24+DQ28+DQ37</f>
        <v>81</v>
      </c>
      <c r="DR55" s="143">
        <v>8.1735620585267413E-2</v>
      </c>
      <c r="DS55" s="143">
        <v>6.6250292754922335E-2</v>
      </c>
      <c r="DT55" s="143">
        <v>0.10045110207565305</v>
      </c>
      <c r="DU55" s="178" t="str">
        <f t="shared" si="7"/>
        <v>No Sig diff</v>
      </c>
      <c r="DV55" s="183">
        <f>DV4+DV8+DV22+DV24+DV28+DV37</f>
        <v>1189</v>
      </c>
      <c r="DW55" s="183">
        <f>DW4+DW8+DW22+DW24+DW28+DW37</f>
        <v>111</v>
      </c>
      <c r="DX55" s="179">
        <v>9.3355761143818342E-2</v>
      </c>
      <c r="DY55" s="179">
        <v>7.8103523781505702E-2</v>
      </c>
      <c r="DZ55" s="179">
        <v>0.11122713466490082</v>
      </c>
      <c r="EA55" s="178" t="str">
        <f t="shared" si="14"/>
        <v>No Sig diff</v>
      </c>
      <c r="EB55" s="183">
        <f>EB4+EB8+EB22+EB24+EB28+EB37</f>
        <v>1018</v>
      </c>
      <c r="EC55" s="183">
        <f>EC4+EC8+EC22+EC24+EC28+EC37</f>
        <v>197</v>
      </c>
      <c r="ED55" s="143">
        <v>0.19351669941060903</v>
      </c>
      <c r="EE55" s="143">
        <v>0.17041930878054676</v>
      </c>
      <c r="EF55" s="143">
        <v>0.2189184455124161</v>
      </c>
      <c r="EG55" s="178" t="str">
        <f t="shared" si="15"/>
        <v>No Sig diff</v>
      </c>
      <c r="EH55" s="183">
        <f>EH4+EH8+EH22+EH24+EH28+EH37</f>
        <v>1114</v>
      </c>
      <c r="EI55" s="183">
        <f>EI4+EI8+EI22+EI24+EI28+EI37</f>
        <v>192</v>
      </c>
      <c r="EJ55" s="143">
        <v>0.17235188509874327</v>
      </c>
      <c r="EK55" s="143">
        <v>0.15130866125267942</v>
      </c>
      <c r="EL55" s="143">
        <v>0.19564703247321</v>
      </c>
      <c r="EM55" s="178" t="str">
        <f t="shared" si="8"/>
        <v>No Sig diff</v>
      </c>
      <c r="EN55" s="183">
        <f>EN4+EN8+EN22+EN24+EN28+EN37</f>
        <v>1128</v>
      </c>
      <c r="EO55" s="183">
        <f>EO4+EO8+EO22+EO24+EO28+EO37</f>
        <v>213</v>
      </c>
      <c r="EP55" s="197">
        <v>0.18882978723404256</v>
      </c>
      <c r="EQ55" s="179">
        <v>0.16706083594111637</v>
      </c>
      <c r="ER55" s="179">
        <v>0.21271095583311433</v>
      </c>
      <c r="ES55" s="178" t="str">
        <f t="shared" si="9"/>
        <v>No Sig diff</v>
      </c>
      <c r="ET55" s="183">
        <f>ET4+ET8+ET22+ET24+ET28+ET37</f>
        <v>1075</v>
      </c>
      <c r="EU55" s="183">
        <f>EU4+EU8+EU22+EU24+EU28+EU37</f>
        <v>210</v>
      </c>
      <c r="EV55" s="179">
        <v>0.19534883720930232</v>
      </c>
      <c r="EW55" s="179">
        <v>0.17275073315918471</v>
      </c>
      <c r="EX55" s="179">
        <v>0.22011649988542298</v>
      </c>
      <c r="EY55" s="178" t="str">
        <f t="shared" si="10"/>
        <v>No Sig diff</v>
      </c>
      <c r="EZ55" s="207">
        <v>1440</v>
      </c>
      <c r="FA55" s="186">
        <v>693</v>
      </c>
      <c r="FB55" s="187">
        <v>0.48125000000000001</v>
      </c>
      <c r="FC55" s="187">
        <v>0.45552756226071045</v>
      </c>
      <c r="FD55" s="187">
        <v>0.50707220957012045</v>
      </c>
      <c r="FE55" s="208">
        <v>1440</v>
      </c>
      <c r="FF55" s="209">
        <v>34</v>
      </c>
      <c r="FG55" s="208">
        <v>288</v>
      </c>
      <c r="FH55" s="209">
        <v>22.378472222222197</v>
      </c>
      <c r="FI55" s="187">
        <v>0.34180964052287655</v>
      </c>
      <c r="FJ55" s="186">
        <v>1518</v>
      </c>
      <c r="FK55" s="186">
        <v>841</v>
      </c>
      <c r="FL55" s="187">
        <v>0.5540184453227931</v>
      </c>
      <c r="FM55" s="187">
        <v>0.52890795807318758</v>
      </c>
      <c r="FN55" s="187">
        <v>0.57885622396393932</v>
      </c>
      <c r="FO55" s="198">
        <v>1518</v>
      </c>
      <c r="FP55" s="199">
        <v>34</v>
      </c>
      <c r="FQ55" s="198">
        <v>301</v>
      </c>
      <c r="FR55" s="199">
        <v>22.714285714285719</v>
      </c>
      <c r="FS55" s="210">
        <v>0.33193277310924357</v>
      </c>
      <c r="FT55" s="200">
        <f>FT4+FT8+FT22+FT24+FT28+FT37</f>
        <v>13718</v>
      </c>
      <c r="FU55" s="200">
        <f>FU4+FU8+FU22+FU24+FU28+FU37</f>
        <v>13516</v>
      </c>
      <c r="FV55" s="200">
        <f>FV4+FV8+FV22+FV24+FV28+FV37</f>
        <v>202</v>
      </c>
      <c r="FW55" s="200">
        <f>FW4+FW8+FW22+FW24+FW28+FW37</f>
        <v>173</v>
      </c>
      <c r="FX55" s="200">
        <f>FX4+FX8+FX22+FX24+FX28+FX37</f>
        <v>29</v>
      </c>
      <c r="FY55" s="187">
        <f t="shared" si="17"/>
        <v>0.85643564356435642</v>
      </c>
      <c r="FZ55" s="187">
        <f t="shared" si="18"/>
        <v>0.14356435643564355</v>
      </c>
      <c r="GA55" s="197"/>
      <c r="GB55" s="197"/>
      <c r="GC55" s="197"/>
      <c r="GD55" s="197"/>
      <c r="GE55" s="197"/>
      <c r="GF55" s="197"/>
      <c r="GG55" s="197"/>
      <c r="GH55" s="197"/>
      <c r="GI55" s="197"/>
      <c r="GJ55" s="197"/>
      <c r="GK55" s="197"/>
      <c r="GL55" s="197"/>
      <c r="GM55" s="197"/>
      <c r="GN55" s="197"/>
      <c r="GO55" s="197"/>
      <c r="GP55" s="197"/>
      <c r="GQ55" s="186">
        <f t="shared" ref="GQ55:HM55" si="42">GQ4+GQ8+GQ22+GQ24+GQ28+GQ37</f>
        <v>436</v>
      </c>
      <c r="GR55" s="186">
        <f t="shared" si="42"/>
        <v>417</v>
      </c>
      <c r="GS55" s="178">
        <f t="shared" si="42"/>
        <v>418</v>
      </c>
      <c r="GT55" s="178">
        <f t="shared" si="42"/>
        <v>430</v>
      </c>
      <c r="GU55" s="178">
        <f t="shared" si="42"/>
        <v>423</v>
      </c>
      <c r="GV55" s="178">
        <f t="shared" si="42"/>
        <v>408</v>
      </c>
      <c r="GW55" s="178">
        <f t="shared" si="42"/>
        <v>396</v>
      </c>
      <c r="GX55" s="178">
        <f t="shared" si="42"/>
        <v>389</v>
      </c>
      <c r="GY55" s="178">
        <f t="shared" si="42"/>
        <v>394</v>
      </c>
      <c r="GZ55" s="178">
        <f t="shared" si="42"/>
        <v>393</v>
      </c>
      <c r="HA55" s="178">
        <f t="shared" si="42"/>
        <v>396</v>
      </c>
      <c r="HB55" s="178">
        <f t="shared" si="42"/>
        <v>395</v>
      </c>
      <c r="HC55" s="178">
        <f t="shared" si="42"/>
        <v>402</v>
      </c>
      <c r="HD55" s="178">
        <f t="shared" si="42"/>
        <v>420</v>
      </c>
      <c r="HE55" s="178">
        <f t="shared" si="42"/>
        <v>394</v>
      </c>
      <c r="HF55" s="178">
        <f t="shared" si="42"/>
        <v>383</v>
      </c>
      <c r="HG55" s="178">
        <f t="shared" si="42"/>
        <v>376</v>
      </c>
      <c r="HH55" s="178">
        <f t="shared" si="42"/>
        <v>384</v>
      </c>
      <c r="HI55" s="178">
        <f t="shared" si="42"/>
        <v>394</v>
      </c>
      <c r="HJ55" s="178">
        <f t="shared" si="42"/>
        <v>378</v>
      </c>
      <c r="HK55" s="178">
        <f t="shared" si="42"/>
        <v>399</v>
      </c>
      <c r="HL55" s="178">
        <f t="shared" si="42"/>
        <v>379</v>
      </c>
      <c r="HM55" s="178">
        <f t="shared" si="42"/>
        <v>391</v>
      </c>
      <c r="HN55" s="186">
        <v>158</v>
      </c>
      <c r="HO55" s="187">
        <v>1.9602977667493797E-2</v>
      </c>
      <c r="HP55" s="217">
        <v>12900</v>
      </c>
      <c r="HQ55" s="217">
        <v>11233</v>
      </c>
      <c r="HR55" s="217">
        <v>1667</v>
      </c>
      <c r="HS55" s="1704">
        <v>0.12922480620155039</v>
      </c>
    </row>
    <row r="56" spans="1:227" ht="13.8" customHeight="1" x14ac:dyDescent="0.25">
      <c r="A56" s="183" t="s">
        <v>652</v>
      </c>
      <c r="B56" s="183"/>
      <c r="C56" s="183" t="s">
        <v>164</v>
      </c>
      <c r="D56" s="183" t="s">
        <v>652</v>
      </c>
      <c r="E56" s="183" t="s">
        <v>101</v>
      </c>
      <c r="F56" s="183"/>
      <c r="G56" s="183" t="s">
        <v>164</v>
      </c>
      <c r="H56" s="183" t="s">
        <v>164</v>
      </c>
      <c r="I56" s="183" t="s">
        <v>164</v>
      </c>
      <c r="J56" s="183" t="s">
        <v>705</v>
      </c>
      <c r="K56" s="183" t="s">
        <v>707</v>
      </c>
      <c r="L56" s="184">
        <v>77760</v>
      </c>
      <c r="M56" s="184">
        <v>78225</v>
      </c>
      <c r="N56" s="184">
        <v>78800</v>
      </c>
      <c r="O56" s="184">
        <v>79500</v>
      </c>
      <c r="P56" s="184">
        <v>79860</v>
      </c>
      <c r="Q56" s="184">
        <v>80135</v>
      </c>
      <c r="R56" s="184">
        <v>80945</v>
      </c>
      <c r="S56" s="184">
        <v>81165</v>
      </c>
      <c r="T56" s="184">
        <v>81415</v>
      </c>
      <c r="U56" s="184">
        <v>81900</v>
      </c>
      <c r="V56" s="200">
        <v>3925</v>
      </c>
      <c r="W56" s="200">
        <v>3885</v>
      </c>
      <c r="X56" s="200">
        <v>3805</v>
      </c>
      <c r="Y56" s="200">
        <v>3970</v>
      </c>
      <c r="Z56" s="200">
        <v>3935</v>
      </c>
      <c r="AA56" s="200">
        <v>3890</v>
      </c>
      <c r="AB56" s="200">
        <v>3940</v>
      </c>
      <c r="AC56" s="200">
        <v>3945</v>
      </c>
      <c r="AD56" s="200">
        <v>3960</v>
      </c>
      <c r="AE56" s="200">
        <v>3985</v>
      </c>
      <c r="AF56" s="187">
        <v>0.92874999999999996</v>
      </c>
      <c r="AG56" s="187">
        <v>2.8750000000000001E-2</v>
      </c>
      <c r="AH56" s="187">
        <v>0.03</v>
      </c>
      <c r="AI56" s="187">
        <v>1.125E-2</v>
      </c>
      <c r="AJ56" s="187">
        <v>1.25E-3</v>
      </c>
      <c r="AK56" s="187">
        <v>1.25E-3</v>
      </c>
      <c r="AL56" s="187">
        <v>7.1249999999999994E-2</v>
      </c>
      <c r="AM56" s="184">
        <v>8282</v>
      </c>
      <c r="AN56" s="187">
        <v>0.70816227964259837</v>
      </c>
      <c r="AO56" s="187">
        <v>0.1390968365129196</v>
      </c>
      <c r="AP56" s="187">
        <v>0.15274088384448201</v>
      </c>
      <c r="AQ56" s="184">
        <f t="shared" ref="AQ56:AX56" si="43">AQ5+AQ32+AQ33+AQ40</f>
        <v>694</v>
      </c>
      <c r="AR56" s="184">
        <f t="shared" si="43"/>
        <v>711</v>
      </c>
      <c r="AS56" s="184">
        <f t="shared" si="43"/>
        <v>686</v>
      </c>
      <c r="AT56" s="184">
        <f t="shared" si="43"/>
        <v>680</v>
      </c>
      <c r="AU56" s="184">
        <f t="shared" si="43"/>
        <v>643</v>
      </c>
      <c r="AV56" s="186">
        <f t="shared" si="43"/>
        <v>31</v>
      </c>
      <c r="AW56" s="186">
        <f t="shared" si="43"/>
        <v>23</v>
      </c>
      <c r="AX56" s="186">
        <f t="shared" si="43"/>
        <v>15</v>
      </c>
      <c r="AY56" s="186">
        <f>AY5+AY32+AY33+AY40</f>
        <v>26</v>
      </c>
      <c r="AZ56" s="186">
        <v>21</v>
      </c>
      <c r="BA56" s="186">
        <v>48</v>
      </c>
      <c r="BB56" s="187">
        <v>7.4650077760497674E-2</v>
      </c>
      <c r="BC56" s="187">
        <v>5.6764926583491651E-2</v>
      </c>
      <c r="BD56" s="187">
        <v>9.7587360919419316E-2</v>
      </c>
      <c r="BE56" s="193">
        <v>41</v>
      </c>
      <c r="BF56" s="184">
        <f>BF5+BF32+BF33+BF40</f>
        <v>1116</v>
      </c>
      <c r="BG56" s="184">
        <f>BG5+BG32+BG33+BG40</f>
        <v>1375</v>
      </c>
      <c r="BH56" s="184">
        <f>BH5+BH32+BH33+BH40</f>
        <v>609</v>
      </c>
      <c r="BI56" s="184">
        <f t="shared" si="21"/>
        <v>6.734490766338605E-2</v>
      </c>
      <c r="BJ56" s="184">
        <f t="shared" ref="BJ56:BT56" si="44">BJ5+BJ32+BJ33+BJ40</f>
        <v>9043</v>
      </c>
      <c r="BK56" s="184">
        <f t="shared" si="44"/>
        <v>16084</v>
      </c>
      <c r="BL56" s="186">
        <f t="shared" si="44"/>
        <v>9447</v>
      </c>
      <c r="BM56" s="186">
        <f t="shared" si="44"/>
        <v>6288</v>
      </c>
      <c r="BN56" s="186">
        <f t="shared" si="44"/>
        <v>1</v>
      </c>
      <c r="BO56" s="186">
        <f t="shared" si="44"/>
        <v>1076</v>
      </c>
      <c r="BP56" s="186">
        <f t="shared" si="44"/>
        <v>1520</v>
      </c>
      <c r="BQ56" s="186">
        <f t="shared" si="44"/>
        <v>562</v>
      </c>
      <c r="BR56" s="193">
        <f t="shared" si="44"/>
        <v>305</v>
      </c>
      <c r="BS56" s="193">
        <f t="shared" si="44"/>
        <v>275</v>
      </c>
      <c r="BT56" s="193">
        <f t="shared" si="44"/>
        <v>245</v>
      </c>
      <c r="BU56" s="186">
        <v>1392</v>
      </c>
      <c r="BV56" s="186">
        <v>396</v>
      </c>
      <c r="BW56" s="222">
        <v>0.28448275862068967</v>
      </c>
      <c r="BX56" s="186">
        <v>150</v>
      </c>
      <c r="BY56" s="237" t="s">
        <v>164</v>
      </c>
      <c r="BZ56" s="1676">
        <v>791</v>
      </c>
      <c r="CA56" s="222">
        <v>2.3278399058269571E-2</v>
      </c>
      <c r="CB56" s="200">
        <f>CB5+CB32+CB33+CB40</f>
        <v>460</v>
      </c>
      <c r="CC56" s="200">
        <f>CC5+CC32+CC33+CC40</f>
        <v>430</v>
      </c>
      <c r="CD56" s="200">
        <v>395</v>
      </c>
      <c r="CE56" s="200">
        <f>CE5+CE32+CE33+CE40</f>
        <v>415</v>
      </c>
      <c r="CF56" s="184">
        <v>1210</v>
      </c>
      <c r="CG56" s="211">
        <v>8.6488636363636365E-2</v>
      </c>
      <c r="CH56" s="184">
        <v>1290</v>
      </c>
      <c r="CI56" s="211">
        <v>8.4399547803617567E-2</v>
      </c>
      <c r="CJ56" s="184">
        <v>1345</v>
      </c>
      <c r="CK56" s="211">
        <v>9.603960140437838E-2</v>
      </c>
      <c r="CL56" s="184">
        <v>1205</v>
      </c>
      <c r="CM56" s="211">
        <v>9.1512966804979251E-2</v>
      </c>
      <c r="CN56" s="184">
        <v>1230</v>
      </c>
      <c r="CO56" s="211">
        <v>8.5441734417344178E-2</v>
      </c>
      <c r="CP56" s="184">
        <v>1040</v>
      </c>
      <c r="CQ56" s="187">
        <v>7.6999999999999999E-2</v>
      </c>
      <c r="CR56" s="184">
        <f>CR5+CR32+CR33+CR40</f>
        <v>694</v>
      </c>
      <c r="CS56" s="184">
        <f>CS5+CS32+CS33+CS40</f>
        <v>20</v>
      </c>
      <c r="CT56" s="184">
        <f>CT5+CT32+CT33+CT40</f>
        <v>674</v>
      </c>
      <c r="CU56" s="187">
        <f t="shared" si="23"/>
        <v>0.97118155619596547</v>
      </c>
      <c r="CV56" s="186">
        <f>CV5+CV32+CV33+CV40</f>
        <v>308</v>
      </c>
      <c r="CW56" s="186">
        <f>CW5+CW32+CW33+CW40</f>
        <v>404</v>
      </c>
      <c r="CX56" s="187">
        <v>0.45697329376854601</v>
      </c>
      <c r="CY56" s="187">
        <v>0.59940652818991103</v>
      </c>
      <c r="CZ56" s="187">
        <v>0.41971558496913836</v>
      </c>
      <c r="DA56" s="187">
        <v>0.49471868392183771</v>
      </c>
      <c r="DB56" s="187">
        <v>0.56194988661152023</v>
      </c>
      <c r="DC56" s="187">
        <v>0.63573645767484521</v>
      </c>
      <c r="DD56" s="200">
        <f>DD5+DD32+DD33+DD40</f>
        <v>690</v>
      </c>
      <c r="DE56" s="200">
        <f>DE5+DE32+DE33+DE40</f>
        <v>45</v>
      </c>
      <c r="DF56" s="143">
        <v>6.5217391304347824E-2</v>
      </c>
      <c r="DG56" s="143">
        <v>4.9095601119040551E-2</v>
      </c>
      <c r="DH56" s="143">
        <v>8.6153536313874207E-2</v>
      </c>
      <c r="DI56" s="178" t="str">
        <f t="shared" si="12"/>
        <v>Sig better than Eng.</v>
      </c>
      <c r="DJ56" s="200">
        <f>DJ5+DJ32+DJ33+DJ40</f>
        <v>715</v>
      </c>
      <c r="DK56" s="200">
        <f>DK5+DK32+DK33+DK40</f>
        <v>60</v>
      </c>
      <c r="DL56" s="143">
        <v>8.3916083916083919E-2</v>
      </c>
      <c r="DM56" s="143">
        <v>6.5749511211531414E-2</v>
      </c>
      <c r="DN56" s="143">
        <v>0.10652972686116412</v>
      </c>
      <c r="DO56" s="178" t="str">
        <f t="shared" si="13"/>
        <v>No Sig diff</v>
      </c>
      <c r="DP56" s="183">
        <f>DP5+DP32+DP33+DP40</f>
        <v>478</v>
      </c>
      <c r="DQ56" s="183">
        <f>DQ5+DQ32+DQ33+DQ40</f>
        <v>37</v>
      </c>
      <c r="DR56" s="143">
        <v>7.7405857740585768E-2</v>
      </c>
      <c r="DS56" s="143">
        <v>5.6677309110696433E-2</v>
      </c>
      <c r="DT56" s="143">
        <v>0.1048726310111248</v>
      </c>
      <c r="DU56" s="178" t="str">
        <f t="shared" si="7"/>
        <v>No Sig diff</v>
      </c>
      <c r="DV56" s="183">
        <f>DV5+DV32+DV33+DV40</f>
        <v>661</v>
      </c>
      <c r="DW56" s="183">
        <f>DW5+DW32+DW33+DW40</f>
        <v>53</v>
      </c>
      <c r="DX56" s="179">
        <v>8.0181543116490173E-2</v>
      </c>
      <c r="DY56" s="179">
        <v>6.1822013381150641E-2</v>
      </c>
      <c r="DZ56" s="179">
        <v>0.10339250109201802</v>
      </c>
      <c r="EA56" s="178" t="str">
        <f t="shared" si="14"/>
        <v>No Sig diff</v>
      </c>
      <c r="EB56" s="183">
        <f>EB5+EB32+EB33+EB40</f>
        <v>715</v>
      </c>
      <c r="EC56" s="183">
        <f>EC5+EC32+EC33+EC40</f>
        <v>109</v>
      </c>
      <c r="ED56" s="143">
        <v>0.15244755244755245</v>
      </c>
      <c r="EE56" s="143">
        <v>0.12796234517942864</v>
      </c>
      <c r="EF56" s="143">
        <v>0.18064737132835237</v>
      </c>
      <c r="EG56" s="178" t="str">
        <f t="shared" si="15"/>
        <v>Sig better than Eng.</v>
      </c>
      <c r="EH56" s="183">
        <f>EH5+EH32+EH33+EH40</f>
        <v>683</v>
      </c>
      <c r="EI56" s="183">
        <f>EI5+EI32+EI33+EI40</f>
        <v>102</v>
      </c>
      <c r="EJ56" s="143">
        <v>0.14934114202049781</v>
      </c>
      <c r="EK56" s="143">
        <v>0.12457477402504541</v>
      </c>
      <c r="EL56" s="143">
        <v>0.17802993358471017</v>
      </c>
      <c r="EM56" s="178" t="str">
        <f t="shared" si="8"/>
        <v>Sig better than Eng.</v>
      </c>
      <c r="EN56" s="183">
        <f>EN5+EN32+EN33+EN40</f>
        <v>653</v>
      </c>
      <c r="EO56" s="183">
        <f>EO5+EO32+EO33+EO40</f>
        <v>89</v>
      </c>
      <c r="EP56" s="197">
        <v>0.13629402756508421</v>
      </c>
      <c r="EQ56" s="179">
        <v>0.11209652965952474</v>
      </c>
      <c r="ER56" s="179">
        <v>0.1647457073502642</v>
      </c>
      <c r="ES56" s="178" t="str">
        <f t="shared" si="9"/>
        <v>Sig better than Eng.</v>
      </c>
      <c r="ET56" s="183">
        <f>ET5+ET32+ET33+ET40</f>
        <v>591</v>
      </c>
      <c r="EU56" s="183">
        <f>EU5+EU32+EU33+EU40</f>
        <v>74</v>
      </c>
      <c r="EV56" s="179">
        <v>0.12521150592216582</v>
      </c>
      <c r="EW56" s="179">
        <v>0.10092567436312364</v>
      </c>
      <c r="EX56" s="179">
        <v>0.15433807124352619</v>
      </c>
      <c r="EY56" s="178" t="str">
        <f t="shared" si="10"/>
        <v>Sig better than Eng.</v>
      </c>
      <c r="EZ56" s="207">
        <v>782</v>
      </c>
      <c r="FA56" s="186">
        <v>456</v>
      </c>
      <c r="FB56" s="187">
        <v>0.58312020460358061</v>
      </c>
      <c r="FC56" s="187">
        <v>0.54823960073443256</v>
      </c>
      <c r="FD56" s="187">
        <v>0.61718816913035668</v>
      </c>
      <c r="FE56" s="208">
        <v>782</v>
      </c>
      <c r="FF56" s="209">
        <v>34</v>
      </c>
      <c r="FG56" s="208">
        <v>156</v>
      </c>
      <c r="FH56" s="209">
        <v>25.679487179487179</v>
      </c>
      <c r="FI56" s="187">
        <v>0.24472096530920062</v>
      </c>
      <c r="FJ56" s="186">
        <v>838</v>
      </c>
      <c r="FK56" s="186">
        <v>521</v>
      </c>
      <c r="FL56" s="187">
        <v>0.62171837708830546</v>
      </c>
      <c r="FM56" s="187">
        <v>0.5883987373583377</v>
      </c>
      <c r="FN56" s="187">
        <v>0.65392717551102397</v>
      </c>
      <c r="FO56" s="198">
        <v>838</v>
      </c>
      <c r="FP56" s="199">
        <v>34</v>
      </c>
      <c r="FQ56" s="198">
        <v>166</v>
      </c>
      <c r="FR56" s="199">
        <v>26.8132530120482</v>
      </c>
      <c r="FS56" s="210">
        <v>0.21137491141034706</v>
      </c>
      <c r="FT56" s="200">
        <f>FT5+FT32+FT33+FT40</f>
        <v>12075</v>
      </c>
      <c r="FU56" s="200">
        <f>FU5+FU32+FU33+FU40</f>
        <v>11826</v>
      </c>
      <c r="FV56" s="200">
        <f>FV5+FV32+FV33+FV40</f>
        <v>249</v>
      </c>
      <c r="FW56" s="200">
        <f>FW5+FW32+FW33+FW40</f>
        <v>205</v>
      </c>
      <c r="FX56" s="200">
        <f>FX5+FX32+FX33+FX40</f>
        <v>44</v>
      </c>
      <c r="FY56" s="187">
        <f t="shared" si="17"/>
        <v>0.82329317269076308</v>
      </c>
      <c r="FZ56" s="187">
        <f t="shared" si="18"/>
        <v>0.17670682730923695</v>
      </c>
      <c r="GA56" s="197"/>
      <c r="GB56" s="197"/>
      <c r="GC56" s="197"/>
      <c r="GD56" s="197"/>
      <c r="GE56" s="197"/>
      <c r="GF56" s="197"/>
      <c r="GG56" s="197"/>
      <c r="GH56" s="197"/>
      <c r="GI56" s="197"/>
      <c r="GJ56" s="197"/>
      <c r="GK56" s="197"/>
      <c r="GL56" s="197"/>
      <c r="GM56" s="197"/>
      <c r="GN56" s="197"/>
      <c r="GO56" s="197"/>
      <c r="GP56" s="197"/>
      <c r="GQ56" s="186">
        <f t="shared" ref="GQ56:HM56" si="45">GQ5+GQ32+GQ33+GQ40</f>
        <v>214</v>
      </c>
      <c r="GR56" s="186">
        <f t="shared" si="45"/>
        <v>209</v>
      </c>
      <c r="GS56" s="178">
        <f t="shared" si="45"/>
        <v>210</v>
      </c>
      <c r="GT56" s="178">
        <f t="shared" si="45"/>
        <v>210</v>
      </c>
      <c r="GU56" s="178">
        <f t="shared" si="45"/>
        <v>210</v>
      </c>
      <c r="GV56" s="178">
        <f t="shared" si="45"/>
        <v>164</v>
      </c>
      <c r="GW56" s="178">
        <f t="shared" si="45"/>
        <v>154</v>
      </c>
      <c r="GX56" s="178">
        <f t="shared" si="45"/>
        <v>157</v>
      </c>
      <c r="GY56" s="178">
        <f t="shared" si="45"/>
        <v>154</v>
      </c>
      <c r="GZ56" s="178">
        <f t="shared" si="45"/>
        <v>158</v>
      </c>
      <c r="HA56" s="178">
        <f t="shared" si="45"/>
        <v>159</v>
      </c>
      <c r="HB56" s="178">
        <f t="shared" si="45"/>
        <v>154</v>
      </c>
      <c r="HC56" s="178">
        <f t="shared" si="45"/>
        <v>158</v>
      </c>
      <c r="HD56" s="178">
        <f t="shared" si="45"/>
        <v>206</v>
      </c>
      <c r="HE56" s="178">
        <f t="shared" si="45"/>
        <v>197</v>
      </c>
      <c r="HF56" s="178">
        <f t="shared" si="45"/>
        <v>194</v>
      </c>
      <c r="HG56" s="178">
        <f t="shared" si="45"/>
        <v>189</v>
      </c>
      <c r="HH56" s="178">
        <f t="shared" si="45"/>
        <v>193</v>
      </c>
      <c r="HI56" s="178">
        <f t="shared" si="45"/>
        <v>197</v>
      </c>
      <c r="HJ56" s="178">
        <f t="shared" si="45"/>
        <v>189</v>
      </c>
      <c r="HK56" s="178">
        <f t="shared" si="45"/>
        <v>194</v>
      </c>
      <c r="HL56" s="178">
        <f t="shared" si="45"/>
        <v>191</v>
      </c>
      <c r="HM56" s="178">
        <f t="shared" si="45"/>
        <v>201</v>
      </c>
      <c r="HN56" s="186">
        <v>60</v>
      </c>
      <c r="HO56" s="187">
        <v>1.5018773466833541E-2</v>
      </c>
      <c r="HP56" s="217">
        <v>6263</v>
      </c>
      <c r="HQ56" s="217">
        <v>5821</v>
      </c>
      <c r="HR56" s="217">
        <v>442</v>
      </c>
      <c r="HS56" s="1704">
        <v>7.0573207727925913E-2</v>
      </c>
    </row>
    <row r="57" spans="1:227" ht="13.8" customHeight="1" x14ac:dyDescent="0.25">
      <c r="A57" s="183" t="s">
        <v>653</v>
      </c>
      <c r="B57" s="183"/>
      <c r="C57" s="183" t="s">
        <v>164</v>
      </c>
      <c r="D57" s="183" t="s">
        <v>653</v>
      </c>
      <c r="E57" s="183" t="s">
        <v>101</v>
      </c>
      <c r="F57" s="183"/>
      <c r="G57" s="183" t="s">
        <v>164</v>
      </c>
      <c r="H57" s="183" t="s">
        <v>164</v>
      </c>
      <c r="I57" s="183" t="s">
        <v>164</v>
      </c>
      <c r="J57" s="183" t="s">
        <v>703</v>
      </c>
      <c r="K57" s="183" t="s">
        <v>101</v>
      </c>
      <c r="L57" s="184">
        <v>55555</v>
      </c>
      <c r="M57" s="184">
        <v>56115</v>
      </c>
      <c r="N57" s="184">
        <v>56850</v>
      </c>
      <c r="O57" s="184">
        <v>57335</v>
      </c>
      <c r="P57" s="184">
        <v>57750</v>
      </c>
      <c r="Q57" s="184">
        <v>58185</v>
      </c>
      <c r="R57" s="184">
        <v>58650</v>
      </c>
      <c r="S57" s="184">
        <v>59080</v>
      </c>
      <c r="T57" s="184">
        <v>59530</v>
      </c>
      <c r="U57" s="184">
        <v>59735</v>
      </c>
      <c r="V57" s="200">
        <v>3470</v>
      </c>
      <c r="W57" s="200">
        <v>3325</v>
      </c>
      <c r="X57" s="200">
        <v>3330</v>
      </c>
      <c r="Y57" s="200">
        <v>3430</v>
      </c>
      <c r="Z57" s="200">
        <v>3440</v>
      </c>
      <c r="AA57" s="200">
        <v>3490</v>
      </c>
      <c r="AB57" s="200">
        <v>3565</v>
      </c>
      <c r="AC57" s="200">
        <v>3600</v>
      </c>
      <c r="AD57" s="200">
        <v>3660</v>
      </c>
      <c r="AE57" s="200">
        <v>3595</v>
      </c>
      <c r="AF57" s="187">
        <v>0.86153846153846159</v>
      </c>
      <c r="AG57" s="187">
        <v>3.3566433566433566E-2</v>
      </c>
      <c r="AH57" s="187">
        <v>5.4545454545454543E-2</v>
      </c>
      <c r="AI57" s="187">
        <v>3.9160839160839164E-2</v>
      </c>
      <c r="AJ57" s="187">
        <v>6.993006993006993E-3</v>
      </c>
      <c r="AK57" s="187">
        <v>2.7972027972027972E-3</v>
      </c>
      <c r="AL57" s="187">
        <v>0.13706293706293707</v>
      </c>
      <c r="AM57" s="184">
        <v>6989</v>
      </c>
      <c r="AN57" s="187">
        <v>0.70553727285734724</v>
      </c>
      <c r="AO57" s="187">
        <v>0.14179424810416369</v>
      </c>
      <c r="AP57" s="187">
        <v>0.15266847903848904</v>
      </c>
      <c r="AQ57" s="184">
        <f t="shared" ref="AQ57:AX57" si="46">AQ19+AQ38+AQ30+AQ43</f>
        <v>701</v>
      </c>
      <c r="AR57" s="184">
        <f t="shared" si="46"/>
        <v>648</v>
      </c>
      <c r="AS57" s="184">
        <f t="shared" si="46"/>
        <v>690</v>
      </c>
      <c r="AT57" s="184">
        <f t="shared" si="46"/>
        <v>636</v>
      </c>
      <c r="AU57" s="184">
        <f t="shared" si="46"/>
        <v>632</v>
      </c>
      <c r="AV57" s="186">
        <f t="shared" si="46"/>
        <v>23</v>
      </c>
      <c r="AW57" s="186">
        <f t="shared" si="46"/>
        <v>19</v>
      </c>
      <c r="AX57" s="186">
        <f t="shared" si="46"/>
        <v>9</v>
      </c>
      <c r="AY57" s="186">
        <f>AY19+AY38+AY30+AY43</f>
        <v>13</v>
      </c>
      <c r="AZ57" s="186">
        <v>7</v>
      </c>
      <c r="BA57" s="186">
        <v>40</v>
      </c>
      <c r="BB57" s="187">
        <v>6.3291139240506333E-2</v>
      </c>
      <c r="BC57" s="187">
        <v>4.6821004663438637E-2</v>
      </c>
      <c r="BD57" s="187">
        <v>8.5038058091286881E-2</v>
      </c>
      <c r="BE57" s="193">
        <v>21</v>
      </c>
      <c r="BF57" s="184">
        <f>BF19+BF38+BF30+BF43</f>
        <v>1043</v>
      </c>
      <c r="BG57" s="184">
        <f>BG19+BG38+BG30+BG43</f>
        <v>1201</v>
      </c>
      <c r="BH57" s="184">
        <f>BH19+BH38+BH30+BH43</f>
        <v>501</v>
      </c>
      <c r="BI57" s="184">
        <f t="shared" si="21"/>
        <v>6.8172540481698185E-2</v>
      </c>
      <c r="BJ57" s="184">
        <f t="shared" ref="BJ57:BT57" si="47">BJ19+BJ38+BJ30+BJ43</f>
        <v>7349</v>
      </c>
      <c r="BK57" s="184">
        <f t="shared" si="47"/>
        <v>13050</v>
      </c>
      <c r="BL57" s="186">
        <f t="shared" si="47"/>
        <v>7079</v>
      </c>
      <c r="BM57" s="186">
        <f t="shared" si="47"/>
        <v>4683</v>
      </c>
      <c r="BN57" s="186">
        <f t="shared" si="47"/>
        <v>7</v>
      </c>
      <c r="BO57" s="186">
        <f t="shared" si="47"/>
        <v>790</v>
      </c>
      <c r="BP57" s="186">
        <f t="shared" si="47"/>
        <v>1140</v>
      </c>
      <c r="BQ57" s="186">
        <f t="shared" si="47"/>
        <v>459</v>
      </c>
      <c r="BR57" s="193">
        <f t="shared" si="47"/>
        <v>270</v>
      </c>
      <c r="BS57" s="193">
        <f t="shared" si="47"/>
        <v>260</v>
      </c>
      <c r="BT57" s="193">
        <f t="shared" si="47"/>
        <v>225</v>
      </c>
      <c r="BU57" s="186">
        <v>1167</v>
      </c>
      <c r="BV57" s="186">
        <v>322</v>
      </c>
      <c r="BW57" s="222">
        <v>0.27592116538131961</v>
      </c>
      <c r="BX57" s="186">
        <v>120</v>
      </c>
      <c r="BY57" s="237" t="s">
        <v>164</v>
      </c>
      <c r="BZ57" s="1676">
        <v>755</v>
      </c>
      <c r="CA57" s="222">
        <v>3.0908421009538625E-2</v>
      </c>
      <c r="CB57" s="200">
        <f>CB19+CB38+CB30+CB43</f>
        <v>375</v>
      </c>
      <c r="CC57" s="200">
        <f>CC19+CC38+CC30+CC43</f>
        <v>385</v>
      </c>
      <c r="CD57" s="200">
        <v>390</v>
      </c>
      <c r="CE57" s="200">
        <f>CE19+CE38+CE30+CE43</f>
        <v>375</v>
      </c>
      <c r="CF57" s="184">
        <v>975</v>
      </c>
      <c r="CG57" s="211">
        <v>9.1210268250268262E-2</v>
      </c>
      <c r="CH57" s="184">
        <v>985</v>
      </c>
      <c r="CI57" s="211">
        <v>8.4665036148284883E-2</v>
      </c>
      <c r="CJ57" s="184">
        <v>1005</v>
      </c>
      <c r="CK57" s="211">
        <v>9.1542223945209028E-2</v>
      </c>
      <c r="CL57" s="184">
        <v>935</v>
      </c>
      <c r="CM57" s="211">
        <v>8.8974442669629838E-2</v>
      </c>
      <c r="CN57" s="184">
        <v>1000</v>
      </c>
      <c r="CO57" s="211">
        <v>8.7870851370851363E-2</v>
      </c>
      <c r="CP57" s="184">
        <v>920</v>
      </c>
      <c r="CQ57" s="187">
        <v>8.4000000000000005E-2</v>
      </c>
      <c r="CR57" s="184">
        <f>CR19+CR38+CR30+CR43</f>
        <v>617</v>
      </c>
      <c r="CS57" s="184">
        <f>CS19+CS38+CS30+CS43</f>
        <v>16</v>
      </c>
      <c r="CT57" s="184">
        <f>CT19+CT38+CT30+CT43</f>
        <v>601</v>
      </c>
      <c r="CU57" s="187">
        <f t="shared" si="23"/>
        <v>0.97406807131280393</v>
      </c>
      <c r="CV57" s="186">
        <f>CV19+CV38+CV30+CV43</f>
        <v>283</v>
      </c>
      <c r="CW57" s="186">
        <f>CW19+CW38+CW30+CW43</f>
        <v>368</v>
      </c>
      <c r="CX57" s="187">
        <v>0.47088186356073214</v>
      </c>
      <c r="CY57" s="187">
        <v>0.61231281198003329</v>
      </c>
      <c r="CZ57" s="187">
        <v>0.4312868407625195</v>
      </c>
      <c r="DA57" s="187">
        <v>0.51084675558809745</v>
      </c>
      <c r="DB57" s="187">
        <v>0.57276407466122725</v>
      </c>
      <c r="DC57" s="187">
        <v>0.65043491084353611</v>
      </c>
      <c r="DD57" s="200">
        <f>DD19+DD38+DD30+DD43</f>
        <v>584</v>
      </c>
      <c r="DE57" s="200">
        <f>DE19+DE38+DE30+DE43</f>
        <v>40</v>
      </c>
      <c r="DF57" s="143">
        <v>6.8493150684931503E-2</v>
      </c>
      <c r="DG57" s="143">
        <v>5.0700192152736974E-2</v>
      </c>
      <c r="DH57" s="143">
        <v>9.1925778783191525E-2</v>
      </c>
      <c r="DI57" s="178" t="str">
        <f t="shared" si="12"/>
        <v>Sig better than Eng.</v>
      </c>
      <c r="DJ57" s="200">
        <f>DJ19+DJ38+DJ30+DJ43</f>
        <v>606</v>
      </c>
      <c r="DK57" s="200">
        <f>DK19+DK38+DK30+DK43</f>
        <v>41</v>
      </c>
      <c r="DL57" s="143">
        <v>6.7656765676567657E-2</v>
      </c>
      <c r="DM57" s="143">
        <v>5.0261484259510152E-2</v>
      </c>
      <c r="DN57" s="143">
        <v>9.0498802826732824E-2</v>
      </c>
      <c r="DO57" s="178" t="str">
        <f t="shared" si="13"/>
        <v>Sig better than Eng.</v>
      </c>
      <c r="DP57" s="183">
        <f>DP19+DP38+DP30+DP43</f>
        <v>390</v>
      </c>
      <c r="DQ57" s="183">
        <f>DQ19+DQ38+DQ30+DQ43</f>
        <v>35</v>
      </c>
      <c r="DR57" s="143">
        <v>8.9743589743589744E-2</v>
      </c>
      <c r="DS57" s="143">
        <v>6.5235527450921732E-2</v>
      </c>
      <c r="DT57" s="143">
        <v>0.12225478665110948</v>
      </c>
      <c r="DU57" s="178" t="str">
        <f t="shared" si="7"/>
        <v>No Sig diff</v>
      </c>
      <c r="DV57" s="183">
        <f>DV19+DV38+DV30+DV43</f>
        <v>568</v>
      </c>
      <c r="DW57" s="183">
        <f>DW19+DW38+DW30+DW43</f>
        <v>39</v>
      </c>
      <c r="DX57" s="179">
        <v>6.8661971830985921E-2</v>
      </c>
      <c r="DY57" s="179">
        <v>5.0631690526542664E-2</v>
      </c>
      <c r="DZ57" s="179">
        <v>9.2487451253550318E-2</v>
      </c>
      <c r="EA57" s="178" t="str">
        <f t="shared" si="14"/>
        <v>No Sig diff</v>
      </c>
      <c r="EB57" s="183">
        <f>EB19+EB38+EB30+EB43</f>
        <v>593</v>
      </c>
      <c r="EC57" s="183">
        <f>EC19+EC38+EC30+EC43</f>
        <v>79</v>
      </c>
      <c r="ED57" s="143">
        <v>0.13322091062394603</v>
      </c>
      <c r="EE57" s="143">
        <v>0.10821751503531322</v>
      </c>
      <c r="EF57" s="143">
        <v>0.16294571672220998</v>
      </c>
      <c r="EG57" s="178" t="str">
        <f t="shared" si="15"/>
        <v>Sig better than Eng.</v>
      </c>
      <c r="EH57" s="183">
        <f>EH19+EH38+EH30+EH43</f>
        <v>630</v>
      </c>
      <c r="EI57" s="183">
        <f>EI19+EI38+EI30+EI43</f>
        <v>88</v>
      </c>
      <c r="EJ57" s="143">
        <v>0.13968253968253969</v>
      </c>
      <c r="EK57" s="143">
        <v>0.11479084888788295</v>
      </c>
      <c r="EL57" s="143">
        <v>0.16894170965333588</v>
      </c>
      <c r="EM57" s="178" t="str">
        <f t="shared" si="8"/>
        <v>Sig better than Eng.</v>
      </c>
      <c r="EN57" s="183">
        <f>EN19+EN38+EN30+EN43</f>
        <v>603</v>
      </c>
      <c r="EO57" s="183">
        <f>EO19+EO38+EO30+EO43</f>
        <v>68</v>
      </c>
      <c r="EP57" s="197">
        <v>0.11276948590381426</v>
      </c>
      <c r="EQ57" s="179">
        <v>8.9935057926732356E-2</v>
      </c>
      <c r="ER57" s="179">
        <v>0.14050644666732612</v>
      </c>
      <c r="ES57" s="178" t="str">
        <f t="shared" si="9"/>
        <v>Sig better than Eng.</v>
      </c>
      <c r="ET57" s="183">
        <f>ET19+ET38+ET30+ET43</f>
        <v>580</v>
      </c>
      <c r="EU57" s="183">
        <f>EU19+EU38+EU30+EU43</f>
        <v>72</v>
      </c>
      <c r="EV57" s="179">
        <v>0.12413793103448276</v>
      </c>
      <c r="EW57" s="179">
        <v>9.9750144188588658E-2</v>
      </c>
      <c r="EX57" s="179">
        <v>0.15347178205029172</v>
      </c>
      <c r="EY57" s="178" t="str">
        <f t="shared" si="10"/>
        <v>Sig better than Eng.</v>
      </c>
      <c r="EZ57" s="207">
        <v>673</v>
      </c>
      <c r="FA57" s="186">
        <v>392</v>
      </c>
      <c r="FB57" s="187">
        <v>0.58246656760772664</v>
      </c>
      <c r="FC57" s="187">
        <v>0.54484327168467928</v>
      </c>
      <c r="FD57" s="187">
        <v>0.61915377452670772</v>
      </c>
      <c r="FE57" s="208">
        <v>673</v>
      </c>
      <c r="FF57" s="209">
        <v>34</v>
      </c>
      <c r="FG57" s="208">
        <v>134</v>
      </c>
      <c r="FH57" s="209">
        <v>25.253731343283587</v>
      </c>
      <c r="FI57" s="187">
        <v>0.25724319578577687</v>
      </c>
      <c r="FJ57" s="186">
        <v>751</v>
      </c>
      <c r="FK57" s="186">
        <v>468</v>
      </c>
      <c r="FL57" s="187">
        <v>0.62316910785619173</v>
      </c>
      <c r="FM57" s="187">
        <v>0.58796684159232548</v>
      </c>
      <c r="FN57" s="187">
        <v>0.65711773588839439</v>
      </c>
      <c r="FO57" s="198">
        <v>751</v>
      </c>
      <c r="FP57" s="199">
        <v>34</v>
      </c>
      <c r="FQ57" s="198">
        <v>150</v>
      </c>
      <c r="FR57" s="199">
        <v>24.599999999999994</v>
      </c>
      <c r="FS57" s="210">
        <v>0.2764705882352943</v>
      </c>
      <c r="FT57" s="200">
        <f>FT19+FT38+FT30+FT43</f>
        <v>9632</v>
      </c>
      <c r="FU57" s="200">
        <f>FU19+FU38+FU30+FU43</f>
        <v>9400</v>
      </c>
      <c r="FV57" s="200">
        <f>FV19+FV38+FV30+FV43</f>
        <v>232</v>
      </c>
      <c r="FW57" s="200">
        <f>FW19+FW38+FW30+FW43</f>
        <v>203</v>
      </c>
      <c r="FX57" s="200">
        <f>FX19+FX38+FX30+FX43</f>
        <v>29</v>
      </c>
      <c r="FY57" s="187">
        <f t="shared" si="17"/>
        <v>0.875</v>
      </c>
      <c r="FZ57" s="187">
        <f t="shared" si="18"/>
        <v>0.125</v>
      </c>
      <c r="GA57" s="197"/>
      <c r="GB57" s="197"/>
      <c r="GC57" s="197"/>
      <c r="GD57" s="197"/>
      <c r="GE57" s="197"/>
      <c r="GF57" s="197"/>
      <c r="GG57" s="197"/>
      <c r="GH57" s="197"/>
      <c r="GI57" s="197"/>
      <c r="GJ57" s="197"/>
      <c r="GK57" s="197"/>
      <c r="GL57" s="197"/>
      <c r="GM57" s="197"/>
      <c r="GN57" s="197"/>
      <c r="GO57" s="197"/>
      <c r="GP57" s="197"/>
      <c r="GQ57" s="186">
        <f t="shared" ref="GQ57:HM57" si="48">GQ19+GQ38+GQ30+GQ43</f>
        <v>181</v>
      </c>
      <c r="GR57" s="186">
        <f t="shared" si="48"/>
        <v>173</v>
      </c>
      <c r="GS57" s="178">
        <f t="shared" si="48"/>
        <v>173</v>
      </c>
      <c r="GT57" s="178">
        <f t="shared" si="48"/>
        <v>176</v>
      </c>
      <c r="GU57" s="178">
        <f t="shared" si="48"/>
        <v>173</v>
      </c>
      <c r="GV57" s="178">
        <f t="shared" si="48"/>
        <v>189</v>
      </c>
      <c r="GW57" s="178">
        <f t="shared" si="48"/>
        <v>180</v>
      </c>
      <c r="GX57" s="178">
        <f t="shared" si="48"/>
        <v>174</v>
      </c>
      <c r="GY57" s="178">
        <f t="shared" si="48"/>
        <v>180</v>
      </c>
      <c r="GZ57" s="178">
        <f t="shared" si="48"/>
        <v>175</v>
      </c>
      <c r="HA57" s="178">
        <f t="shared" si="48"/>
        <v>178</v>
      </c>
      <c r="HB57" s="178">
        <f t="shared" si="48"/>
        <v>181</v>
      </c>
      <c r="HC57" s="178">
        <f t="shared" si="48"/>
        <v>181</v>
      </c>
      <c r="HD57" s="178">
        <f t="shared" si="48"/>
        <v>168</v>
      </c>
      <c r="HE57" s="178">
        <f t="shared" si="48"/>
        <v>155</v>
      </c>
      <c r="HF57" s="178">
        <f t="shared" si="48"/>
        <v>152</v>
      </c>
      <c r="HG57" s="178">
        <f t="shared" si="48"/>
        <v>147</v>
      </c>
      <c r="HH57" s="178">
        <f t="shared" si="48"/>
        <v>151</v>
      </c>
      <c r="HI57" s="178">
        <f t="shared" si="48"/>
        <v>158</v>
      </c>
      <c r="HJ57" s="178">
        <f t="shared" si="48"/>
        <v>145</v>
      </c>
      <c r="HK57" s="178">
        <f t="shared" si="48"/>
        <v>158</v>
      </c>
      <c r="HL57" s="178">
        <f t="shared" si="48"/>
        <v>154</v>
      </c>
      <c r="HM57" s="178">
        <f t="shared" si="48"/>
        <v>156</v>
      </c>
      <c r="HN57" s="186">
        <v>67</v>
      </c>
      <c r="HO57" s="187">
        <v>1.8799102132435467E-2</v>
      </c>
      <c r="HP57" s="217">
        <v>5540</v>
      </c>
      <c r="HQ57" s="217">
        <v>5172</v>
      </c>
      <c r="HR57" s="217">
        <v>368</v>
      </c>
      <c r="HS57" s="1704">
        <v>6.6425992779783394E-2</v>
      </c>
    </row>
    <row r="58" spans="1:227" ht="13.8" customHeight="1" x14ac:dyDescent="0.25">
      <c r="A58" s="183" t="s">
        <v>654</v>
      </c>
      <c r="B58" s="183"/>
      <c r="C58" s="183" t="s">
        <v>164</v>
      </c>
      <c r="D58" s="183" t="s">
        <v>654</v>
      </c>
      <c r="E58" s="183" t="s">
        <v>102</v>
      </c>
      <c r="F58" s="183"/>
      <c r="G58" s="183" t="s">
        <v>164</v>
      </c>
      <c r="H58" s="183" t="s">
        <v>164</v>
      </c>
      <c r="I58" s="183" t="s">
        <v>164</v>
      </c>
      <c r="J58" s="183" t="s">
        <v>703</v>
      </c>
      <c r="K58" s="183" t="s">
        <v>102</v>
      </c>
      <c r="L58" s="184">
        <v>129460</v>
      </c>
      <c r="M58" s="184">
        <v>130505</v>
      </c>
      <c r="N58" s="184">
        <v>132060</v>
      </c>
      <c r="O58" s="184">
        <v>133975</v>
      </c>
      <c r="P58" s="184">
        <v>135735</v>
      </c>
      <c r="Q58" s="184">
        <v>137210</v>
      </c>
      <c r="R58" s="184">
        <v>138895</v>
      </c>
      <c r="S58" s="184">
        <v>140190</v>
      </c>
      <c r="T58" s="184">
        <v>141160</v>
      </c>
      <c r="U58" s="184">
        <v>142765</v>
      </c>
      <c r="V58" s="184">
        <v>7400</v>
      </c>
      <c r="W58" s="184">
        <v>7450</v>
      </c>
      <c r="X58" s="184">
        <v>7665</v>
      </c>
      <c r="Y58" s="184">
        <v>7985</v>
      </c>
      <c r="Z58" s="184">
        <v>8155</v>
      </c>
      <c r="AA58" s="184">
        <v>8140</v>
      </c>
      <c r="AB58" s="184">
        <v>8240</v>
      </c>
      <c r="AC58" s="184">
        <v>8325</v>
      </c>
      <c r="AD58" s="184">
        <v>8490</v>
      </c>
      <c r="AE58" s="184">
        <v>8560</v>
      </c>
      <c r="AF58" s="187">
        <v>0.87477531455961655</v>
      </c>
      <c r="AG58" s="187">
        <v>3.8945476333133611E-2</v>
      </c>
      <c r="AH58" s="187">
        <v>4.0143798681845415E-2</v>
      </c>
      <c r="AI58" s="187">
        <v>3.9544637507489516E-2</v>
      </c>
      <c r="AJ58" s="187">
        <v>5.3924505692031152E-3</v>
      </c>
      <c r="AK58" s="187">
        <v>5.9916117435590175E-4</v>
      </c>
      <c r="AL58" s="187">
        <v>0.12522468544038345</v>
      </c>
      <c r="AM58" s="184">
        <v>16498</v>
      </c>
      <c r="AN58" s="187">
        <v>0.71044975148502854</v>
      </c>
      <c r="AO58" s="187">
        <v>0.12456055279427809</v>
      </c>
      <c r="AP58" s="187">
        <v>0.16498969572069341</v>
      </c>
      <c r="AQ58" s="184">
        <f t="shared" ref="AQ58:AX58" si="49">AQ12+AQ13+AQ17+AQ18+AQ26+AQ35+AQ41+AQ42</f>
        <v>1463</v>
      </c>
      <c r="AR58" s="184">
        <f t="shared" si="49"/>
        <v>1513</v>
      </c>
      <c r="AS58" s="184">
        <f t="shared" si="49"/>
        <v>1518</v>
      </c>
      <c r="AT58" s="184">
        <f t="shared" si="49"/>
        <v>1502</v>
      </c>
      <c r="AU58" s="184">
        <f t="shared" si="49"/>
        <v>1486</v>
      </c>
      <c r="AV58" s="186">
        <f t="shared" si="49"/>
        <v>48</v>
      </c>
      <c r="AW58" s="186">
        <f t="shared" si="49"/>
        <v>48</v>
      </c>
      <c r="AX58" s="186">
        <f t="shared" si="49"/>
        <v>43</v>
      </c>
      <c r="AY58" s="186">
        <f>AY12+AY13+AY17+AY18+AY26+AY35+AY41+AY42</f>
        <v>28</v>
      </c>
      <c r="AZ58" s="186">
        <v>36</v>
      </c>
      <c r="BA58" s="186">
        <v>74</v>
      </c>
      <c r="BB58" s="187">
        <v>4.9798115746971738E-2</v>
      </c>
      <c r="BC58" s="187">
        <v>3.9852422821900144E-2</v>
      </c>
      <c r="BD58" s="187">
        <v>6.2065440935822419E-2</v>
      </c>
      <c r="BE58" s="193">
        <v>70</v>
      </c>
      <c r="BF58" s="184">
        <f>BF12+BF13+BF17+BF18+BF26+BF35+BF41+BF42</f>
        <v>2421</v>
      </c>
      <c r="BG58" s="184">
        <f>BG12+BG13+BG17+BG18+BG26+BG35+BG41+BG42</f>
        <v>2796</v>
      </c>
      <c r="BH58" s="184">
        <f>BH12+BH13+BH17+BH18+BH26+BH35+BH41+BH42</f>
        <v>1278</v>
      </c>
      <c r="BI58" s="184">
        <f t="shared" si="21"/>
        <v>7.5216290977576358E-2</v>
      </c>
      <c r="BJ58" s="184">
        <f t="shared" ref="BJ58:BT58" si="50">BJ12+BJ13+BJ17+BJ18+BJ26+BJ35+BJ41+BJ42</f>
        <v>16991</v>
      </c>
      <c r="BK58" s="184">
        <f t="shared" si="50"/>
        <v>30486</v>
      </c>
      <c r="BL58" s="186">
        <f t="shared" si="50"/>
        <v>17136</v>
      </c>
      <c r="BM58" s="186">
        <f t="shared" si="50"/>
        <v>11373</v>
      </c>
      <c r="BN58" s="186">
        <f t="shared" si="50"/>
        <v>9</v>
      </c>
      <c r="BO58" s="186">
        <f t="shared" si="50"/>
        <v>2041</v>
      </c>
      <c r="BP58" s="186">
        <f t="shared" si="50"/>
        <v>2699</v>
      </c>
      <c r="BQ58" s="186">
        <f t="shared" si="50"/>
        <v>1014</v>
      </c>
      <c r="BR58" s="193">
        <f t="shared" si="50"/>
        <v>530</v>
      </c>
      <c r="BS58" s="193">
        <f t="shared" si="50"/>
        <v>540</v>
      </c>
      <c r="BT58" s="193">
        <f t="shared" si="50"/>
        <v>445</v>
      </c>
      <c r="BU58" s="186">
        <v>2645</v>
      </c>
      <c r="BV58" s="186">
        <v>656</v>
      </c>
      <c r="BW58" s="222">
        <v>0.24801512287334593</v>
      </c>
      <c r="BX58" s="186">
        <v>222</v>
      </c>
      <c r="BY58" s="237" t="s">
        <v>164</v>
      </c>
      <c r="BZ58" s="1676">
        <v>1360</v>
      </c>
      <c r="CA58" s="222">
        <v>2.3689665383476458E-2</v>
      </c>
      <c r="CB58" s="200">
        <f>CB12+CB13+CB17+CB18+CB26+CB35+CB41+CB42</f>
        <v>740</v>
      </c>
      <c r="CC58" s="200">
        <f>CC12+CC13+CC17+CC18+CC26+CC35+CC41+CC42</f>
        <v>770</v>
      </c>
      <c r="CD58" s="200">
        <v>785</v>
      </c>
      <c r="CE58" s="200">
        <f>CE12+CE13+CE17+CE18+CE26+CE35+CE41+CE42</f>
        <v>691</v>
      </c>
      <c r="CF58" s="184">
        <v>2145</v>
      </c>
      <c r="CG58" s="187">
        <v>8.6999999999999994E-2</v>
      </c>
      <c r="CH58" s="184">
        <v>2025</v>
      </c>
      <c r="CI58" s="187">
        <v>8.2000000000000003E-2</v>
      </c>
      <c r="CJ58" s="184">
        <v>2235</v>
      </c>
      <c r="CK58" s="187">
        <v>8.8999999999999996E-2</v>
      </c>
      <c r="CL58" s="184">
        <v>2140</v>
      </c>
      <c r="CM58" s="187">
        <v>8.5000000000000006E-2</v>
      </c>
      <c r="CN58" s="184">
        <v>2130</v>
      </c>
      <c r="CO58" s="187">
        <v>8.4000000000000005E-2</v>
      </c>
      <c r="CP58" s="184">
        <v>1955</v>
      </c>
      <c r="CQ58" s="187">
        <v>7.6999999999999999E-2</v>
      </c>
      <c r="CR58" s="184">
        <f>CR12+CR13+CR17+CR18+CR26+CR35+CR41+CR42</f>
        <v>1479</v>
      </c>
      <c r="CS58" s="184">
        <f>CS12+CS13+CS17+CS18+CS26+CS35+CS41+CS42</f>
        <v>37</v>
      </c>
      <c r="CT58" s="184">
        <f>CT12+CT13+CT17+CT18+CT26+CT35+CT41+CT42</f>
        <v>1442</v>
      </c>
      <c r="CU58" s="187">
        <f t="shared" si="23"/>
        <v>0.9749830966869506</v>
      </c>
      <c r="CV58" s="186">
        <f>CV12+CV13+CV17+CV18+CV26+CV35+CV41+CV42</f>
        <v>703</v>
      </c>
      <c r="CW58" s="186">
        <f>CW12+CW13+CW17+CW18+CW26+CW35+CW41+CW42</f>
        <v>902</v>
      </c>
      <c r="CX58" s="187">
        <v>0.48751733703190014</v>
      </c>
      <c r="CY58" s="187">
        <v>0.62552011095700422</v>
      </c>
      <c r="CZ58" s="187">
        <v>0.46178594193552791</v>
      </c>
      <c r="DA58" s="187">
        <v>0.51331506254848824</v>
      </c>
      <c r="DB58" s="187">
        <v>0.60023713947888135</v>
      </c>
      <c r="DC58" s="187">
        <v>0.65013609320962285</v>
      </c>
      <c r="DD58" s="200">
        <f>DD12+DD13+DD17+DD18+DD26+DD35+DD41+DD42</f>
        <v>1206</v>
      </c>
      <c r="DE58" s="200">
        <f>DE12+DE13+DE17+DE18+DE26+DE35+DE41+DE42</f>
        <v>69</v>
      </c>
      <c r="DF58" s="143">
        <v>5.721393034825871E-2</v>
      </c>
      <c r="DG58" s="143">
        <v>4.5457515173171009E-2</v>
      </c>
      <c r="DH58" s="143">
        <v>7.1782192382359139E-2</v>
      </c>
      <c r="DI58" s="178" t="str">
        <f t="shared" si="12"/>
        <v>Sig better than Eng.</v>
      </c>
      <c r="DJ58" s="200">
        <f>DJ12+DJ13+DJ17+DJ18+DJ26+DJ35+DJ41+DJ42</f>
        <v>1330</v>
      </c>
      <c r="DK58" s="200">
        <f>DK12+DK13+DK17+DK18+DK26+DK35+DK41+DK42</f>
        <v>79</v>
      </c>
      <c r="DL58" s="143">
        <v>5.9398496240601506E-2</v>
      </c>
      <c r="DM58" s="143">
        <v>4.7919231091123504E-2</v>
      </c>
      <c r="DN58" s="143">
        <v>7.341562302548571E-2</v>
      </c>
      <c r="DO58" s="178" t="str">
        <f t="shared" si="13"/>
        <v>Sig better than Eng.</v>
      </c>
      <c r="DP58" s="183">
        <f>DP12+DP13+DP17+DP18+DP26+DP35+DP41+DP42</f>
        <v>1348</v>
      </c>
      <c r="DQ58" s="183">
        <f>DQ12+DQ13+DQ17+DQ18+DQ26+DQ35+DQ41+DQ42</f>
        <v>69</v>
      </c>
      <c r="DR58" s="143">
        <v>5.118694362017804E-2</v>
      </c>
      <c r="DS58" s="143">
        <v>4.0645524866629167E-2</v>
      </c>
      <c r="DT58" s="143">
        <v>6.4279100647099616E-2</v>
      </c>
      <c r="DU58" s="178" t="str">
        <f t="shared" si="7"/>
        <v>Sig better than Eng.</v>
      </c>
      <c r="DV58" s="183">
        <f>DV12+DV13+DV17+DV18+DV26+DV35+DV41+DV42</f>
        <v>1303</v>
      </c>
      <c r="DW58" s="183">
        <f>DW12+DW13+DW17+DW18+DW26+DW35+DW41+DW42</f>
        <v>90</v>
      </c>
      <c r="DX58" s="179">
        <v>6.9071373752877974E-2</v>
      </c>
      <c r="DY58" s="179">
        <v>5.653171765493481E-2</v>
      </c>
      <c r="DZ58" s="179">
        <v>8.4144458158001506E-2</v>
      </c>
      <c r="EA58" s="178" t="str">
        <f t="shared" si="14"/>
        <v>Sig better than Eng.</v>
      </c>
      <c r="EB58" s="183">
        <f>EB12+EB13+EB17+EB18+EB26+EB35+EB41+EB42</f>
        <v>1204</v>
      </c>
      <c r="EC58" s="183">
        <f>EC12+EC13+EC17+EC18+EC26+EC35+EC41+EC42</f>
        <v>172</v>
      </c>
      <c r="ED58" s="143">
        <v>0.14285714285714285</v>
      </c>
      <c r="EE58" s="143">
        <v>0.1242260956758479</v>
      </c>
      <c r="EF58" s="143">
        <v>0.16375992788747454</v>
      </c>
      <c r="EG58" s="178" t="str">
        <f t="shared" si="15"/>
        <v>Sig better than Eng.</v>
      </c>
      <c r="EH58" s="183">
        <f>EH12+EH13+EH17+EH18+EH26+EH35+EH41+EH42</f>
        <v>1143</v>
      </c>
      <c r="EI58" s="183">
        <f>EI12+EI13+EI17+EI18+EI26+EI35+EI41+EI42</f>
        <v>142</v>
      </c>
      <c r="EJ58" s="143">
        <v>0.1242344706911636</v>
      </c>
      <c r="EK58" s="143">
        <v>0.10636144655299956</v>
      </c>
      <c r="EL58" s="143">
        <v>0.14462482239186727</v>
      </c>
      <c r="EM58" s="178" t="str">
        <f t="shared" si="8"/>
        <v>Sig better than Eng.</v>
      </c>
      <c r="EN58" s="183">
        <f>EN12+EN13+EN17+EN18+EN26+EN35+EN41+EN42</f>
        <v>1187</v>
      </c>
      <c r="EO58" s="183">
        <f>EO12+EO13+EO17+EO18+EO26+EO35+EO41+EO42</f>
        <v>158</v>
      </c>
      <c r="EP58" s="197">
        <v>0.13310867733782644</v>
      </c>
      <c r="EQ58" s="179">
        <v>0.11496263618686223</v>
      </c>
      <c r="ER58" s="179">
        <v>0.15362178069885599</v>
      </c>
      <c r="ES58" s="178" t="str">
        <f t="shared" si="9"/>
        <v>Sig better than Eng.</v>
      </c>
      <c r="ET58" s="183">
        <f>ET12+ET13+ET17+ET18+ET26+ET35+ET41+ET42</f>
        <v>1154</v>
      </c>
      <c r="EU58" s="183">
        <f>EU12+EU13+EU17+EU18+EU26+EU35+EU41+EU42</f>
        <v>133</v>
      </c>
      <c r="EV58" s="179">
        <v>0.11525129982668977</v>
      </c>
      <c r="EW58" s="179">
        <v>9.8090404106502271E-2</v>
      </c>
      <c r="EX58" s="179">
        <v>0.13496521569790343</v>
      </c>
      <c r="EY58" s="178" t="str">
        <f t="shared" si="10"/>
        <v>Sig better than Eng.</v>
      </c>
      <c r="EZ58" s="207">
        <v>1637</v>
      </c>
      <c r="FA58" s="186">
        <v>947</v>
      </c>
      <c r="FB58" s="187">
        <v>0.57849725106902872</v>
      </c>
      <c r="FC58" s="187">
        <v>0.55442004800520173</v>
      </c>
      <c r="FD58" s="187">
        <v>0.60220690618250572</v>
      </c>
      <c r="FE58" s="208">
        <v>1637</v>
      </c>
      <c r="FF58" s="209">
        <v>34</v>
      </c>
      <c r="FG58" s="208">
        <v>327</v>
      </c>
      <c r="FH58" s="209">
        <v>25.431192660550472</v>
      </c>
      <c r="FI58" s="187">
        <v>0.25202374527792726</v>
      </c>
      <c r="FJ58" s="186">
        <v>1614</v>
      </c>
      <c r="FK58" s="186">
        <v>1025</v>
      </c>
      <c r="FL58" s="187">
        <v>0.63506815365551428</v>
      </c>
      <c r="FM58" s="187">
        <v>0.61128697123654441</v>
      </c>
      <c r="FN58" s="187">
        <v>0.65820791506573717</v>
      </c>
      <c r="FO58" s="198">
        <v>1614</v>
      </c>
      <c r="FP58" s="199">
        <v>34</v>
      </c>
      <c r="FQ58" s="198">
        <v>320</v>
      </c>
      <c r="FR58" s="199">
        <v>26.740624999999991</v>
      </c>
      <c r="FS58" s="210">
        <v>0.21351102941176497</v>
      </c>
      <c r="FT58" s="200">
        <f>FT12+FT13+FT17+FT18+FT26+FT35+FT41+FT42</f>
        <v>22188</v>
      </c>
      <c r="FU58" s="200">
        <f>FU12+FU13+FU17+FU18+FU26+FU35+FU41+FU42</f>
        <v>21777</v>
      </c>
      <c r="FV58" s="200">
        <f>FV12+FV13+FV17+FV18+FV26+FV35+FV41+FV42</f>
        <v>411</v>
      </c>
      <c r="FW58" s="200">
        <f>FW12+FW13+FW17+FW18+FW26+FW35+FW41+FW42</f>
        <v>362</v>
      </c>
      <c r="FX58" s="200">
        <f>FX12+FX13+FX17+FX18+FX26+FX35+FX41+FX42</f>
        <v>49</v>
      </c>
      <c r="FY58" s="187">
        <f t="shared" si="17"/>
        <v>0.88077858880778592</v>
      </c>
      <c r="FZ58" s="187">
        <f t="shared" si="18"/>
        <v>0.11922141119221411</v>
      </c>
      <c r="GA58" s="197"/>
      <c r="GB58" s="197"/>
      <c r="GC58" s="197"/>
      <c r="GD58" s="197"/>
      <c r="GE58" s="197"/>
      <c r="GF58" s="197"/>
      <c r="GG58" s="197"/>
      <c r="GH58" s="197"/>
      <c r="GI58" s="197"/>
      <c r="GJ58" s="197"/>
      <c r="GK58" s="197"/>
      <c r="GL58" s="197"/>
      <c r="GM58" s="197"/>
      <c r="GN58" s="197"/>
      <c r="GO58" s="197"/>
      <c r="GP58" s="197"/>
      <c r="GQ58" s="186">
        <f t="shared" ref="GQ58:HM58" si="51">GQ12+GQ13+GQ17+GQ18+GQ26+GQ35+GQ41+GQ42</f>
        <v>397</v>
      </c>
      <c r="GR58" s="186">
        <f t="shared" si="51"/>
        <v>380</v>
      </c>
      <c r="GS58" s="178">
        <f t="shared" si="51"/>
        <v>381</v>
      </c>
      <c r="GT58" s="178">
        <f t="shared" si="51"/>
        <v>383</v>
      </c>
      <c r="GU58" s="178">
        <f t="shared" si="51"/>
        <v>381</v>
      </c>
      <c r="GV58" s="178">
        <f t="shared" si="51"/>
        <v>441</v>
      </c>
      <c r="GW58" s="178">
        <f t="shared" si="51"/>
        <v>409</v>
      </c>
      <c r="GX58" s="178">
        <f t="shared" si="51"/>
        <v>410</v>
      </c>
      <c r="GY58" s="178">
        <f t="shared" si="51"/>
        <v>403</v>
      </c>
      <c r="GZ58" s="178">
        <f t="shared" si="51"/>
        <v>413</v>
      </c>
      <c r="HA58" s="178">
        <f t="shared" si="51"/>
        <v>421</v>
      </c>
      <c r="HB58" s="178">
        <f t="shared" si="51"/>
        <v>411</v>
      </c>
      <c r="HC58" s="178">
        <f t="shared" si="51"/>
        <v>422</v>
      </c>
      <c r="HD58" s="178">
        <f t="shared" si="51"/>
        <v>492</v>
      </c>
      <c r="HE58" s="178">
        <f t="shared" si="51"/>
        <v>456</v>
      </c>
      <c r="HF58" s="178">
        <f t="shared" si="51"/>
        <v>453</v>
      </c>
      <c r="HG58" s="178">
        <f t="shared" si="51"/>
        <v>440</v>
      </c>
      <c r="HH58" s="178">
        <f t="shared" si="51"/>
        <v>455</v>
      </c>
      <c r="HI58" s="178">
        <f t="shared" si="51"/>
        <v>457</v>
      </c>
      <c r="HJ58" s="178">
        <f t="shared" si="51"/>
        <v>430</v>
      </c>
      <c r="HK58" s="178">
        <f t="shared" si="51"/>
        <v>463</v>
      </c>
      <c r="HL58" s="178">
        <f t="shared" si="51"/>
        <v>453</v>
      </c>
      <c r="HM58" s="178">
        <f t="shared" si="51"/>
        <v>460</v>
      </c>
      <c r="HN58" s="186">
        <v>140</v>
      </c>
      <c r="HO58" s="187">
        <v>1.6794625719769675E-2</v>
      </c>
      <c r="HP58" s="217">
        <v>13214</v>
      </c>
      <c r="HQ58" s="217">
        <v>12411</v>
      </c>
      <c r="HR58" s="217">
        <v>803</v>
      </c>
      <c r="HS58" s="1704">
        <v>6.0768881489329497E-2</v>
      </c>
    </row>
    <row r="59" spans="1:227" ht="13.8" customHeight="1" x14ac:dyDescent="0.25">
      <c r="A59" s="183" t="s">
        <v>655</v>
      </c>
      <c r="B59" s="183"/>
      <c r="C59" s="183" t="s">
        <v>164</v>
      </c>
      <c r="D59" s="183" t="s">
        <v>655</v>
      </c>
      <c r="E59" s="183" t="s">
        <v>37</v>
      </c>
      <c r="F59" s="183"/>
      <c r="G59" s="183" t="s">
        <v>164</v>
      </c>
      <c r="H59" s="183" t="s">
        <v>164</v>
      </c>
      <c r="I59" s="183" t="s">
        <v>164</v>
      </c>
      <c r="J59" s="183" t="s">
        <v>704</v>
      </c>
      <c r="K59" s="183" t="s">
        <v>708</v>
      </c>
      <c r="L59" s="184">
        <v>106385</v>
      </c>
      <c r="M59" s="184">
        <v>106970</v>
      </c>
      <c r="N59" s="184">
        <v>107615</v>
      </c>
      <c r="O59" s="184">
        <v>108555</v>
      </c>
      <c r="P59" s="184">
        <v>109370</v>
      </c>
      <c r="Q59" s="184">
        <v>109795</v>
      </c>
      <c r="R59" s="184">
        <v>110865</v>
      </c>
      <c r="S59" s="184">
        <v>112025</v>
      </c>
      <c r="T59" s="184">
        <v>112725</v>
      </c>
      <c r="U59" s="184">
        <v>113170</v>
      </c>
      <c r="V59" s="184">
        <v>5555</v>
      </c>
      <c r="W59" s="184">
        <v>5620</v>
      </c>
      <c r="X59" s="184">
        <v>5730</v>
      </c>
      <c r="Y59" s="184">
        <v>5915</v>
      </c>
      <c r="Z59" s="184">
        <v>6175</v>
      </c>
      <c r="AA59" s="184">
        <v>6205</v>
      </c>
      <c r="AB59" s="184">
        <v>6365</v>
      </c>
      <c r="AC59" s="184">
        <v>6570</v>
      </c>
      <c r="AD59" s="184">
        <v>6540</v>
      </c>
      <c r="AE59" s="184">
        <v>6395</v>
      </c>
      <c r="AF59" s="187">
        <v>0.84790874524714832</v>
      </c>
      <c r="AG59" s="187">
        <v>3.2699619771863121E-2</v>
      </c>
      <c r="AH59" s="187">
        <v>6.2357414448669199E-2</v>
      </c>
      <c r="AI59" s="187">
        <v>4.4106463878326993E-2</v>
      </c>
      <c r="AJ59" s="187">
        <v>7.6045627376425855E-3</v>
      </c>
      <c r="AK59" s="187">
        <v>3.8022813688212928E-3</v>
      </c>
      <c r="AL59" s="187">
        <v>0.15133079847908745</v>
      </c>
      <c r="AM59" s="184">
        <v>12349</v>
      </c>
      <c r="AN59" s="187">
        <v>0.63632682808324559</v>
      </c>
      <c r="AO59" s="187">
        <v>0.12438254109644506</v>
      </c>
      <c r="AP59" s="187">
        <v>0.23929063082030932</v>
      </c>
      <c r="AQ59" s="184">
        <f t="shared" ref="AQ59:AX59" si="52">AQ10+AQ15+AQ16+AQ25+AQ45+AQ47</f>
        <v>1223</v>
      </c>
      <c r="AR59" s="184">
        <f t="shared" si="52"/>
        <v>1179</v>
      </c>
      <c r="AS59" s="184">
        <f t="shared" si="52"/>
        <v>1292</v>
      </c>
      <c r="AT59" s="184">
        <f t="shared" si="52"/>
        <v>1197</v>
      </c>
      <c r="AU59" s="184">
        <f t="shared" si="52"/>
        <v>1141</v>
      </c>
      <c r="AV59" s="186">
        <f t="shared" si="52"/>
        <v>67</v>
      </c>
      <c r="AW59" s="186">
        <f t="shared" si="52"/>
        <v>65</v>
      </c>
      <c r="AX59" s="186">
        <f t="shared" si="52"/>
        <v>52</v>
      </c>
      <c r="AY59" s="186">
        <f>AY10+AY15+AY16+AY25+AY45+AY47</f>
        <v>53</v>
      </c>
      <c r="AZ59" s="186">
        <v>46</v>
      </c>
      <c r="BA59" s="186">
        <v>70</v>
      </c>
      <c r="BB59" s="187">
        <v>6.1349693251533742E-2</v>
      </c>
      <c r="BC59" s="187">
        <v>4.8843255749594285E-2</v>
      </c>
      <c r="BD59" s="187">
        <v>7.6799869516733704E-2</v>
      </c>
      <c r="BE59" s="193">
        <v>99</v>
      </c>
      <c r="BF59" s="184">
        <f>BF10+BF15+BF16+BF25+BF45+BF47</f>
        <v>2106</v>
      </c>
      <c r="BG59" s="184">
        <f>BG10+BG15+BG16+BG25+BG45+BG47</f>
        <v>2016</v>
      </c>
      <c r="BH59" s="184">
        <f>BH10+BH15+BH16+BH25+BH45+BH47</f>
        <v>959</v>
      </c>
      <c r="BI59" s="184">
        <f t="shared" si="21"/>
        <v>7.5954379851100901E-2</v>
      </c>
      <c r="BJ59" s="184">
        <f t="shared" ref="BJ59:BT59" si="53">BJ10+BJ15+BJ16+BJ25+BJ45+BJ47</f>
        <v>12626</v>
      </c>
      <c r="BK59" s="184">
        <f t="shared" si="53"/>
        <v>22122</v>
      </c>
      <c r="BL59" s="186">
        <f t="shared" si="53"/>
        <v>12498</v>
      </c>
      <c r="BM59" s="186">
        <f t="shared" si="53"/>
        <v>7090</v>
      </c>
      <c r="BN59" s="186">
        <f t="shared" si="53"/>
        <v>8</v>
      </c>
      <c r="BO59" s="186">
        <f t="shared" si="53"/>
        <v>1731</v>
      </c>
      <c r="BP59" s="186">
        <f t="shared" si="53"/>
        <v>2743</v>
      </c>
      <c r="BQ59" s="186">
        <f t="shared" si="53"/>
        <v>926</v>
      </c>
      <c r="BR59" s="193">
        <f t="shared" si="53"/>
        <v>850</v>
      </c>
      <c r="BS59" s="193">
        <f t="shared" si="53"/>
        <v>780</v>
      </c>
      <c r="BT59" s="193">
        <f t="shared" si="53"/>
        <v>585</v>
      </c>
      <c r="BU59" s="186">
        <v>2898</v>
      </c>
      <c r="BV59" s="186">
        <v>1015</v>
      </c>
      <c r="BW59" s="222">
        <v>0.35024154589371981</v>
      </c>
      <c r="BX59" s="186">
        <v>295</v>
      </c>
      <c r="BY59" s="237" t="s">
        <v>164</v>
      </c>
      <c r="BZ59" s="1676">
        <v>2423</v>
      </c>
      <c r="CA59" s="222">
        <v>4.8062046256992105E-2</v>
      </c>
      <c r="CB59" s="200">
        <f>CB10+CB15+CB16+CB25+CB45+CB47</f>
        <v>1110</v>
      </c>
      <c r="CC59" s="200">
        <f>CC10+CC15+CC16+CC25+CC45+CC47</f>
        <v>1095</v>
      </c>
      <c r="CD59" s="200">
        <v>1100</v>
      </c>
      <c r="CE59" s="200">
        <f>CE10+CE15+CE16+CE25+CE45+CE47</f>
        <v>985</v>
      </c>
      <c r="CF59" s="184">
        <v>2775</v>
      </c>
      <c r="CG59" s="187">
        <v>0.157</v>
      </c>
      <c r="CH59" s="184">
        <v>2635</v>
      </c>
      <c r="CI59" s="187">
        <v>0.14799999999999999</v>
      </c>
      <c r="CJ59" s="184">
        <v>2915</v>
      </c>
      <c r="CK59" s="187">
        <v>0.161</v>
      </c>
      <c r="CL59" s="184">
        <v>2865</v>
      </c>
      <c r="CM59" s="187">
        <v>0.157</v>
      </c>
      <c r="CN59" s="184">
        <v>2740</v>
      </c>
      <c r="CO59" s="187">
        <v>0.152</v>
      </c>
      <c r="CP59" s="184">
        <v>2460</v>
      </c>
      <c r="CQ59" s="187">
        <v>0.13300000000000001</v>
      </c>
      <c r="CR59" s="184">
        <f>CR10+CR15+CR16+CR25+CR45+CR47</f>
        <v>1193</v>
      </c>
      <c r="CS59" s="184">
        <f>CS10+CS15+CS16+CS25+CS45+CS47</f>
        <v>54</v>
      </c>
      <c r="CT59" s="184">
        <f>CT10+CT15+CT16+CT25+CT45+CT47</f>
        <v>1139</v>
      </c>
      <c r="CU59" s="187">
        <f t="shared" si="23"/>
        <v>0.95473595976529757</v>
      </c>
      <c r="CV59" s="186">
        <f>CV10+CV15+CV16+CV25+CV45+CV47</f>
        <v>471</v>
      </c>
      <c r="CW59" s="186">
        <f>CW10+CW15+CW16+CW25+CW45+CW47</f>
        <v>617</v>
      </c>
      <c r="CX59" s="187">
        <v>0.41352063213345042</v>
      </c>
      <c r="CY59" s="187">
        <v>0.54170324846356455</v>
      </c>
      <c r="CZ59" s="187">
        <v>0.3852582632790188</v>
      </c>
      <c r="DA59" s="187">
        <v>0.44236437109470655</v>
      </c>
      <c r="DB59" s="187">
        <v>0.51267528026756404</v>
      </c>
      <c r="DC59" s="187">
        <v>0.57045086051668015</v>
      </c>
      <c r="DD59" s="200">
        <f>DD10+DD15+DD16+DD25+DD45+DD47</f>
        <v>829</v>
      </c>
      <c r="DE59" s="200">
        <f>DE10+DE15+DE16+DE25+DE45+DE47</f>
        <v>68</v>
      </c>
      <c r="DF59" s="143">
        <v>8.2026537997587454E-2</v>
      </c>
      <c r="DG59" s="143">
        <v>6.5218698302625541E-2</v>
      </c>
      <c r="DH59" s="143">
        <v>0.10269016038785084</v>
      </c>
      <c r="DI59" s="178" t="str">
        <f t="shared" si="12"/>
        <v>No Sig diff</v>
      </c>
      <c r="DJ59" s="200">
        <f>DJ10+DJ15+DJ16+DJ25+DJ45+DJ47</f>
        <v>1066</v>
      </c>
      <c r="DK59" s="200">
        <f>DK10+DK15+DK16+DK25+DK45+DK47</f>
        <v>86</v>
      </c>
      <c r="DL59" s="143">
        <v>8.0675422138836772E-2</v>
      </c>
      <c r="DM59" s="143">
        <v>6.5792774479139837E-2</v>
      </c>
      <c r="DN59" s="143">
        <v>9.856939093416113E-2</v>
      </c>
      <c r="DO59" s="178" t="str">
        <f t="shared" si="13"/>
        <v>No Sig diff</v>
      </c>
      <c r="DP59" s="183">
        <f>DP10+DP15+DP16+DP25+DP45+DP47</f>
        <v>1024</v>
      </c>
      <c r="DQ59" s="183">
        <f>DQ10+DQ15+DQ16+DQ25+DQ45+DQ47</f>
        <v>76</v>
      </c>
      <c r="DR59" s="143">
        <v>7.421875E-2</v>
      </c>
      <c r="DS59" s="143">
        <v>5.9706323437482188E-2</v>
      </c>
      <c r="DT59" s="143">
        <v>9.1913809690345377E-2</v>
      </c>
      <c r="DU59" s="178" t="str">
        <f t="shared" si="7"/>
        <v>Sig better than Eng.</v>
      </c>
      <c r="DV59" s="183">
        <f>DV10+DV15+DV16+DV25+DV45+DV47</f>
        <v>1216</v>
      </c>
      <c r="DW59" s="183">
        <f>DW10+DW15+DW16+DW25+DW45+DW47</f>
        <v>109</v>
      </c>
      <c r="DX59" s="179">
        <v>8.9638157894736836E-2</v>
      </c>
      <c r="DY59" s="179">
        <v>7.484783954991038E-2</v>
      </c>
      <c r="DZ59" s="179">
        <v>0.10701305492662574</v>
      </c>
      <c r="EA59" s="178" t="str">
        <f t="shared" si="14"/>
        <v>No Sig diff</v>
      </c>
      <c r="EB59" s="183">
        <f>EB10+EB15+EB16+EB25+EB45+EB47</f>
        <v>936</v>
      </c>
      <c r="EC59" s="183">
        <f>EC10+EC15+EC16+EC25+EC45+EC47</f>
        <v>136</v>
      </c>
      <c r="ED59" s="143">
        <v>0.14529914529914531</v>
      </c>
      <c r="EE59" s="143">
        <v>0.12417242623970695</v>
      </c>
      <c r="EF59" s="143">
        <v>0.16932543580057574</v>
      </c>
      <c r="EG59" s="178" t="str">
        <f t="shared" si="15"/>
        <v>Sig better than Eng.</v>
      </c>
      <c r="EH59" s="183">
        <f>EH10+EH15+EH16+EH25+EH45+EH47</f>
        <v>957</v>
      </c>
      <c r="EI59" s="183">
        <f>EI10+EI15+EI16+EI25+EI45+EI47</f>
        <v>155</v>
      </c>
      <c r="EJ59" s="143">
        <v>0.16196447230929989</v>
      </c>
      <c r="EK59" s="143">
        <v>0.13998174091720603</v>
      </c>
      <c r="EL59" s="143">
        <v>0.18665014610179606</v>
      </c>
      <c r="EM59" s="178" t="str">
        <f t="shared" si="8"/>
        <v>Sig better than Eng.</v>
      </c>
      <c r="EN59" s="183">
        <f>EN10+EN15+EN16+EN25+EN45+EN47</f>
        <v>920</v>
      </c>
      <c r="EO59" s="183">
        <f>EO10+EO15+EO16+EO25+EO45+EO47</f>
        <v>136</v>
      </c>
      <c r="EP59" s="197">
        <v>0.14782608695652175</v>
      </c>
      <c r="EQ59" s="179">
        <v>0.12635666559262351</v>
      </c>
      <c r="ER59" s="179">
        <v>0.1722242826718248</v>
      </c>
      <c r="ES59" s="178" t="str">
        <f t="shared" si="9"/>
        <v>Sig better than Eng.</v>
      </c>
      <c r="ET59" s="183">
        <f>ET10+ET15+ET16+ET25+ET45+ET47</f>
        <v>913</v>
      </c>
      <c r="EU59" s="183">
        <f>EU10+EU15+EU16+EU25+EU45+EU47</f>
        <v>142</v>
      </c>
      <c r="EV59" s="179">
        <v>0.15553121577217963</v>
      </c>
      <c r="EW59" s="179">
        <v>0.13347157187867184</v>
      </c>
      <c r="EX59" s="179">
        <v>0.18047742775637524</v>
      </c>
      <c r="EY59" s="178" t="str">
        <f t="shared" si="10"/>
        <v>Sig better than Eng.</v>
      </c>
      <c r="EZ59" s="207">
        <v>1347</v>
      </c>
      <c r="FA59" s="186">
        <v>734</v>
      </c>
      <c r="FB59" s="187">
        <v>0.54491462509279887</v>
      </c>
      <c r="FC59" s="187">
        <v>0.51823096411520353</v>
      </c>
      <c r="FD59" s="187">
        <v>0.57134283391260865</v>
      </c>
      <c r="FE59" s="208">
        <v>1347</v>
      </c>
      <c r="FF59" s="209">
        <v>34</v>
      </c>
      <c r="FG59" s="208">
        <v>269</v>
      </c>
      <c r="FH59" s="209">
        <v>25.000000000000004</v>
      </c>
      <c r="FI59" s="187">
        <v>0.26470588235294107</v>
      </c>
      <c r="FJ59" s="186">
        <v>1275</v>
      </c>
      <c r="FK59" s="186">
        <v>778</v>
      </c>
      <c r="FL59" s="187">
        <v>0.61019607843137258</v>
      </c>
      <c r="FM59" s="187">
        <v>0.58313310248936623</v>
      </c>
      <c r="FN59" s="187">
        <v>0.63659702751371405</v>
      </c>
      <c r="FO59" s="198">
        <v>1275</v>
      </c>
      <c r="FP59" s="199">
        <v>34</v>
      </c>
      <c r="FQ59" s="198">
        <v>252</v>
      </c>
      <c r="FR59" s="199">
        <v>25.519841269841287</v>
      </c>
      <c r="FS59" s="210">
        <v>0.24941643323996215</v>
      </c>
      <c r="FT59" s="200">
        <f>FT10+FT15+FT16+FT25+FT45+FT47</f>
        <v>15545</v>
      </c>
      <c r="FU59" s="200">
        <f>FU10+FU15+FU16+FU25+FU45+FU47</f>
        <v>15138</v>
      </c>
      <c r="FV59" s="200">
        <f>FV10+FV15+FV16+FV25+FV45+FV47</f>
        <v>407</v>
      </c>
      <c r="FW59" s="200">
        <f>FW10+FW15+FW16+FW25+FW45+FW47</f>
        <v>335</v>
      </c>
      <c r="FX59" s="200">
        <f>FX10+FX15+FX16+FX25+FX45+FX47</f>
        <v>72</v>
      </c>
      <c r="FY59" s="187">
        <f t="shared" si="17"/>
        <v>0.82309582309582308</v>
      </c>
      <c r="FZ59" s="187">
        <f t="shared" si="18"/>
        <v>0.1769041769041769</v>
      </c>
      <c r="GA59" s="197"/>
      <c r="GB59" s="197"/>
      <c r="GC59" s="197"/>
      <c r="GD59" s="197"/>
      <c r="GE59" s="197"/>
      <c r="GF59" s="197"/>
      <c r="GG59" s="197"/>
      <c r="GH59" s="197"/>
      <c r="GI59" s="197"/>
      <c r="GJ59" s="197"/>
      <c r="GK59" s="197"/>
      <c r="GL59" s="197"/>
      <c r="GM59" s="197"/>
      <c r="GN59" s="197"/>
      <c r="GO59" s="197"/>
      <c r="GP59" s="197"/>
      <c r="GQ59" s="186">
        <f t="shared" ref="GQ59:HM59" si="54">GQ10+GQ15+GQ16+GQ25+GQ45+GQ47</f>
        <v>281</v>
      </c>
      <c r="GR59" s="186">
        <f t="shared" si="54"/>
        <v>273</v>
      </c>
      <c r="GS59" s="178">
        <f t="shared" si="54"/>
        <v>271</v>
      </c>
      <c r="GT59" s="178">
        <f t="shared" si="54"/>
        <v>279</v>
      </c>
      <c r="GU59" s="178">
        <f t="shared" si="54"/>
        <v>275</v>
      </c>
      <c r="GV59" s="178">
        <f t="shared" si="54"/>
        <v>336</v>
      </c>
      <c r="GW59" s="178">
        <f t="shared" si="54"/>
        <v>320</v>
      </c>
      <c r="GX59" s="178">
        <f t="shared" si="54"/>
        <v>323</v>
      </c>
      <c r="GY59" s="178">
        <f t="shared" si="54"/>
        <v>318</v>
      </c>
      <c r="GZ59" s="178">
        <f t="shared" si="54"/>
        <v>324</v>
      </c>
      <c r="HA59" s="178">
        <f t="shared" si="54"/>
        <v>328</v>
      </c>
      <c r="HB59" s="178">
        <f t="shared" si="54"/>
        <v>317</v>
      </c>
      <c r="HC59" s="178">
        <f t="shared" si="54"/>
        <v>327</v>
      </c>
      <c r="HD59" s="178">
        <f t="shared" si="54"/>
        <v>360</v>
      </c>
      <c r="HE59" s="178">
        <f t="shared" si="54"/>
        <v>337</v>
      </c>
      <c r="HF59" s="178">
        <f t="shared" si="54"/>
        <v>325</v>
      </c>
      <c r="HG59" s="178">
        <f t="shared" si="54"/>
        <v>317</v>
      </c>
      <c r="HH59" s="178">
        <f t="shared" si="54"/>
        <v>330</v>
      </c>
      <c r="HI59" s="178">
        <f t="shared" si="54"/>
        <v>337</v>
      </c>
      <c r="HJ59" s="178">
        <f t="shared" si="54"/>
        <v>326</v>
      </c>
      <c r="HK59" s="178">
        <f t="shared" si="54"/>
        <v>342</v>
      </c>
      <c r="HL59" s="178">
        <f t="shared" si="54"/>
        <v>331</v>
      </c>
      <c r="HM59" s="178">
        <f t="shared" si="54"/>
        <v>340</v>
      </c>
      <c r="HN59" s="186">
        <v>120</v>
      </c>
      <c r="HO59" s="187">
        <v>1.827875095201828E-2</v>
      </c>
      <c r="HP59" s="217">
        <v>10048</v>
      </c>
      <c r="HQ59" s="217">
        <v>8846</v>
      </c>
      <c r="HR59" s="217">
        <v>1202</v>
      </c>
      <c r="HS59" s="1704">
        <v>0.11962579617834394</v>
      </c>
    </row>
    <row r="60" spans="1:227" ht="13.8" customHeight="1" x14ac:dyDescent="0.25">
      <c r="A60" s="183" t="s">
        <v>491</v>
      </c>
      <c r="B60" s="183"/>
      <c r="C60" s="183" t="s">
        <v>164</v>
      </c>
      <c r="D60" s="183" t="s">
        <v>164</v>
      </c>
      <c r="E60" s="183" t="s">
        <v>34</v>
      </c>
      <c r="F60" s="183"/>
      <c r="G60" s="183" t="s">
        <v>164</v>
      </c>
      <c r="H60" s="183" t="s">
        <v>164</v>
      </c>
      <c r="I60" s="183" t="s">
        <v>164</v>
      </c>
      <c r="J60" s="183" t="s">
        <v>704</v>
      </c>
      <c r="K60" s="183" t="s">
        <v>164</v>
      </c>
      <c r="L60" s="184">
        <v>60000</v>
      </c>
      <c r="M60" s="184">
        <v>59800</v>
      </c>
      <c r="N60" s="184">
        <v>60300</v>
      </c>
      <c r="O60" s="184">
        <v>60600</v>
      </c>
      <c r="P60" s="184">
        <v>60700</v>
      </c>
      <c r="Q60" s="184">
        <v>61000</v>
      </c>
      <c r="R60" s="184">
        <v>61200</v>
      </c>
      <c r="S60" s="184">
        <v>61300</v>
      </c>
      <c r="T60" s="184">
        <v>61900</v>
      </c>
      <c r="U60" s="184">
        <v>62500</v>
      </c>
      <c r="V60" s="184">
        <v>3100</v>
      </c>
      <c r="W60" s="184">
        <v>3000</v>
      </c>
      <c r="X60" s="184">
        <v>3100</v>
      </c>
      <c r="Y60" s="184">
        <v>3200</v>
      </c>
      <c r="Z60" s="184">
        <v>3200</v>
      </c>
      <c r="AA60" s="184">
        <v>3400</v>
      </c>
      <c r="AB60" s="184">
        <v>3400</v>
      </c>
      <c r="AC60" s="184">
        <v>3600</v>
      </c>
      <c r="AD60" s="184">
        <v>3700</v>
      </c>
      <c r="AE60" s="184">
        <v>3800</v>
      </c>
      <c r="AF60" s="187">
        <v>0.89674681753889673</v>
      </c>
      <c r="AG60" s="187">
        <v>2.8288543140028287E-2</v>
      </c>
      <c r="AH60" s="187">
        <v>4.2432814710042434E-2</v>
      </c>
      <c r="AI60" s="187">
        <v>2.2630834512022632E-2</v>
      </c>
      <c r="AJ60" s="187">
        <v>4.2432814710042432E-3</v>
      </c>
      <c r="AK60" s="187">
        <v>8.4865629420084864E-3</v>
      </c>
      <c r="AL60" s="187">
        <v>0.10466760961810467</v>
      </c>
      <c r="AM60" s="184">
        <v>6645</v>
      </c>
      <c r="AN60" s="187">
        <v>0.6155003762227238</v>
      </c>
      <c r="AO60" s="187">
        <v>0.17757712565838976</v>
      </c>
      <c r="AP60" s="187">
        <v>0.20692249811888638</v>
      </c>
      <c r="AQ60" s="184">
        <v>682</v>
      </c>
      <c r="AR60" s="184">
        <v>718</v>
      </c>
      <c r="AS60" s="184">
        <v>679</v>
      </c>
      <c r="AT60" s="184">
        <v>775</v>
      </c>
      <c r="AU60" s="184">
        <v>758</v>
      </c>
      <c r="AV60" s="186">
        <v>43</v>
      </c>
      <c r="AW60" s="186">
        <v>42</v>
      </c>
      <c r="AX60" s="186">
        <v>29</v>
      </c>
      <c r="AY60" s="186">
        <v>37</v>
      </c>
      <c r="AZ60" s="186">
        <v>26</v>
      </c>
      <c r="BA60" s="212" t="s">
        <v>164</v>
      </c>
      <c r="BB60" s="212" t="s">
        <v>164</v>
      </c>
      <c r="BC60" s="212" t="s">
        <v>164</v>
      </c>
      <c r="BD60" s="212" t="s">
        <v>164</v>
      </c>
      <c r="BE60" s="193" t="s">
        <v>164</v>
      </c>
      <c r="BF60" s="184"/>
      <c r="BG60" s="184"/>
      <c r="BH60" s="184"/>
      <c r="BI60" s="184"/>
      <c r="BJ60" s="184"/>
      <c r="BK60" s="184"/>
      <c r="BL60" s="186"/>
      <c r="BM60" s="186"/>
      <c r="BN60" s="186"/>
      <c r="BO60" s="186"/>
      <c r="BP60" s="186"/>
      <c r="BQ60" s="186"/>
      <c r="BR60" s="193"/>
      <c r="BS60" s="193"/>
      <c r="BT60" s="193"/>
      <c r="BU60" s="186">
        <v>1614</v>
      </c>
      <c r="BV60" s="186">
        <v>637</v>
      </c>
      <c r="BW60" s="222">
        <v>0.39467162329615862</v>
      </c>
      <c r="BX60" s="186">
        <v>158</v>
      </c>
      <c r="BY60" s="237" t="s">
        <v>164</v>
      </c>
      <c r="BZ60" s="1676">
        <v>1300</v>
      </c>
      <c r="CA60" s="222">
        <v>4.8224950847646254E-2</v>
      </c>
      <c r="CB60" s="200">
        <f t="shared" ref="CB60:CC66" si="55">SUMIF($E$3:$E$47,$E60,CB$3:CB$47)</f>
        <v>760</v>
      </c>
      <c r="CC60" s="200">
        <f t="shared" si="55"/>
        <v>715</v>
      </c>
      <c r="CD60" s="200">
        <v>735</v>
      </c>
      <c r="CE60" s="200">
        <v>680</v>
      </c>
      <c r="CF60" s="184">
        <v>1900</v>
      </c>
      <c r="CG60" s="187">
        <v>0.182</v>
      </c>
      <c r="CH60" s="184">
        <v>1820</v>
      </c>
      <c r="CI60" s="187">
        <v>0.17499999999999999</v>
      </c>
      <c r="CJ60" s="184">
        <v>1960</v>
      </c>
      <c r="CK60" s="187">
        <v>0.187</v>
      </c>
      <c r="CL60" s="184">
        <v>1795</v>
      </c>
      <c r="CM60" s="187">
        <v>0.17199999999999999</v>
      </c>
      <c r="CN60" s="184">
        <v>1785</v>
      </c>
      <c r="CO60" s="187">
        <v>0.17</v>
      </c>
      <c r="CP60" s="184">
        <v>1720</v>
      </c>
      <c r="CQ60" s="187">
        <v>0.161</v>
      </c>
      <c r="CR60" s="184">
        <f t="shared" ref="CR60:CT66" si="56">SUMIF($E$3:$E$47,$E60,CR$3:CR$47)</f>
        <v>698</v>
      </c>
      <c r="CS60" s="184">
        <f t="shared" si="56"/>
        <v>46</v>
      </c>
      <c r="CT60" s="184">
        <f t="shared" si="56"/>
        <v>652</v>
      </c>
      <c r="CU60" s="187">
        <f t="shared" si="23"/>
        <v>0.93409742120343842</v>
      </c>
      <c r="CV60" s="186">
        <f t="shared" ref="CV60:CW66" si="57">SUMIF($E$3:$E$47,$E60,CV$3:CV$47)</f>
        <v>255</v>
      </c>
      <c r="CW60" s="186">
        <f t="shared" si="57"/>
        <v>329</v>
      </c>
      <c r="CX60" s="187">
        <f t="shared" ref="CX60:CX66" si="58">CV60/CR60</f>
        <v>0.3653295128939828</v>
      </c>
      <c r="CY60" s="187">
        <f t="shared" ref="CY60:CY66" si="59">CW60/CR60</f>
        <v>0.47134670487106017</v>
      </c>
      <c r="CZ60" s="187">
        <v>0.35438810491980105</v>
      </c>
      <c r="DA60" s="187">
        <v>0.42909619982695479</v>
      </c>
      <c r="DB60" s="187">
        <v>0.46630869412118858</v>
      </c>
      <c r="DC60" s="187">
        <v>0.54283985638246957</v>
      </c>
      <c r="DD60" s="200">
        <v>499</v>
      </c>
      <c r="DE60" s="200">
        <v>26.945999999999998</v>
      </c>
      <c r="DF60" s="143">
        <v>5.3999999999999999E-2</v>
      </c>
      <c r="DG60" s="143">
        <v>3.4000000000000002E-2</v>
      </c>
      <c r="DH60" s="143">
        <v>7.3999999999999996E-2</v>
      </c>
      <c r="DI60" s="178" t="str">
        <f t="shared" si="12"/>
        <v>Sig better than Eng.</v>
      </c>
      <c r="DJ60" s="200">
        <v>612</v>
      </c>
      <c r="DK60" s="200">
        <v>612.07799999999997</v>
      </c>
      <c r="DL60" s="143">
        <v>7.8E-2</v>
      </c>
      <c r="DM60" s="143">
        <v>5.6999999999999995E-2</v>
      </c>
      <c r="DN60" s="143">
        <v>9.9000000000000005E-2</v>
      </c>
      <c r="DO60" s="178" t="str">
        <f t="shared" si="13"/>
        <v>No Sig diff</v>
      </c>
      <c r="DP60" s="183">
        <v>536</v>
      </c>
      <c r="DQ60" s="201">
        <v>55.744</v>
      </c>
      <c r="DR60" s="143">
        <v>0.104</v>
      </c>
      <c r="DS60" s="143">
        <v>7.8E-2</v>
      </c>
      <c r="DT60" s="143">
        <v>0.13</v>
      </c>
      <c r="DU60" s="178" t="str">
        <f t="shared" si="7"/>
        <v>No Sig diff</v>
      </c>
      <c r="DV60" s="183">
        <v>639</v>
      </c>
      <c r="DW60" s="201">
        <v>56.870999999999995</v>
      </c>
      <c r="DX60" s="179">
        <v>8.8999999999999996E-2</v>
      </c>
      <c r="DY60" s="179">
        <v>6.7000000000000004E-2</v>
      </c>
      <c r="DZ60" s="179">
        <v>0.11099999999999999</v>
      </c>
      <c r="EA60" s="178" t="str">
        <f t="shared" si="14"/>
        <v>No Sig diff</v>
      </c>
      <c r="EB60" s="183">
        <v>517</v>
      </c>
      <c r="EC60" s="201">
        <v>87.89</v>
      </c>
      <c r="ED60" s="143">
        <v>0.17</v>
      </c>
      <c r="EE60" s="143">
        <v>0.13800000000000001</v>
      </c>
      <c r="EF60" s="143">
        <v>0.20200000000000001</v>
      </c>
      <c r="EG60" s="178" t="str">
        <f t="shared" si="15"/>
        <v>No Sig diff</v>
      </c>
      <c r="EH60" s="183">
        <v>523</v>
      </c>
      <c r="EI60" s="201">
        <v>87.864000000000004</v>
      </c>
      <c r="EJ60" s="143">
        <v>0.16800000000000001</v>
      </c>
      <c r="EK60" s="143">
        <v>0.13600000000000001</v>
      </c>
      <c r="EL60" s="143">
        <v>0.2</v>
      </c>
      <c r="EM60" s="178" t="str">
        <f t="shared" si="8"/>
        <v>No Sig diff</v>
      </c>
      <c r="EN60" s="183">
        <v>486</v>
      </c>
      <c r="EO60" s="201">
        <v>83.106000000000009</v>
      </c>
      <c r="EP60" s="143">
        <v>0.17100000000000001</v>
      </c>
      <c r="EQ60" s="143">
        <v>0.13800000000000001</v>
      </c>
      <c r="ER60" s="143">
        <v>0.20400000000000001</v>
      </c>
      <c r="ES60" s="178" t="str">
        <f t="shared" si="9"/>
        <v>No Sig diff</v>
      </c>
      <c r="ET60" s="183">
        <v>518</v>
      </c>
      <c r="EU60" s="180">
        <v>89.095999999999989</v>
      </c>
      <c r="EV60" s="179">
        <v>0.17199999999999999</v>
      </c>
      <c r="EW60" s="179">
        <v>0.16869999999999999</v>
      </c>
      <c r="EX60" s="179">
        <v>0.20499999999999999</v>
      </c>
      <c r="EY60" s="178" t="str">
        <f t="shared" si="10"/>
        <v>No Sig diff</v>
      </c>
      <c r="EZ60" s="207">
        <v>688</v>
      </c>
      <c r="FA60" s="186">
        <v>340</v>
      </c>
      <c r="FB60" s="187">
        <v>0.4941860465116279</v>
      </c>
      <c r="FC60" s="187">
        <v>0.45696323963020558</v>
      </c>
      <c r="FD60" s="187">
        <v>0.53147341749983013</v>
      </c>
      <c r="FE60" s="208">
        <v>688</v>
      </c>
      <c r="FF60" s="209">
        <v>34</v>
      </c>
      <c r="FG60" s="208">
        <v>137</v>
      </c>
      <c r="FH60" s="209">
        <v>22.175182481751833</v>
      </c>
      <c r="FI60" s="187">
        <v>0.34778875053671082</v>
      </c>
      <c r="FJ60" s="186">
        <v>654</v>
      </c>
      <c r="FK60" s="186">
        <v>370</v>
      </c>
      <c r="FL60" s="187">
        <v>0.56574923547400613</v>
      </c>
      <c r="FM60" s="187">
        <v>0.52748685508392112</v>
      </c>
      <c r="FN60" s="187">
        <v>0.60324373181793112</v>
      </c>
      <c r="FO60" s="198">
        <v>654</v>
      </c>
      <c r="FP60" s="199">
        <v>34</v>
      </c>
      <c r="FQ60" s="198">
        <v>130</v>
      </c>
      <c r="FR60" s="199">
        <v>23.223076923076924</v>
      </c>
      <c r="FS60" s="210">
        <v>0.31696832579185519</v>
      </c>
      <c r="FT60" s="200">
        <f t="shared" ref="FT60:FX66" si="60">SUMIF($E$3:$E$47,$E60,FT$3:FT$47)</f>
        <v>8055</v>
      </c>
      <c r="FU60" s="200">
        <f t="shared" si="60"/>
        <v>7928</v>
      </c>
      <c r="FV60" s="200">
        <f t="shared" si="60"/>
        <v>127</v>
      </c>
      <c r="FW60" s="200">
        <f t="shared" si="60"/>
        <v>112</v>
      </c>
      <c r="FX60" s="200">
        <f t="shared" si="60"/>
        <v>15</v>
      </c>
      <c r="FY60" s="187">
        <f t="shared" si="17"/>
        <v>0.88188976377952755</v>
      </c>
      <c r="FZ60" s="187">
        <f t="shared" si="18"/>
        <v>0.11811023622047244</v>
      </c>
      <c r="GA60" s="197"/>
      <c r="GB60" s="197"/>
      <c r="GC60" s="197"/>
      <c r="GD60" s="197"/>
      <c r="GE60" s="197"/>
      <c r="GF60" s="197"/>
      <c r="GG60" s="197"/>
      <c r="GH60" s="197"/>
      <c r="GI60" s="197"/>
      <c r="GJ60" s="197"/>
      <c r="GK60" s="197"/>
      <c r="GL60" s="197"/>
      <c r="GM60" s="197"/>
      <c r="GN60" s="197"/>
      <c r="GO60" s="197"/>
      <c r="GP60" s="197"/>
      <c r="GQ60" s="186" t="s">
        <v>164</v>
      </c>
      <c r="GR60" s="186" t="s">
        <v>164</v>
      </c>
      <c r="GS60" s="186" t="s">
        <v>164</v>
      </c>
      <c r="GT60" s="186" t="s">
        <v>164</v>
      </c>
      <c r="GU60" s="186" t="s">
        <v>164</v>
      </c>
      <c r="GV60" s="186" t="s">
        <v>164</v>
      </c>
      <c r="GW60" s="186" t="s">
        <v>164</v>
      </c>
      <c r="GX60" s="186" t="s">
        <v>164</v>
      </c>
      <c r="GY60" s="186" t="s">
        <v>164</v>
      </c>
      <c r="GZ60" s="186" t="s">
        <v>164</v>
      </c>
      <c r="HA60" s="186" t="s">
        <v>164</v>
      </c>
      <c r="HB60" s="186" t="s">
        <v>164</v>
      </c>
      <c r="HC60" s="186" t="s">
        <v>164</v>
      </c>
      <c r="HD60" s="186" t="s">
        <v>164</v>
      </c>
      <c r="HE60" s="186" t="s">
        <v>164</v>
      </c>
      <c r="HF60" s="186" t="s">
        <v>164</v>
      </c>
      <c r="HG60" s="186" t="s">
        <v>164</v>
      </c>
      <c r="HH60" s="186" t="s">
        <v>164</v>
      </c>
      <c r="HI60" s="186" t="s">
        <v>164</v>
      </c>
      <c r="HJ60" s="186" t="s">
        <v>164</v>
      </c>
      <c r="HK60" s="186" t="s">
        <v>164</v>
      </c>
      <c r="HL60" s="186" t="s">
        <v>164</v>
      </c>
      <c r="HM60" s="186" t="s">
        <v>164</v>
      </c>
      <c r="HN60" s="186">
        <v>82</v>
      </c>
      <c r="HO60" s="187">
        <v>2.3196605374823195E-2</v>
      </c>
      <c r="HP60" s="217">
        <v>5509</v>
      </c>
      <c r="HQ60" s="217">
        <v>4805</v>
      </c>
      <c r="HR60" s="217">
        <v>704</v>
      </c>
      <c r="HS60" s="1704">
        <v>0.12779088763840987</v>
      </c>
    </row>
    <row r="61" spans="1:227" ht="13.8" customHeight="1" x14ac:dyDescent="0.25">
      <c r="A61" s="183" t="s">
        <v>492</v>
      </c>
      <c r="B61" s="183"/>
      <c r="C61" s="183" t="s">
        <v>164</v>
      </c>
      <c r="D61" s="183" t="s">
        <v>164</v>
      </c>
      <c r="E61" s="183" t="s">
        <v>100</v>
      </c>
      <c r="F61" s="183"/>
      <c r="G61" s="183" t="s">
        <v>164</v>
      </c>
      <c r="H61" s="183" t="s">
        <v>164</v>
      </c>
      <c r="I61" s="183" t="s">
        <v>164</v>
      </c>
      <c r="J61" s="183" t="s">
        <v>704</v>
      </c>
      <c r="K61" s="183" t="s">
        <v>164</v>
      </c>
      <c r="L61" s="184">
        <v>145100</v>
      </c>
      <c r="M61" s="184">
        <v>146000</v>
      </c>
      <c r="N61" s="184">
        <v>146800</v>
      </c>
      <c r="O61" s="184">
        <v>147700</v>
      </c>
      <c r="P61" s="184">
        <v>148500</v>
      </c>
      <c r="Q61" s="184">
        <v>148900</v>
      </c>
      <c r="R61" s="184">
        <v>149500</v>
      </c>
      <c r="S61" s="184">
        <v>149800</v>
      </c>
      <c r="T61" s="184">
        <v>151400</v>
      </c>
      <c r="U61" s="184">
        <v>152800</v>
      </c>
      <c r="V61" s="184">
        <v>6700</v>
      </c>
      <c r="W61" s="184">
        <v>6800</v>
      </c>
      <c r="X61" s="184">
        <v>6800</v>
      </c>
      <c r="Y61" s="184">
        <v>6900</v>
      </c>
      <c r="Z61" s="184">
        <v>7000</v>
      </c>
      <c r="AA61" s="184">
        <v>7300</v>
      </c>
      <c r="AB61" s="184">
        <v>7300</v>
      </c>
      <c r="AC61" s="184">
        <v>7500</v>
      </c>
      <c r="AD61" s="184">
        <v>7800</v>
      </c>
      <c r="AE61" s="184">
        <v>8000</v>
      </c>
      <c r="AF61" s="187">
        <v>0.87542315504400814</v>
      </c>
      <c r="AG61" s="187">
        <v>6.8381855111712936E-2</v>
      </c>
      <c r="AH61" s="187">
        <v>3.2498307379823968E-2</v>
      </c>
      <c r="AI61" s="187">
        <v>2.0311442112389978E-2</v>
      </c>
      <c r="AJ61" s="187">
        <v>2.7081922816519972E-3</v>
      </c>
      <c r="AK61" s="187">
        <v>2.031144211238998E-3</v>
      </c>
      <c r="AL61" s="187">
        <v>0.12457684495599188</v>
      </c>
      <c r="AM61" s="184">
        <v>14349</v>
      </c>
      <c r="AN61" s="187">
        <v>0.60241131786187185</v>
      </c>
      <c r="AO61" s="187">
        <v>0.12544428183148651</v>
      </c>
      <c r="AP61" s="187">
        <v>0.27214440030664155</v>
      </c>
      <c r="AQ61" s="184">
        <v>1435</v>
      </c>
      <c r="AR61" s="184">
        <v>1496</v>
      </c>
      <c r="AS61" s="184">
        <v>1567</v>
      </c>
      <c r="AT61" s="184">
        <v>1619</v>
      </c>
      <c r="AU61" s="184">
        <v>1493</v>
      </c>
      <c r="AV61" s="186">
        <v>109</v>
      </c>
      <c r="AW61" s="186">
        <v>76</v>
      </c>
      <c r="AX61" s="186">
        <v>101</v>
      </c>
      <c r="AY61" s="186">
        <v>76</v>
      </c>
      <c r="AZ61" s="186">
        <v>77</v>
      </c>
      <c r="BA61" s="212" t="s">
        <v>164</v>
      </c>
      <c r="BB61" s="212" t="s">
        <v>164</v>
      </c>
      <c r="BC61" s="212" t="s">
        <v>164</v>
      </c>
      <c r="BD61" s="212" t="s">
        <v>164</v>
      </c>
      <c r="BE61" s="193" t="s">
        <v>164</v>
      </c>
      <c r="BF61" s="184"/>
      <c r="BG61" s="184"/>
      <c r="BH61" s="184"/>
      <c r="BI61" s="184"/>
      <c r="BJ61" s="184"/>
      <c r="BK61" s="184"/>
      <c r="BL61" s="186"/>
      <c r="BM61" s="186"/>
      <c r="BN61" s="186"/>
      <c r="BO61" s="186"/>
      <c r="BP61" s="186"/>
      <c r="BQ61" s="186"/>
      <c r="BR61" s="193"/>
      <c r="BS61" s="193"/>
      <c r="BT61" s="193"/>
      <c r="BU61" s="186">
        <v>3519</v>
      </c>
      <c r="BV61" s="186">
        <v>1200</v>
      </c>
      <c r="BW61" s="222">
        <v>0.34100596760443308</v>
      </c>
      <c r="BX61" s="186">
        <v>332</v>
      </c>
      <c r="BY61" s="237" t="s">
        <v>164</v>
      </c>
      <c r="BZ61" s="1676">
        <v>2878</v>
      </c>
      <c r="CA61" s="222">
        <v>4.3144544718616014E-2</v>
      </c>
      <c r="CB61" s="200">
        <f t="shared" si="55"/>
        <v>1315</v>
      </c>
      <c r="CC61" s="200">
        <f t="shared" si="55"/>
        <v>1375</v>
      </c>
      <c r="CD61" s="200">
        <v>1465</v>
      </c>
      <c r="CE61" s="200">
        <v>1430</v>
      </c>
      <c r="CF61" s="184">
        <v>4085</v>
      </c>
      <c r="CG61" s="187">
        <v>0.17299999999999999</v>
      </c>
      <c r="CH61" s="184">
        <v>3835</v>
      </c>
      <c r="CI61" s="187">
        <v>0.16300000000000001</v>
      </c>
      <c r="CJ61" s="184">
        <v>4050</v>
      </c>
      <c r="CK61" s="187">
        <v>0.17100000000000001</v>
      </c>
      <c r="CL61" s="184">
        <v>3845</v>
      </c>
      <c r="CM61" s="187">
        <v>0.16200000000000001</v>
      </c>
      <c r="CN61" s="184">
        <v>3880</v>
      </c>
      <c r="CO61" s="187">
        <v>0.16300000000000001</v>
      </c>
      <c r="CP61" s="184">
        <v>3620</v>
      </c>
      <c r="CQ61" s="187">
        <v>0.15</v>
      </c>
      <c r="CR61" s="184">
        <f t="shared" si="56"/>
        <v>1513</v>
      </c>
      <c r="CS61" s="184">
        <f t="shared" si="56"/>
        <v>57</v>
      </c>
      <c r="CT61" s="184">
        <f t="shared" si="56"/>
        <v>1456</v>
      </c>
      <c r="CU61" s="187">
        <f t="shared" si="23"/>
        <v>0.96232650363516192</v>
      </c>
      <c r="CV61" s="186">
        <f t="shared" si="57"/>
        <v>562</v>
      </c>
      <c r="CW61" s="186">
        <f t="shared" si="57"/>
        <v>696</v>
      </c>
      <c r="CX61" s="187">
        <f t="shared" si="58"/>
        <v>0.37144745538664903</v>
      </c>
      <c r="CY61" s="187">
        <f t="shared" si="59"/>
        <v>0.46001321877065432</v>
      </c>
      <c r="CZ61" s="187">
        <v>0.3613137692115862</v>
      </c>
      <c r="DA61" s="187">
        <v>0.41126429679228704</v>
      </c>
      <c r="DB61" s="187">
        <v>0.45245537548645942</v>
      </c>
      <c r="DC61" s="187">
        <v>0.5037042516950101</v>
      </c>
      <c r="DD61" s="200">
        <v>1142</v>
      </c>
      <c r="DE61" s="200">
        <v>102.78</v>
      </c>
      <c r="DF61" s="143">
        <v>0.09</v>
      </c>
      <c r="DG61" s="143">
        <v>7.2999999999999995E-2</v>
      </c>
      <c r="DH61" s="143">
        <v>0.107</v>
      </c>
      <c r="DI61" s="178" t="str">
        <f t="shared" si="12"/>
        <v>No Sig diff</v>
      </c>
      <c r="DJ61" s="200">
        <v>1241</v>
      </c>
      <c r="DK61" s="200">
        <v>1241.085</v>
      </c>
      <c r="DL61" s="143">
        <v>8.5000000000000006E-2</v>
      </c>
      <c r="DM61" s="143">
        <v>6.9000000000000006E-2</v>
      </c>
      <c r="DN61" s="143">
        <v>0.10100000000000001</v>
      </c>
      <c r="DO61" s="178" t="str">
        <f t="shared" si="13"/>
        <v>No Sig diff</v>
      </c>
      <c r="DP61" s="183">
        <v>1158</v>
      </c>
      <c r="DQ61" s="201">
        <v>119.27399999999999</v>
      </c>
      <c r="DR61" s="143">
        <v>0.10299999999999999</v>
      </c>
      <c r="DS61" s="143">
        <v>8.5999999999999993E-2</v>
      </c>
      <c r="DT61" s="143">
        <v>0.12</v>
      </c>
      <c r="DU61" s="178" t="str">
        <f t="shared" si="7"/>
        <v>No Sig diff</v>
      </c>
      <c r="DV61" s="183">
        <v>1432</v>
      </c>
      <c r="DW61" s="201">
        <v>140.33600000000001</v>
      </c>
      <c r="DX61" s="179">
        <v>9.8000000000000004E-2</v>
      </c>
      <c r="DY61" s="179">
        <v>8.3000000000000004E-2</v>
      </c>
      <c r="DZ61" s="179">
        <v>0.113</v>
      </c>
      <c r="EA61" s="178" t="str">
        <f t="shared" si="14"/>
        <v>No Sig diff</v>
      </c>
      <c r="EB61" s="183">
        <v>1236</v>
      </c>
      <c r="EC61" s="201">
        <v>196.524</v>
      </c>
      <c r="ED61" s="143">
        <v>0.159</v>
      </c>
      <c r="EE61" s="143">
        <v>0.13900000000000001</v>
      </c>
      <c r="EF61" s="143">
        <v>0.17899999999999999</v>
      </c>
      <c r="EG61" s="178" t="str">
        <f t="shared" si="15"/>
        <v>Sig better than Eng.</v>
      </c>
      <c r="EH61" s="183">
        <v>1196</v>
      </c>
      <c r="EI61" s="201">
        <v>218.86799999999999</v>
      </c>
      <c r="EJ61" s="143">
        <v>0.183</v>
      </c>
      <c r="EK61" s="143">
        <v>0.161</v>
      </c>
      <c r="EL61" s="143">
        <v>0.20499999999999999</v>
      </c>
      <c r="EM61" s="178" t="str">
        <f t="shared" si="8"/>
        <v>No Sig diff</v>
      </c>
      <c r="EN61" s="183">
        <v>1187</v>
      </c>
      <c r="EO61" s="201">
        <v>214.84699999999998</v>
      </c>
      <c r="EP61" s="143">
        <v>0.18099999999999999</v>
      </c>
      <c r="EQ61" s="143">
        <v>0.159</v>
      </c>
      <c r="ER61" s="143">
        <v>0.20299999999999999</v>
      </c>
      <c r="ES61" s="178" t="str">
        <f t="shared" si="9"/>
        <v>No Sig diff</v>
      </c>
      <c r="ET61" s="183">
        <v>1199</v>
      </c>
      <c r="EU61" s="180">
        <v>183.447</v>
      </c>
      <c r="EV61" s="179">
        <v>0.153</v>
      </c>
      <c r="EW61" s="179">
        <v>0.13300000000000001</v>
      </c>
      <c r="EX61" s="179">
        <v>0.17299999999999999</v>
      </c>
      <c r="EY61" s="178" t="str">
        <f t="shared" si="10"/>
        <v>Sig better than Eng.</v>
      </c>
      <c r="EZ61" s="207">
        <v>1542</v>
      </c>
      <c r="FA61" s="186">
        <v>715</v>
      </c>
      <c r="FB61" s="187">
        <v>0.46368352788586253</v>
      </c>
      <c r="FC61" s="187">
        <v>0.43891441899559364</v>
      </c>
      <c r="FD61" s="187">
        <v>0.48863313165333022</v>
      </c>
      <c r="FE61" s="208">
        <v>1542</v>
      </c>
      <c r="FF61" s="209">
        <v>33</v>
      </c>
      <c r="FG61" s="208">
        <v>308</v>
      </c>
      <c r="FH61" s="209">
        <v>22.461038961038945</v>
      </c>
      <c r="FI61" s="187">
        <v>0.31936245572609256</v>
      </c>
      <c r="FJ61" s="186">
        <v>1589</v>
      </c>
      <c r="FK61" s="186">
        <v>889</v>
      </c>
      <c r="FL61" s="187">
        <v>0.55947136563876654</v>
      </c>
      <c r="FM61" s="187">
        <v>0.53494728540455549</v>
      </c>
      <c r="FN61" s="187">
        <v>0.58370859145837573</v>
      </c>
      <c r="FO61" s="198">
        <v>1589</v>
      </c>
      <c r="FP61" s="199">
        <v>34</v>
      </c>
      <c r="FQ61" s="198">
        <v>317</v>
      </c>
      <c r="FR61" s="199">
        <v>23.64984227129338</v>
      </c>
      <c r="FS61" s="210">
        <v>0.30441640378548884</v>
      </c>
      <c r="FT61" s="200">
        <f t="shared" si="60"/>
        <v>18212</v>
      </c>
      <c r="FU61" s="200">
        <f t="shared" si="60"/>
        <v>17593</v>
      </c>
      <c r="FV61" s="200">
        <f t="shared" si="60"/>
        <v>619</v>
      </c>
      <c r="FW61" s="200">
        <f t="shared" si="60"/>
        <v>489</v>
      </c>
      <c r="FX61" s="200">
        <f t="shared" si="60"/>
        <v>130</v>
      </c>
      <c r="FY61" s="187">
        <f t="shared" si="17"/>
        <v>0.78998384491114704</v>
      </c>
      <c r="FZ61" s="187">
        <f t="shared" si="18"/>
        <v>0.21001615508885299</v>
      </c>
      <c r="GA61" s="197"/>
      <c r="GB61" s="197"/>
      <c r="GC61" s="197"/>
      <c r="GD61" s="197"/>
      <c r="GE61" s="197"/>
      <c r="GF61" s="197"/>
      <c r="GG61" s="197"/>
      <c r="GH61" s="197"/>
      <c r="GI61" s="197"/>
      <c r="GJ61" s="197"/>
      <c r="GK61" s="197"/>
      <c r="GL61" s="197"/>
      <c r="GM61" s="197"/>
      <c r="GN61" s="197"/>
      <c r="GO61" s="197"/>
      <c r="GP61" s="197"/>
      <c r="GQ61" s="186" t="s">
        <v>164</v>
      </c>
      <c r="GR61" s="186" t="s">
        <v>164</v>
      </c>
      <c r="GS61" s="186" t="s">
        <v>164</v>
      </c>
      <c r="GT61" s="186" t="s">
        <v>164</v>
      </c>
      <c r="GU61" s="186" t="s">
        <v>164</v>
      </c>
      <c r="GV61" s="186" t="s">
        <v>164</v>
      </c>
      <c r="GW61" s="186" t="s">
        <v>164</v>
      </c>
      <c r="GX61" s="186" t="s">
        <v>164</v>
      </c>
      <c r="GY61" s="186" t="s">
        <v>164</v>
      </c>
      <c r="GZ61" s="186" t="s">
        <v>164</v>
      </c>
      <c r="HA61" s="186" t="s">
        <v>164</v>
      </c>
      <c r="HB61" s="186" t="s">
        <v>164</v>
      </c>
      <c r="HC61" s="186" t="s">
        <v>164</v>
      </c>
      <c r="HD61" s="186" t="s">
        <v>164</v>
      </c>
      <c r="HE61" s="186" t="s">
        <v>164</v>
      </c>
      <c r="HF61" s="186" t="s">
        <v>164</v>
      </c>
      <c r="HG61" s="186" t="s">
        <v>164</v>
      </c>
      <c r="HH61" s="186" t="s">
        <v>164</v>
      </c>
      <c r="HI61" s="186" t="s">
        <v>164</v>
      </c>
      <c r="HJ61" s="186" t="s">
        <v>164</v>
      </c>
      <c r="HK61" s="186" t="s">
        <v>164</v>
      </c>
      <c r="HL61" s="186" t="s">
        <v>164</v>
      </c>
      <c r="HM61" s="186" t="s">
        <v>164</v>
      </c>
      <c r="HN61" s="186">
        <v>150</v>
      </c>
      <c r="HO61" s="187">
        <v>2.0319696559198051E-2</v>
      </c>
      <c r="HP61" s="217">
        <v>11783</v>
      </c>
      <c r="HQ61" s="217">
        <v>10387</v>
      </c>
      <c r="HR61" s="217">
        <v>1396</v>
      </c>
      <c r="HS61" s="1704">
        <v>0.11847577017737418</v>
      </c>
    </row>
    <row r="62" spans="1:227" ht="13.8" customHeight="1" x14ac:dyDescent="0.25">
      <c r="A62" s="183" t="s">
        <v>493</v>
      </c>
      <c r="B62" s="183"/>
      <c r="C62" s="183" t="s">
        <v>164</v>
      </c>
      <c r="D62" s="183" t="s">
        <v>164</v>
      </c>
      <c r="E62" s="183" t="s">
        <v>35</v>
      </c>
      <c r="F62" s="183"/>
      <c r="G62" s="183" t="s">
        <v>164</v>
      </c>
      <c r="H62" s="183" t="s">
        <v>164</v>
      </c>
      <c r="I62" s="183" t="s">
        <v>164</v>
      </c>
      <c r="J62" s="183" t="s">
        <v>704</v>
      </c>
      <c r="K62" s="183" t="s">
        <v>164</v>
      </c>
      <c r="L62" s="184">
        <v>108200</v>
      </c>
      <c r="M62" s="184">
        <v>108800</v>
      </c>
      <c r="N62" s="184">
        <v>109700</v>
      </c>
      <c r="O62" s="184">
        <v>110600</v>
      </c>
      <c r="P62" s="184">
        <v>111800</v>
      </c>
      <c r="Q62" s="184">
        <v>112500</v>
      </c>
      <c r="R62" s="184">
        <v>113400</v>
      </c>
      <c r="S62" s="184">
        <v>114000</v>
      </c>
      <c r="T62" s="184">
        <v>114500</v>
      </c>
      <c r="U62" s="184">
        <v>115300</v>
      </c>
      <c r="V62" s="184">
        <v>5000</v>
      </c>
      <c r="W62" s="184">
        <v>5000</v>
      </c>
      <c r="X62" s="184">
        <v>5200</v>
      </c>
      <c r="Y62" s="184">
        <v>5300</v>
      </c>
      <c r="Z62" s="184">
        <v>5500</v>
      </c>
      <c r="AA62" s="184">
        <v>5500</v>
      </c>
      <c r="AB62" s="184">
        <v>5700</v>
      </c>
      <c r="AC62" s="184">
        <v>5600</v>
      </c>
      <c r="AD62" s="184">
        <v>5900</v>
      </c>
      <c r="AE62" s="184">
        <v>5800</v>
      </c>
      <c r="AF62" s="187">
        <v>0.90707964601769908</v>
      </c>
      <c r="AG62" s="187">
        <v>3.1858407079646017E-2</v>
      </c>
      <c r="AH62" s="187">
        <v>2.743362831858407E-2</v>
      </c>
      <c r="AI62" s="187">
        <v>2.1238938053097345E-2</v>
      </c>
      <c r="AJ62" s="187">
        <v>8.8495575221238937E-3</v>
      </c>
      <c r="AK62" s="187">
        <v>3.5398230088495575E-3</v>
      </c>
      <c r="AL62" s="187">
        <v>9.1150442477876112E-2</v>
      </c>
      <c r="AM62" s="184">
        <v>11231</v>
      </c>
      <c r="AN62" s="187">
        <v>0.5725224824147449</v>
      </c>
      <c r="AO62" s="187">
        <v>0.20470127326150833</v>
      </c>
      <c r="AP62" s="187">
        <v>0.22277624432374676</v>
      </c>
      <c r="AQ62" s="184">
        <v>1131</v>
      </c>
      <c r="AR62" s="184">
        <v>1067</v>
      </c>
      <c r="AS62" s="184">
        <v>1134</v>
      </c>
      <c r="AT62" s="184">
        <v>1136</v>
      </c>
      <c r="AU62" s="184">
        <v>1046</v>
      </c>
      <c r="AV62" s="186">
        <v>59</v>
      </c>
      <c r="AW62" s="186">
        <v>55</v>
      </c>
      <c r="AX62" s="186">
        <v>48</v>
      </c>
      <c r="AY62" s="186">
        <v>51</v>
      </c>
      <c r="AZ62" s="186">
        <v>50</v>
      </c>
      <c r="BA62" s="212" t="s">
        <v>164</v>
      </c>
      <c r="BB62" s="212" t="s">
        <v>164</v>
      </c>
      <c r="BC62" s="212" t="s">
        <v>164</v>
      </c>
      <c r="BD62" s="212" t="s">
        <v>164</v>
      </c>
      <c r="BE62" s="193" t="s">
        <v>164</v>
      </c>
      <c r="BF62" s="184"/>
      <c r="BG62" s="184"/>
      <c r="BH62" s="184"/>
      <c r="BI62" s="184"/>
      <c r="BJ62" s="184"/>
      <c r="BK62" s="184"/>
      <c r="BL62" s="186"/>
      <c r="BM62" s="186"/>
      <c r="BN62" s="186"/>
      <c r="BO62" s="186"/>
      <c r="BP62" s="186"/>
      <c r="BQ62" s="186"/>
      <c r="BR62" s="193"/>
      <c r="BS62" s="193"/>
      <c r="BT62" s="193"/>
      <c r="BU62" s="186">
        <v>2288</v>
      </c>
      <c r="BV62" s="186">
        <v>731</v>
      </c>
      <c r="BW62" s="222">
        <v>0.31949300699300698</v>
      </c>
      <c r="BX62" s="186">
        <v>191</v>
      </c>
      <c r="BY62" s="237" t="s">
        <v>164</v>
      </c>
      <c r="BZ62" s="1676">
        <v>1500</v>
      </c>
      <c r="CA62" s="222">
        <v>3.0091478093403949E-2</v>
      </c>
      <c r="CB62" s="200">
        <f t="shared" si="55"/>
        <v>795</v>
      </c>
      <c r="CC62" s="200">
        <f t="shared" si="55"/>
        <v>785</v>
      </c>
      <c r="CD62" s="200">
        <v>865</v>
      </c>
      <c r="CE62" s="200">
        <v>770</v>
      </c>
      <c r="CF62" s="184">
        <v>2305</v>
      </c>
      <c r="CG62" s="187">
        <v>0.126</v>
      </c>
      <c r="CH62" s="184">
        <v>2330</v>
      </c>
      <c r="CI62" s="187">
        <v>0.127</v>
      </c>
      <c r="CJ62" s="184">
        <v>2425</v>
      </c>
      <c r="CK62" s="187">
        <v>0.13100000000000001</v>
      </c>
      <c r="CL62" s="184">
        <v>2340</v>
      </c>
      <c r="CM62" s="187">
        <v>0.126</v>
      </c>
      <c r="CN62" s="184">
        <v>2230</v>
      </c>
      <c r="CO62" s="187">
        <v>0.12</v>
      </c>
      <c r="CP62" s="184">
        <v>2100</v>
      </c>
      <c r="CQ62" s="187">
        <v>0.113</v>
      </c>
      <c r="CR62" s="184">
        <f t="shared" si="56"/>
        <v>919</v>
      </c>
      <c r="CS62" s="184">
        <f t="shared" si="56"/>
        <v>67</v>
      </c>
      <c r="CT62" s="184">
        <f t="shared" si="56"/>
        <v>852</v>
      </c>
      <c r="CU62" s="187">
        <f t="shared" si="23"/>
        <v>0.92709466811751906</v>
      </c>
      <c r="CV62" s="186">
        <f t="shared" si="57"/>
        <v>376</v>
      </c>
      <c r="CW62" s="186">
        <f t="shared" si="57"/>
        <v>480</v>
      </c>
      <c r="CX62" s="187">
        <f t="shared" si="58"/>
        <v>0.40914036996735581</v>
      </c>
      <c r="CY62" s="187">
        <f t="shared" si="59"/>
        <v>0.52230685527747556</v>
      </c>
      <c r="CZ62" s="187">
        <v>0.40830966009695818</v>
      </c>
      <c r="DA62" s="187">
        <v>0.47484628838696685</v>
      </c>
      <c r="DB62" s="187">
        <v>0.52986598333819934</v>
      </c>
      <c r="DC62" s="187">
        <v>0.5963255922991616</v>
      </c>
      <c r="DD62" s="200">
        <v>991</v>
      </c>
      <c r="DE62" s="200">
        <v>99.100000000000009</v>
      </c>
      <c r="DF62" s="143">
        <v>0.1</v>
      </c>
      <c r="DG62" s="143">
        <v>8.1000000000000003E-2</v>
      </c>
      <c r="DH62" s="143">
        <v>0.11900000000000001</v>
      </c>
      <c r="DI62" s="178" t="str">
        <f t="shared" si="12"/>
        <v>No Sig diff</v>
      </c>
      <c r="DJ62" s="200">
        <v>956</v>
      </c>
      <c r="DK62" s="200">
        <v>956.07899999999995</v>
      </c>
      <c r="DL62" s="143">
        <v>7.9000000000000001E-2</v>
      </c>
      <c r="DM62" s="143">
        <v>6.2E-2</v>
      </c>
      <c r="DN62" s="143">
        <v>9.6000000000000002E-2</v>
      </c>
      <c r="DO62" s="178" t="str">
        <f t="shared" si="13"/>
        <v>No Sig diff</v>
      </c>
      <c r="DP62" s="183">
        <v>951</v>
      </c>
      <c r="DQ62" s="201">
        <v>65.619</v>
      </c>
      <c r="DR62" s="143">
        <v>6.9000000000000006E-2</v>
      </c>
      <c r="DS62" s="143">
        <v>5.3000000000000005E-2</v>
      </c>
      <c r="DT62" s="143">
        <v>8.5000000000000006E-2</v>
      </c>
      <c r="DU62" s="178" t="str">
        <f t="shared" si="7"/>
        <v>Sig better than Eng.</v>
      </c>
      <c r="DV62" s="183">
        <v>988</v>
      </c>
      <c r="DW62" s="201">
        <v>83.98</v>
      </c>
      <c r="DX62" s="179">
        <v>8.5000000000000006E-2</v>
      </c>
      <c r="DY62" s="179">
        <v>6.8000000000000005E-2</v>
      </c>
      <c r="DZ62" s="179">
        <v>0.10200000000000001</v>
      </c>
      <c r="EA62" s="178" t="str">
        <f t="shared" si="14"/>
        <v>No Sig diff</v>
      </c>
      <c r="EB62" s="183">
        <v>885</v>
      </c>
      <c r="EC62" s="201">
        <v>130.97999999999999</v>
      </c>
      <c r="ED62" s="143">
        <v>0.14799999999999999</v>
      </c>
      <c r="EE62" s="143">
        <v>0.125</v>
      </c>
      <c r="EF62" s="143">
        <v>0.17099999999999999</v>
      </c>
      <c r="EG62" s="178" t="str">
        <f t="shared" si="15"/>
        <v>Sig better than Eng.</v>
      </c>
      <c r="EH62" s="183">
        <v>801</v>
      </c>
      <c r="EI62" s="201">
        <v>129.762</v>
      </c>
      <c r="EJ62" s="143">
        <v>0.16200000000000001</v>
      </c>
      <c r="EK62" s="143">
        <v>0.13600000000000001</v>
      </c>
      <c r="EL62" s="143">
        <v>0.188</v>
      </c>
      <c r="EM62" s="178" t="str">
        <f t="shared" si="8"/>
        <v>Sig better than Eng.</v>
      </c>
      <c r="EN62" s="183">
        <v>821</v>
      </c>
      <c r="EO62" s="201">
        <v>127.255</v>
      </c>
      <c r="EP62" s="143">
        <v>0.155</v>
      </c>
      <c r="EQ62" s="143">
        <v>0.13</v>
      </c>
      <c r="ER62" s="143">
        <v>0.18</v>
      </c>
      <c r="ES62" s="178" t="str">
        <f t="shared" si="9"/>
        <v>Sig better than Eng.</v>
      </c>
      <c r="ET62" s="183">
        <v>831</v>
      </c>
      <c r="EU62" s="180">
        <v>108.861</v>
      </c>
      <c r="EV62" s="179">
        <v>0.13100000000000001</v>
      </c>
      <c r="EW62" s="179">
        <v>0.10800000000000001</v>
      </c>
      <c r="EX62" s="179">
        <v>0.154</v>
      </c>
      <c r="EY62" s="178" t="str">
        <f t="shared" si="10"/>
        <v>Sig better than Eng.</v>
      </c>
      <c r="EZ62" s="207">
        <v>1138</v>
      </c>
      <c r="FA62" s="186">
        <v>610</v>
      </c>
      <c r="FB62" s="187">
        <v>0.53602811950790863</v>
      </c>
      <c r="FC62" s="187">
        <v>0.50698089567473048</v>
      </c>
      <c r="FD62" s="187">
        <v>0.5648329269593596</v>
      </c>
      <c r="FE62" s="208">
        <v>1138</v>
      </c>
      <c r="FF62" s="209">
        <v>34</v>
      </c>
      <c r="FG62" s="208">
        <v>227</v>
      </c>
      <c r="FH62" s="209">
        <v>22.969162995594704</v>
      </c>
      <c r="FI62" s="187">
        <v>0.32443638248250872</v>
      </c>
      <c r="FJ62" s="186">
        <v>1158</v>
      </c>
      <c r="FK62" s="186">
        <v>658</v>
      </c>
      <c r="FL62" s="187">
        <v>0.56822107081174433</v>
      </c>
      <c r="FM62" s="187">
        <v>0.53951303675508588</v>
      </c>
      <c r="FN62" s="187">
        <v>0.59647797888690635</v>
      </c>
      <c r="FO62" s="198">
        <v>1158</v>
      </c>
      <c r="FP62" s="199">
        <v>34</v>
      </c>
      <c r="FQ62" s="198">
        <v>231</v>
      </c>
      <c r="FR62" s="199">
        <v>23.199134199134214</v>
      </c>
      <c r="FS62" s="210">
        <v>0.31767252355487607</v>
      </c>
      <c r="FT62" s="200">
        <f t="shared" si="60"/>
        <v>17647</v>
      </c>
      <c r="FU62" s="200">
        <f t="shared" si="60"/>
        <v>16217</v>
      </c>
      <c r="FV62" s="200">
        <f t="shared" si="60"/>
        <v>1430</v>
      </c>
      <c r="FW62" s="200">
        <f t="shared" si="60"/>
        <v>1212</v>
      </c>
      <c r="FX62" s="200">
        <f t="shared" si="60"/>
        <v>218</v>
      </c>
      <c r="FY62" s="187">
        <f t="shared" si="17"/>
        <v>0.84755244755244752</v>
      </c>
      <c r="FZ62" s="187">
        <f t="shared" si="18"/>
        <v>0.15244755244755245</v>
      </c>
      <c r="GA62" s="197"/>
      <c r="GB62" s="197"/>
      <c r="GC62" s="197"/>
      <c r="GD62" s="197"/>
      <c r="GE62" s="197"/>
      <c r="GF62" s="197"/>
      <c r="GG62" s="197"/>
      <c r="GH62" s="197"/>
      <c r="GI62" s="197"/>
      <c r="GJ62" s="197"/>
      <c r="GK62" s="197"/>
      <c r="GL62" s="197"/>
      <c r="GM62" s="197"/>
      <c r="GN62" s="197"/>
      <c r="GO62" s="197"/>
      <c r="GP62" s="197"/>
      <c r="GQ62" s="186" t="s">
        <v>164</v>
      </c>
      <c r="GR62" s="186" t="s">
        <v>164</v>
      </c>
      <c r="GS62" s="186" t="s">
        <v>164</v>
      </c>
      <c r="GT62" s="186" t="s">
        <v>164</v>
      </c>
      <c r="GU62" s="186" t="s">
        <v>164</v>
      </c>
      <c r="GV62" s="186" t="s">
        <v>164</v>
      </c>
      <c r="GW62" s="186" t="s">
        <v>164</v>
      </c>
      <c r="GX62" s="186" t="s">
        <v>164</v>
      </c>
      <c r="GY62" s="186" t="s">
        <v>164</v>
      </c>
      <c r="GZ62" s="186" t="s">
        <v>164</v>
      </c>
      <c r="HA62" s="186" t="s">
        <v>164</v>
      </c>
      <c r="HB62" s="186" t="s">
        <v>164</v>
      </c>
      <c r="HC62" s="186" t="s">
        <v>164</v>
      </c>
      <c r="HD62" s="186" t="s">
        <v>164</v>
      </c>
      <c r="HE62" s="186" t="s">
        <v>164</v>
      </c>
      <c r="HF62" s="186" t="s">
        <v>164</v>
      </c>
      <c r="HG62" s="186" t="s">
        <v>164</v>
      </c>
      <c r="HH62" s="186" t="s">
        <v>164</v>
      </c>
      <c r="HI62" s="186" t="s">
        <v>164</v>
      </c>
      <c r="HJ62" s="186" t="s">
        <v>164</v>
      </c>
      <c r="HK62" s="186" t="s">
        <v>164</v>
      </c>
      <c r="HL62" s="186" t="s">
        <v>164</v>
      </c>
      <c r="HM62" s="186" t="s">
        <v>164</v>
      </c>
      <c r="HN62" s="186">
        <v>89</v>
      </c>
      <c r="HO62" s="187">
        <v>1.5766164747564215E-2</v>
      </c>
      <c r="HP62" s="217">
        <v>8704</v>
      </c>
      <c r="HQ62" s="217">
        <v>7913</v>
      </c>
      <c r="HR62" s="217">
        <v>791</v>
      </c>
      <c r="HS62" s="1704">
        <v>9.087775735294118E-2</v>
      </c>
    </row>
    <row r="63" spans="1:227" ht="13.8" customHeight="1" x14ac:dyDescent="0.25">
      <c r="A63" s="183" t="s">
        <v>494</v>
      </c>
      <c r="B63" s="183"/>
      <c r="C63" s="183" t="s">
        <v>164</v>
      </c>
      <c r="D63" s="183" t="s">
        <v>164</v>
      </c>
      <c r="E63" s="183" t="s">
        <v>33</v>
      </c>
      <c r="F63" s="183"/>
      <c r="G63" s="183" t="s">
        <v>164</v>
      </c>
      <c r="H63" s="183" t="s">
        <v>164</v>
      </c>
      <c r="I63" s="183" t="s">
        <v>164</v>
      </c>
      <c r="J63" s="183" t="s">
        <v>33</v>
      </c>
      <c r="K63" s="183" t="s">
        <v>164</v>
      </c>
      <c r="L63" s="184">
        <v>98900</v>
      </c>
      <c r="M63" s="184">
        <v>99700</v>
      </c>
      <c r="N63" s="184">
        <v>100700</v>
      </c>
      <c r="O63" s="184">
        <v>101600</v>
      </c>
      <c r="P63" s="184">
        <v>102800</v>
      </c>
      <c r="Q63" s="184">
        <v>103800</v>
      </c>
      <c r="R63" s="184">
        <v>105500</v>
      </c>
      <c r="S63" s="184">
        <v>107100</v>
      </c>
      <c r="T63" s="184">
        <v>108300</v>
      </c>
      <c r="U63" s="184">
        <v>109000</v>
      </c>
      <c r="V63" s="184">
        <v>6300</v>
      </c>
      <c r="W63" s="184">
        <v>6300</v>
      </c>
      <c r="X63" s="184">
        <v>6400</v>
      </c>
      <c r="Y63" s="184">
        <v>6600</v>
      </c>
      <c r="Z63" s="184">
        <v>6900</v>
      </c>
      <c r="AA63" s="184">
        <v>7200</v>
      </c>
      <c r="AB63" s="184">
        <v>7700</v>
      </c>
      <c r="AC63" s="184">
        <v>8200</v>
      </c>
      <c r="AD63" s="184">
        <v>8300</v>
      </c>
      <c r="AE63" s="184">
        <v>8400</v>
      </c>
      <c r="AF63" s="187">
        <v>0.62205700123915741</v>
      </c>
      <c r="AG63" s="187">
        <v>6.5675340768277565E-2</v>
      </c>
      <c r="AH63" s="187">
        <v>7.6827757125154897E-2</v>
      </c>
      <c r="AI63" s="187">
        <v>0.17348203221809169</v>
      </c>
      <c r="AJ63" s="187">
        <v>4.8946716232961589E-2</v>
      </c>
      <c r="AK63" s="187">
        <v>1.3011152416356878E-2</v>
      </c>
      <c r="AL63" s="187">
        <v>0.37608426270136308</v>
      </c>
      <c r="AM63" s="184">
        <v>14546</v>
      </c>
      <c r="AN63" s="187">
        <v>0.49099408772171044</v>
      </c>
      <c r="AO63" s="187">
        <v>0.31527567716210642</v>
      </c>
      <c r="AP63" s="187">
        <v>0.19373023511618315</v>
      </c>
      <c r="AQ63" s="184">
        <v>1576</v>
      </c>
      <c r="AR63" s="184">
        <v>1716</v>
      </c>
      <c r="AS63" s="184">
        <v>1718</v>
      </c>
      <c r="AT63" s="184">
        <v>1648</v>
      </c>
      <c r="AU63" s="184">
        <v>1646</v>
      </c>
      <c r="AV63" s="186">
        <v>73</v>
      </c>
      <c r="AW63" s="186">
        <v>80</v>
      </c>
      <c r="AX63" s="186">
        <v>79</v>
      </c>
      <c r="AY63" s="186">
        <v>71</v>
      </c>
      <c r="AZ63" s="186">
        <v>66</v>
      </c>
      <c r="BA63" s="212" t="s">
        <v>164</v>
      </c>
      <c r="BB63" s="212" t="s">
        <v>164</v>
      </c>
      <c r="BC63" s="212" t="s">
        <v>164</v>
      </c>
      <c r="BD63" s="212" t="s">
        <v>164</v>
      </c>
      <c r="BE63" s="193" t="s">
        <v>164</v>
      </c>
      <c r="BF63" s="184"/>
      <c r="BG63" s="184"/>
      <c r="BH63" s="184"/>
      <c r="BI63" s="184"/>
      <c r="BJ63" s="184"/>
      <c r="BK63" s="184"/>
      <c r="BL63" s="186"/>
      <c r="BM63" s="186"/>
      <c r="BN63" s="186"/>
      <c r="BO63" s="186"/>
      <c r="BP63" s="186"/>
      <c r="BQ63" s="186"/>
      <c r="BR63" s="193"/>
      <c r="BS63" s="193"/>
      <c r="BT63" s="193"/>
      <c r="BU63" s="186">
        <v>3293</v>
      </c>
      <c r="BV63" s="186">
        <v>1363</v>
      </c>
      <c r="BW63" s="222">
        <v>0.4139082903127847</v>
      </c>
      <c r="BX63" s="186">
        <v>248</v>
      </c>
      <c r="BY63" s="237" t="s">
        <v>164</v>
      </c>
      <c r="BZ63" s="1676">
        <v>2084</v>
      </c>
      <c r="CA63" s="222">
        <v>4.8774779413485618E-2</v>
      </c>
      <c r="CB63" s="200">
        <f t="shared" si="55"/>
        <v>1650</v>
      </c>
      <c r="CC63" s="200">
        <f t="shared" si="55"/>
        <v>1650</v>
      </c>
      <c r="CD63" s="200">
        <v>1580</v>
      </c>
      <c r="CE63" s="200">
        <v>1475</v>
      </c>
      <c r="CF63" s="184">
        <v>3775</v>
      </c>
      <c r="CG63" s="187">
        <v>0.19</v>
      </c>
      <c r="CH63" s="184">
        <v>3775</v>
      </c>
      <c r="CI63" s="187">
        <v>0.187</v>
      </c>
      <c r="CJ63" s="184">
        <v>4090</v>
      </c>
      <c r="CK63" s="187">
        <v>0.19500000000000001</v>
      </c>
      <c r="CL63" s="184">
        <v>4165</v>
      </c>
      <c r="CM63" s="187">
        <v>0.19500000000000001</v>
      </c>
      <c r="CN63" s="184">
        <v>4165</v>
      </c>
      <c r="CO63" s="187">
        <v>0.19</v>
      </c>
      <c r="CP63" s="184">
        <v>3895</v>
      </c>
      <c r="CQ63" s="187">
        <v>0.17399999999999999</v>
      </c>
      <c r="CR63" s="184">
        <f t="shared" si="56"/>
        <v>1542</v>
      </c>
      <c r="CS63" s="184">
        <f t="shared" si="56"/>
        <v>48</v>
      </c>
      <c r="CT63" s="184">
        <f t="shared" si="56"/>
        <v>1494</v>
      </c>
      <c r="CU63" s="187">
        <f t="shared" si="23"/>
        <v>0.9688715953307393</v>
      </c>
      <c r="CV63" s="186">
        <f t="shared" si="57"/>
        <v>540</v>
      </c>
      <c r="CW63" s="186">
        <f t="shared" si="57"/>
        <v>809</v>
      </c>
      <c r="CX63" s="187">
        <f t="shared" si="58"/>
        <v>0.35019455252918286</v>
      </c>
      <c r="CY63" s="187">
        <f t="shared" si="59"/>
        <v>0.52464332036316474</v>
      </c>
      <c r="CZ63" s="187">
        <v>0.33746846270118325</v>
      </c>
      <c r="DA63" s="187">
        <v>0.3861338194092882</v>
      </c>
      <c r="DB63" s="187">
        <v>0.51615832316198718</v>
      </c>
      <c r="DC63" s="187">
        <v>0.56662746673729192</v>
      </c>
      <c r="DD63" s="200">
        <v>1032</v>
      </c>
      <c r="DE63" s="200">
        <v>86.688000000000002</v>
      </c>
      <c r="DF63" s="143">
        <v>8.4000000000000005E-2</v>
      </c>
      <c r="DG63" s="143">
        <v>6.7000000000000004E-2</v>
      </c>
      <c r="DH63" s="143">
        <v>0.10100000000000001</v>
      </c>
      <c r="DI63" s="178" t="str">
        <f t="shared" si="12"/>
        <v>No Sig diff</v>
      </c>
      <c r="DJ63" s="200">
        <v>1178</v>
      </c>
      <c r="DK63" s="200">
        <v>1178.098</v>
      </c>
      <c r="DL63" s="143">
        <v>9.8000000000000004E-2</v>
      </c>
      <c r="DM63" s="143">
        <v>8.1000000000000003E-2</v>
      </c>
      <c r="DN63" s="143">
        <v>0.115</v>
      </c>
      <c r="DO63" s="178" t="str">
        <f t="shared" si="13"/>
        <v>No Sig diff</v>
      </c>
      <c r="DP63" s="183">
        <v>998</v>
      </c>
      <c r="DQ63" s="201">
        <v>80.838000000000008</v>
      </c>
      <c r="DR63" s="143">
        <v>8.1000000000000003E-2</v>
      </c>
      <c r="DS63" s="143">
        <v>6.4000000000000001E-2</v>
      </c>
      <c r="DT63" s="143">
        <v>9.8000000000000004E-2</v>
      </c>
      <c r="DU63" s="178" t="str">
        <f t="shared" si="7"/>
        <v>No Sig diff</v>
      </c>
      <c r="DV63" s="183">
        <v>1197</v>
      </c>
      <c r="DW63" s="201">
        <v>111.321</v>
      </c>
      <c r="DX63" s="179">
        <v>9.2999999999999999E-2</v>
      </c>
      <c r="DY63" s="179">
        <v>7.6999999999999999E-2</v>
      </c>
      <c r="DZ63" s="179">
        <v>0.109</v>
      </c>
      <c r="EA63" s="178" t="str">
        <f t="shared" si="14"/>
        <v>No Sig diff</v>
      </c>
      <c r="EB63" s="183">
        <v>1000</v>
      </c>
      <c r="EC63" s="201">
        <v>190</v>
      </c>
      <c r="ED63" s="143">
        <v>0.19</v>
      </c>
      <c r="EE63" s="143">
        <v>0.16600000000000001</v>
      </c>
      <c r="EF63" s="143">
        <v>0.214</v>
      </c>
      <c r="EG63" s="178" t="str">
        <f t="shared" si="15"/>
        <v>No Sig diff</v>
      </c>
      <c r="EH63" s="183">
        <v>1121</v>
      </c>
      <c r="EI63" s="201">
        <v>193.93299999999999</v>
      </c>
      <c r="EJ63" s="143">
        <v>0.17299999999999999</v>
      </c>
      <c r="EK63" s="143">
        <v>0.151</v>
      </c>
      <c r="EL63" s="143">
        <v>0.19499999999999998</v>
      </c>
      <c r="EM63" s="178" t="str">
        <f t="shared" si="8"/>
        <v>No Sig diff</v>
      </c>
      <c r="EN63" s="183">
        <v>1131</v>
      </c>
      <c r="EO63" s="201">
        <v>212.62800000000001</v>
      </c>
      <c r="EP63" s="143">
        <v>0.188</v>
      </c>
      <c r="EQ63" s="143">
        <v>0.16500000000000001</v>
      </c>
      <c r="ER63" s="143">
        <v>0.21099999999999999</v>
      </c>
      <c r="ES63" s="178" t="str">
        <f t="shared" si="9"/>
        <v>No Sig diff</v>
      </c>
      <c r="ET63" s="183">
        <v>1083</v>
      </c>
      <c r="EU63" s="180">
        <v>211.185</v>
      </c>
      <c r="EV63" s="179">
        <v>0.19500000000000001</v>
      </c>
      <c r="EW63" s="179">
        <v>0.17100000000000001</v>
      </c>
      <c r="EX63" s="179">
        <v>0.219</v>
      </c>
      <c r="EY63" s="178" t="str">
        <f t="shared" si="10"/>
        <v>No Sig diff</v>
      </c>
      <c r="EZ63" s="207">
        <v>1440</v>
      </c>
      <c r="FA63" s="186">
        <v>693</v>
      </c>
      <c r="FB63" s="187">
        <v>0.48125000000000001</v>
      </c>
      <c r="FC63" s="187">
        <v>0.45552756226071045</v>
      </c>
      <c r="FD63" s="187">
        <v>0.50707220957012045</v>
      </c>
      <c r="FE63" s="208">
        <v>1440</v>
      </c>
      <c r="FF63" s="209">
        <v>34</v>
      </c>
      <c r="FG63" s="208">
        <v>288</v>
      </c>
      <c r="FH63" s="209">
        <v>22.378472222222197</v>
      </c>
      <c r="FI63" s="187">
        <v>0.34180964052287655</v>
      </c>
      <c r="FJ63" s="186">
        <v>1518</v>
      </c>
      <c r="FK63" s="186">
        <v>841</v>
      </c>
      <c r="FL63" s="187">
        <v>0.5540184453227931</v>
      </c>
      <c r="FM63" s="187">
        <v>0.52890795807318758</v>
      </c>
      <c r="FN63" s="187">
        <v>0.57885622396393932</v>
      </c>
      <c r="FO63" s="198">
        <v>1518</v>
      </c>
      <c r="FP63" s="199">
        <v>34</v>
      </c>
      <c r="FQ63" s="198">
        <v>303</v>
      </c>
      <c r="FR63" s="199">
        <v>22.61056105610562</v>
      </c>
      <c r="FS63" s="210">
        <v>0.33498349834983471</v>
      </c>
      <c r="FT63" s="200">
        <f t="shared" si="60"/>
        <v>13718</v>
      </c>
      <c r="FU63" s="200">
        <f t="shared" si="60"/>
        <v>13516</v>
      </c>
      <c r="FV63" s="200">
        <f t="shared" si="60"/>
        <v>202</v>
      </c>
      <c r="FW63" s="200">
        <f t="shared" si="60"/>
        <v>173</v>
      </c>
      <c r="FX63" s="200">
        <f t="shared" si="60"/>
        <v>29</v>
      </c>
      <c r="FY63" s="187">
        <f t="shared" si="17"/>
        <v>0.85643564356435642</v>
      </c>
      <c r="FZ63" s="187">
        <f t="shared" si="18"/>
        <v>0.14356435643564355</v>
      </c>
      <c r="GA63" s="197"/>
      <c r="GB63" s="197"/>
      <c r="GC63" s="197"/>
      <c r="GD63" s="197"/>
      <c r="GE63" s="197"/>
      <c r="GF63" s="197"/>
      <c r="GG63" s="197"/>
      <c r="GH63" s="197"/>
      <c r="GI63" s="197"/>
      <c r="GJ63" s="197"/>
      <c r="GK63" s="197"/>
      <c r="GL63" s="197"/>
      <c r="GM63" s="197"/>
      <c r="GN63" s="197"/>
      <c r="GO63" s="197"/>
      <c r="GP63" s="197"/>
      <c r="GQ63" s="186" t="s">
        <v>164</v>
      </c>
      <c r="GR63" s="186" t="s">
        <v>164</v>
      </c>
      <c r="GS63" s="186" t="s">
        <v>164</v>
      </c>
      <c r="GT63" s="186" t="s">
        <v>164</v>
      </c>
      <c r="GU63" s="186" t="s">
        <v>164</v>
      </c>
      <c r="GV63" s="186" t="s">
        <v>164</v>
      </c>
      <c r="GW63" s="186" t="s">
        <v>164</v>
      </c>
      <c r="GX63" s="186" t="s">
        <v>164</v>
      </c>
      <c r="GY63" s="186" t="s">
        <v>164</v>
      </c>
      <c r="GZ63" s="186" t="s">
        <v>164</v>
      </c>
      <c r="HA63" s="186" t="s">
        <v>164</v>
      </c>
      <c r="HB63" s="186" t="s">
        <v>164</v>
      </c>
      <c r="HC63" s="186" t="s">
        <v>164</v>
      </c>
      <c r="HD63" s="186" t="s">
        <v>164</v>
      </c>
      <c r="HE63" s="186" t="s">
        <v>164</v>
      </c>
      <c r="HF63" s="186" t="s">
        <v>164</v>
      </c>
      <c r="HG63" s="186" t="s">
        <v>164</v>
      </c>
      <c r="HH63" s="186" t="s">
        <v>164</v>
      </c>
      <c r="HI63" s="186" t="s">
        <v>164</v>
      </c>
      <c r="HJ63" s="186" t="s">
        <v>164</v>
      </c>
      <c r="HK63" s="186" t="s">
        <v>164</v>
      </c>
      <c r="HL63" s="186" t="s">
        <v>164</v>
      </c>
      <c r="HM63" s="186" t="s">
        <v>164</v>
      </c>
      <c r="HN63" s="186">
        <v>158</v>
      </c>
      <c r="HO63" s="187">
        <v>1.9602977667493797E-2</v>
      </c>
      <c r="HP63" s="217">
        <v>12900</v>
      </c>
      <c r="HQ63" s="217">
        <v>11233</v>
      </c>
      <c r="HR63" s="217">
        <v>1667</v>
      </c>
      <c r="HS63" s="1704">
        <v>0.12922480620155039</v>
      </c>
    </row>
    <row r="64" spans="1:227" ht="13.8" customHeight="1" x14ac:dyDescent="0.25">
      <c r="A64" s="183" t="s">
        <v>495</v>
      </c>
      <c r="B64" s="183"/>
      <c r="C64" s="183" t="s">
        <v>164</v>
      </c>
      <c r="D64" s="183" t="s">
        <v>164</v>
      </c>
      <c r="E64" s="183" t="s">
        <v>101</v>
      </c>
      <c r="F64" s="183"/>
      <c r="G64" s="183" t="s">
        <v>164</v>
      </c>
      <c r="H64" s="183" t="s">
        <v>164</v>
      </c>
      <c r="I64" s="183" t="s">
        <v>164</v>
      </c>
      <c r="J64" s="183" t="s">
        <v>705</v>
      </c>
      <c r="K64" s="183" t="s">
        <v>164</v>
      </c>
      <c r="L64" s="184">
        <v>124900</v>
      </c>
      <c r="M64" s="184">
        <v>125900</v>
      </c>
      <c r="N64" s="184">
        <v>127200</v>
      </c>
      <c r="O64" s="184">
        <v>128300</v>
      </c>
      <c r="P64" s="184">
        <v>129100</v>
      </c>
      <c r="Q64" s="184">
        <v>129800</v>
      </c>
      <c r="R64" s="184">
        <v>130900</v>
      </c>
      <c r="S64" s="184">
        <v>131500</v>
      </c>
      <c r="T64" s="184">
        <v>132200</v>
      </c>
      <c r="U64" s="184">
        <v>132900</v>
      </c>
      <c r="V64" s="184">
        <v>7000</v>
      </c>
      <c r="W64" s="184">
        <v>6800</v>
      </c>
      <c r="X64" s="184">
        <v>6700</v>
      </c>
      <c r="Y64" s="184">
        <v>7000</v>
      </c>
      <c r="Z64" s="184">
        <v>7000</v>
      </c>
      <c r="AA64" s="184">
        <v>7000</v>
      </c>
      <c r="AB64" s="184">
        <v>7100</v>
      </c>
      <c r="AC64" s="184">
        <v>7100</v>
      </c>
      <c r="AD64" s="184">
        <v>7200</v>
      </c>
      <c r="AE64" s="184">
        <v>7100</v>
      </c>
      <c r="AF64" s="187">
        <v>0.89580419580419579</v>
      </c>
      <c r="AG64" s="187">
        <v>3.2167832167832165E-2</v>
      </c>
      <c r="AH64" s="187">
        <v>4.1258741258741259E-2</v>
      </c>
      <c r="AI64" s="187">
        <v>2.5174825174825177E-2</v>
      </c>
      <c r="AJ64" s="187">
        <v>4.1958041958041958E-3</v>
      </c>
      <c r="AK64" s="187">
        <v>2.0979020979020979E-3</v>
      </c>
      <c r="AL64" s="187">
        <v>0.10279720279720279</v>
      </c>
      <c r="AM64" s="184">
        <v>14358</v>
      </c>
      <c r="AN64" s="187">
        <v>0.70344059061150577</v>
      </c>
      <c r="AO64" s="187">
        <v>0.1424293077030227</v>
      </c>
      <c r="AP64" s="187">
        <v>0.1541301016854715</v>
      </c>
      <c r="AQ64" s="184">
        <v>1368</v>
      </c>
      <c r="AR64" s="184">
        <v>1313</v>
      </c>
      <c r="AS64" s="184">
        <v>1308</v>
      </c>
      <c r="AT64" s="184">
        <v>1290</v>
      </c>
      <c r="AU64" s="184">
        <v>1261</v>
      </c>
      <c r="AV64" s="186">
        <v>49</v>
      </c>
      <c r="AW64" s="186">
        <v>35</v>
      </c>
      <c r="AX64" s="186">
        <v>21</v>
      </c>
      <c r="AY64" s="186">
        <v>34</v>
      </c>
      <c r="AZ64" s="186">
        <v>31</v>
      </c>
      <c r="BA64" s="212" t="s">
        <v>164</v>
      </c>
      <c r="BB64" s="212" t="s">
        <v>164</v>
      </c>
      <c r="BC64" s="212" t="s">
        <v>164</v>
      </c>
      <c r="BD64" s="212" t="s">
        <v>164</v>
      </c>
      <c r="BE64" s="193" t="s">
        <v>164</v>
      </c>
      <c r="BF64" s="184"/>
      <c r="BG64" s="184"/>
      <c r="BH64" s="184"/>
      <c r="BI64" s="184"/>
      <c r="BJ64" s="184"/>
      <c r="BK64" s="184"/>
      <c r="BL64" s="186"/>
      <c r="BM64" s="186"/>
      <c r="BN64" s="186"/>
      <c r="BO64" s="186"/>
      <c r="BP64" s="186"/>
      <c r="BQ64" s="186"/>
      <c r="BR64" s="193"/>
      <c r="BS64" s="193"/>
      <c r="BT64" s="193"/>
      <c r="BU64" s="186">
        <v>2460</v>
      </c>
      <c r="BV64" s="186">
        <v>693</v>
      </c>
      <c r="BW64" s="222">
        <v>0.2817073170731707</v>
      </c>
      <c r="BX64" s="186">
        <v>257</v>
      </c>
      <c r="BY64" s="237" t="s">
        <v>164</v>
      </c>
      <c r="BZ64" s="1676">
        <v>1504</v>
      </c>
      <c r="CA64" s="222">
        <v>2.7383791854050217E-2</v>
      </c>
      <c r="CB64" s="200">
        <f t="shared" si="55"/>
        <v>835</v>
      </c>
      <c r="CC64" s="200">
        <f t="shared" si="55"/>
        <v>815</v>
      </c>
      <c r="CD64" s="200">
        <v>760</v>
      </c>
      <c r="CE64" s="200">
        <v>765</v>
      </c>
      <c r="CF64" s="184">
        <v>2155</v>
      </c>
      <c r="CG64" s="187">
        <v>9.1999999999999998E-2</v>
      </c>
      <c r="CH64" s="184">
        <v>2065</v>
      </c>
      <c r="CI64" s="187">
        <v>8.8999999999999996E-2</v>
      </c>
      <c r="CJ64" s="184">
        <v>2275</v>
      </c>
      <c r="CK64" s="187">
        <v>9.8000000000000004E-2</v>
      </c>
      <c r="CL64" s="184">
        <v>2195</v>
      </c>
      <c r="CM64" s="187">
        <v>9.5000000000000001E-2</v>
      </c>
      <c r="CN64" s="184">
        <v>2095</v>
      </c>
      <c r="CO64" s="187">
        <v>9.0999999999999998E-2</v>
      </c>
      <c r="CP64" s="184">
        <v>1885</v>
      </c>
      <c r="CQ64" s="187">
        <v>8.2000000000000003E-2</v>
      </c>
      <c r="CR64" s="184">
        <f t="shared" si="56"/>
        <v>1311</v>
      </c>
      <c r="CS64" s="184">
        <f t="shared" si="56"/>
        <v>36</v>
      </c>
      <c r="CT64" s="184">
        <f t="shared" si="56"/>
        <v>1275</v>
      </c>
      <c r="CU64" s="187">
        <f t="shared" si="23"/>
        <v>0.97254004576659037</v>
      </c>
      <c r="CV64" s="186">
        <f t="shared" si="57"/>
        <v>591</v>
      </c>
      <c r="CW64" s="186">
        <f t="shared" si="57"/>
        <v>772</v>
      </c>
      <c r="CX64" s="187">
        <f t="shared" si="58"/>
        <v>0.45080091533180777</v>
      </c>
      <c r="CY64" s="187">
        <f t="shared" si="59"/>
        <v>0.58886346300533943</v>
      </c>
      <c r="CZ64" s="187">
        <v>0.43630751092380765</v>
      </c>
      <c r="DA64" s="187">
        <v>0.49097042560875431</v>
      </c>
      <c r="DB64" s="187">
        <v>0.578384057897111</v>
      </c>
      <c r="DC64" s="187">
        <v>0.63196255578827432</v>
      </c>
      <c r="DD64" s="200">
        <v>1215</v>
      </c>
      <c r="DE64" s="200">
        <v>82.62</v>
      </c>
      <c r="DF64" s="143">
        <v>6.8000000000000005E-2</v>
      </c>
      <c r="DG64" s="143">
        <v>5.4000000000000006E-2</v>
      </c>
      <c r="DH64" s="143">
        <v>8.2000000000000003E-2</v>
      </c>
      <c r="DI64" s="178" t="str">
        <f t="shared" si="12"/>
        <v>Sig better than Eng.</v>
      </c>
      <c r="DJ64" s="200">
        <v>1230</v>
      </c>
      <c r="DK64" s="200">
        <v>1230.078</v>
      </c>
      <c r="DL64" s="143">
        <v>7.8E-2</v>
      </c>
      <c r="DM64" s="143">
        <v>6.3E-2</v>
      </c>
      <c r="DN64" s="143">
        <v>9.2999999999999999E-2</v>
      </c>
      <c r="DO64" s="178" t="str">
        <f t="shared" si="13"/>
        <v>No Sig diff</v>
      </c>
      <c r="DP64" s="183">
        <v>838</v>
      </c>
      <c r="DQ64" s="201">
        <v>70.39200000000001</v>
      </c>
      <c r="DR64" s="143">
        <v>8.4000000000000005E-2</v>
      </c>
      <c r="DS64" s="143">
        <v>6.5000000000000002E-2</v>
      </c>
      <c r="DT64" s="143">
        <v>0.10300000000000001</v>
      </c>
      <c r="DU64" s="178" t="str">
        <f t="shared" si="7"/>
        <v>No Sig diff</v>
      </c>
      <c r="DV64" s="183">
        <v>1171</v>
      </c>
      <c r="DW64" s="201">
        <v>88.995999999999995</v>
      </c>
      <c r="DX64" s="179">
        <v>7.5999999999999998E-2</v>
      </c>
      <c r="DY64" s="179">
        <v>6.0999999999999999E-2</v>
      </c>
      <c r="DZ64" s="179">
        <v>9.0999999999999998E-2</v>
      </c>
      <c r="EA64" s="178" t="str">
        <f t="shared" si="14"/>
        <v>Sig better than Eng.</v>
      </c>
      <c r="EB64" s="183">
        <v>1236</v>
      </c>
      <c r="EC64" s="201">
        <v>187.87199999999999</v>
      </c>
      <c r="ED64" s="143">
        <v>0.152</v>
      </c>
      <c r="EE64" s="143">
        <v>0.13200000000000001</v>
      </c>
      <c r="EF64" s="143">
        <v>0.17199999999999999</v>
      </c>
      <c r="EG64" s="178" t="str">
        <f t="shared" si="15"/>
        <v>Sig better than Eng.</v>
      </c>
      <c r="EH64" s="183">
        <v>1267</v>
      </c>
      <c r="EI64" s="201">
        <v>184.982</v>
      </c>
      <c r="EJ64" s="143">
        <v>0.14599999999999999</v>
      </c>
      <c r="EK64" s="143">
        <v>0.127</v>
      </c>
      <c r="EL64" s="143">
        <v>0.16499999999999998</v>
      </c>
      <c r="EM64" s="178" t="str">
        <f t="shared" si="8"/>
        <v>Sig better than Eng.</v>
      </c>
      <c r="EN64" s="183">
        <v>1196</v>
      </c>
      <c r="EO64" s="201">
        <v>149.5</v>
      </c>
      <c r="EP64" s="143">
        <v>0.125</v>
      </c>
      <c r="EQ64" s="143">
        <v>0.106</v>
      </c>
      <c r="ER64" s="143">
        <v>0.14399999999999999</v>
      </c>
      <c r="ES64" s="178" t="str">
        <f t="shared" si="9"/>
        <v>Sig better than Eng.</v>
      </c>
      <c r="ET64" s="183">
        <v>1110</v>
      </c>
      <c r="EU64" s="180">
        <v>135.41999999999999</v>
      </c>
      <c r="EV64" s="179">
        <v>0.122</v>
      </c>
      <c r="EW64" s="179">
        <v>0.10299999999999999</v>
      </c>
      <c r="EX64" s="179">
        <v>0.14099999999999999</v>
      </c>
      <c r="EY64" s="178" t="str">
        <f t="shared" si="10"/>
        <v>Sig better than Eng.</v>
      </c>
      <c r="EZ64" s="207">
        <v>1370</v>
      </c>
      <c r="FA64" s="186">
        <v>798</v>
      </c>
      <c r="FB64" s="187">
        <v>0.58248175182481754</v>
      </c>
      <c r="FC64" s="187">
        <v>0.55617303817911246</v>
      </c>
      <c r="FD64" s="187">
        <v>0.60832920372731425</v>
      </c>
      <c r="FE64" s="208">
        <v>1370</v>
      </c>
      <c r="FF64" s="209">
        <v>34</v>
      </c>
      <c r="FG64" s="208">
        <v>274</v>
      </c>
      <c r="FH64" s="209">
        <v>25.514598540145979</v>
      </c>
      <c r="FI64" s="187">
        <v>0.24957063117217709</v>
      </c>
      <c r="FJ64" s="186">
        <v>1498</v>
      </c>
      <c r="FK64" s="186">
        <v>936</v>
      </c>
      <c r="FL64" s="187">
        <v>0.62483311081441928</v>
      </c>
      <c r="FM64" s="187">
        <v>0.6000250238085405</v>
      </c>
      <c r="FN64" s="187">
        <v>0.64900259345652012</v>
      </c>
      <c r="FO64" s="198">
        <v>1498</v>
      </c>
      <c r="FP64" s="199">
        <v>34</v>
      </c>
      <c r="FQ64" s="198">
        <v>299</v>
      </c>
      <c r="FR64" s="199">
        <v>25.789297658862878</v>
      </c>
      <c r="FS64" s="210">
        <v>0.24149124532756239</v>
      </c>
      <c r="FT64" s="200">
        <f t="shared" si="60"/>
        <v>21707</v>
      </c>
      <c r="FU64" s="200">
        <f t="shared" si="60"/>
        <v>21226</v>
      </c>
      <c r="FV64" s="200">
        <f t="shared" si="60"/>
        <v>481</v>
      </c>
      <c r="FW64" s="200">
        <f t="shared" si="60"/>
        <v>408</v>
      </c>
      <c r="FX64" s="200">
        <f t="shared" si="60"/>
        <v>73</v>
      </c>
      <c r="FY64" s="187">
        <f t="shared" si="17"/>
        <v>0.84823284823284828</v>
      </c>
      <c r="FZ64" s="187">
        <f t="shared" si="18"/>
        <v>0.15176715176715178</v>
      </c>
      <c r="GA64" s="197"/>
      <c r="GB64" s="197"/>
      <c r="GC64" s="197"/>
      <c r="GD64" s="197"/>
      <c r="GE64" s="197"/>
      <c r="GF64" s="197"/>
      <c r="GG64" s="197"/>
      <c r="GH64" s="197"/>
      <c r="GI64" s="197"/>
      <c r="GJ64" s="197"/>
      <c r="GK64" s="197"/>
      <c r="GL64" s="197"/>
      <c r="GM64" s="197"/>
      <c r="GN64" s="197"/>
      <c r="GO64" s="197"/>
      <c r="GP64" s="197"/>
      <c r="GQ64" s="186" t="s">
        <v>164</v>
      </c>
      <c r="GR64" s="186" t="s">
        <v>164</v>
      </c>
      <c r="GS64" s="186" t="s">
        <v>164</v>
      </c>
      <c r="GT64" s="186" t="s">
        <v>164</v>
      </c>
      <c r="GU64" s="186" t="s">
        <v>164</v>
      </c>
      <c r="GV64" s="186" t="s">
        <v>164</v>
      </c>
      <c r="GW64" s="186" t="s">
        <v>164</v>
      </c>
      <c r="GX64" s="186" t="s">
        <v>164</v>
      </c>
      <c r="GY64" s="186" t="s">
        <v>164</v>
      </c>
      <c r="GZ64" s="186" t="s">
        <v>164</v>
      </c>
      <c r="HA64" s="186" t="s">
        <v>164</v>
      </c>
      <c r="HB64" s="186" t="s">
        <v>164</v>
      </c>
      <c r="HC64" s="186" t="s">
        <v>164</v>
      </c>
      <c r="HD64" s="186" t="s">
        <v>164</v>
      </c>
      <c r="HE64" s="186" t="s">
        <v>164</v>
      </c>
      <c r="HF64" s="186" t="s">
        <v>164</v>
      </c>
      <c r="HG64" s="186" t="s">
        <v>164</v>
      </c>
      <c r="HH64" s="186" t="s">
        <v>164</v>
      </c>
      <c r="HI64" s="186" t="s">
        <v>164</v>
      </c>
      <c r="HJ64" s="186" t="s">
        <v>164</v>
      </c>
      <c r="HK64" s="186" t="s">
        <v>164</v>
      </c>
      <c r="HL64" s="186" t="s">
        <v>164</v>
      </c>
      <c r="HM64" s="186" t="s">
        <v>164</v>
      </c>
      <c r="HN64" s="186">
        <v>120</v>
      </c>
      <c r="HO64" s="187">
        <v>1.6809076901526825E-2</v>
      </c>
      <c r="HP64" s="217">
        <v>11145</v>
      </c>
      <c r="HQ64" s="217">
        <v>10372</v>
      </c>
      <c r="HR64" s="217">
        <v>773</v>
      </c>
      <c r="HS64" s="1704">
        <v>6.935845670704352E-2</v>
      </c>
    </row>
    <row r="65" spans="1:227" ht="13.8" customHeight="1" x14ac:dyDescent="0.25">
      <c r="A65" s="183" t="s">
        <v>496</v>
      </c>
      <c r="B65" s="183"/>
      <c r="C65" s="183" t="s">
        <v>164</v>
      </c>
      <c r="D65" s="183" t="s">
        <v>164</v>
      </c>
      <c r="E65" s="183" t="s">
        <v>102</v>
      </c>
      <c r="F65" s="183"/>
      <c r="G65" s="183" t="s">
        <v>164</v>
      </c>
      <c r="H65" s="183" t="s">
        <v>164</v>
      </c>
      <c r="I65" s="183" t="s">
        <v>164</v>
      </c>
      <c r="J65" s="183" t="s">
        <v>703</v>
      </c>
      <c r="K65" s="183" t="s">
        <v>164</v>
      </c>
      <c r="L65" s="184">
        <v>129500</v>
      </c>
      <c r="M65" s="184">
        <v>130500</v>
      </c>
      <c r="N65" s="184">
        <v>132100</v>
      </c>
      <c r="O65" s="184">
        <v>134000</v>
      </c>
      <c r="P65" s="184">
        <v>135700</v>
      </c>
      <c r="Q65" s="184">
        <v>137200</v>
      </c>
      <c r="R65" s="184">
        <v>138900</v>
      </c>
      <c r="S65" s="184">
        <v>140200</v>
      </c>
      <c r="T65" s="184">
        <v>141200</v>
      </c>
      <c r="U65" s="184">
        <v>142800</v>
      </c>
      <c r="V65" s="184">
        <v>7400</v>
      </c>
      <c r="W65" s="184">
        <v>7500</v>
      </c>
      <c r="X65" s="184">
        <v>7700</v>
      </c>
      <c r="Y65" s="184">
        <v>8000</v>
      </c>
      <c r="Z65" s="184">
        <v>8100</v>
      </c>
      <c r="AA65" s="184">
        <v>8100</v>
      </c>
      <c r="AB65" s="184">
        <v>8200</v>
      </c>
      <c r="AC65" s="184">
        <v>8300</v>
      </c>
      <c r="AD65" s="184">
        <v>8500</v>
      </c>
      <c r="AE65" s="184">
        <v>8500</v>
      </c>
      <c r="AF65" s="187">
        <v>0.87477531455961655</v>
      </c>
      <c r="AG65" s="187">
        <v>3.8945476333133611E-2</v>
      </c>
      <c r="AH65" s="187">
        <v>4.0143798681845415E-2</v>
      </c>
      <c r="AI65" s="187">
        <v>3.9544637507489516E-2</v>
      </c>
      <c r="AJ65" s="187">
        <v>5.3924505692031152E-3</v>
      </c>
      <c r="AK65" s="187">
        <v>5.9916117435590175E-4</v>
      </c>
      <c r="AL65" s="187">
        <v>0.12103055721989216</v>
      </c>
      <c r="AM65" s="184">
        <v>16498</v>
      </c>
      <c r="AN65" s="187">
        <v>0.71044975148502854</v>
      </c>
      <c r="AO65" s="187">
        <v>0.12456055279427809</v>
      </c>
      <c r="AP65" s="187">
        <v>0.16498969572069341</v>
      </c>
      <c r="AQ65" s="184">
        <v>1479</v>
      </c>
      <c r="AR65" s="184">
        <v>1527</v>
      </c>
      <c r="AS65" s="184">
        <v>1524</v>
      </c>
      <c r="AT65" s="184">
        <v>1545</v>
      </c>
      <c r="AU65" s="184">
        <v>1512</v>
      </c>
      <c r="AV65" s="186">
        <v>46</v>
      </c>
      <c r="AW65" s="186">
        <v>43</v>
      </c>
      <c r="AX65" s="186">
        <v>42</v>
      </c>
      <c r="AY65" s="186">
        <v>28</v>
      </c>
      <c r="AZ65" s="186">
        <v>39</v>
      </c>
      <c r="BA65" s="212" t="s">
        <v>164</v>
      </c>
      <c r="BB65" s="212" t="s">
        <v>164</v>
      </c>
      <c r="BC65" s="212" t="s">
        <v>164</v>
      </c>
      <c r="BD65" s="212" t="s">
        <v>164</v>
      </c>
      <c r="BE65" s="193" t="s">
        <v>164</v>
      </c>
      <c r="BF65" s="184"/>
      <c r="BG65" s="184"/>
      <c r="BH65" s="184"/>
      <c r="BI65" s="184"/>
      <c r="BJ65" s="184"/>
      <c r="BK65" s="184"/>
      <c r="BL65" s="186"/>
      <c r="BM65" s="186"/>
      <c r="BN65" s="186"/>
      <c r="BO65" s="186"/>
      <c r="BP65" s="186"/>
      <c r="BQ65" s="186"/>
      <c r="BR65" s="193"/>
      <c r="BS65" s="193"/>
      <c r="BT65" s="193"/>
      <c r="BU65" s="186">
        <v>2645</v>
      </c>
      <c r="BV65" s="186">
        <v>656</v>
      </c>
      <c r="BW65" s="222">
        <v>0.24801512287334593</v>
      </c>
      <c r="BX65" s="186">
        <v>222</v>
      </c>
      <c r="BY65" s="237" t="s">
        <v>164</v>
      </c>
      <c r="BZ65" s="1676">
        <v>1360</v>
      </c>
      <c r="CA65" s="222">
        <v>2.3689665383476458E-2</v>
      </c>
      <c r="CB65" s="200">
        <f t="shared" si="55"/>
        <v>740</v>
      </c>
      <c r="CC65" s="200">
        <f t="shared" si="55"/>
        <v>770</v>
      </c>
      <c r="CD65" s="200">
        <v>785</v>
      </c>
      <c r="CE65" s="200">
        <v>691</v>
      </c>
      <c r="CF65" s="184">
        <v>2145</v>
      </c>
      <c r="CG65" s="187">
        <v>8.6999999999999994E-2</v>
      </c>
      <c r="CH65" s="184">
        <v>2025</v>
      </c>
      <c r="CI65" s="187">
        <v>8.2000000000000003E-2</v>
      </c>
      <c r="CJ65" s="184">
        <v>2235</v>
      </c>
      <c r="CK65" s="187">
        <v>8.8999999999999996E-2</v>
      </c>
      <c r="CL65" s="184">
        <v>2140</v>
      </c>
      <c r="CM65" s="187">
        <v>8.5000000000000006E-2</v>
      </c>
      <c r="CN65" s="184">
        <v>2130</v>
      </c>
      <c r="CO65" s="187">
        <v>8.4000000000000005E-2</v>
      </c>
      <c r="CP65" s="184">
        <v>1955</v>
      </c>
      <c r="CQ65" s="187">
        <v>7.6999999999999999E-2</v>
      </c>
      <c r="CR65" s="184">
        <f t="shared" si="56"/>
        <v>1479</v>
      </c>
      <c r="CS65" s="184">
        <f t="shared" si="56"/>
        <v>37</v>
      </c>
      <c r="CT65" s="184">
        <f t="shared" si="56"/>
        <v>1442</v>
      </c>
      <c r="CU65" s="187">
        <f t="shared" si="23"/>
        <v>0.9749830966869506</v>
      </c>
      <c r="CV65" s="186">
        <f t="shared" si="57"/>
        <v>703</v>
      </c>
      <c r="CW65" s="186">
        <f t="shared" si="57"/>
        <v>902</v>
      </c>
      <c r="CX65" s="187">
        <f t="shared" si="58"/>
        <v>0.4753211629479378</v>
      </c>
      <c r="CY65" s="187">
        <f t="shared" si="59"/>
        <v>0.6098715348208249</v>
      </c>
      <c r="CZ65" s="187">
        <v>0.46178547096975064</v>
      </c>
      <c r="DA65" s="187">
        <v>0.5133155359455297</v>
      </c>
      <c r="DB65" s="187">
        <v>0.60023666993052949</v>
      </c>
      <c r="DC65" s="187">
        <v>0.65013653831026252</v>
      </c>
      <c r="DD65" s="200">
        <v>1248</v>
      </c>
      <c r="DE65" s="200">
        <v>74.88</v>
      </c>
      <c r="DF65" s="143">
        <v>0.06</v>
      </c>
      <c r="DG65" s="143">
        <v>4.7E-2</v>
      </c>
      <c r="DH65" s="143">
        <v>7.2999999999999995E-2</v>
      </c>
      <c r="DI65" s="178" t="str">
        <f t="shared" si="12"/>
        <v>Sig better than Eng.</v>
      </c>
      <c r="DJ65" s="200">
        <v>1357</v>
      </c>
      <c r="DK65" s="200">
        <v>1357.069</v>
      </c>
      <c r="DL65" s="143">
        <v>6.9000000000000006E-2</v>
      </c>
      <c r="DM65" s="143">
        <v>5.6000000000000008E-2</v>
      </c>
      <c r="DN65" s="143">
        <v>8.2000000000000003E-2</v>
      </c>
      <c r="DO65" s="178" t="str">
        <f t="shared" si="13"/>
        <v>Sig better than Eng.</v>
      </c>
      <c r="DP65" s="183">
        <v>1386</v>
      </c>
      <c r="DQ65" s="201">
        <v>73.457999999999998</v>
      </c>
      <c r="DR65" s="143">
        <v>5.2999999999999999E-2</v>
      </c>
      <c r="DS65" s="143">
        <v>4.0999999999999995E-2</v>
      </c>
      <c r="DT65" s="143">
        <v>6.5000000000000002E-2</v>
      </c>
      <c r="DU65" s="178" t="str">
        <f t="shared" si="7"/>
        <v>Sig better than Eng.</v>
      </c>
      <c r="DV65" s="183">
        <v>1334</v>
      </c>
      <c r="DW65" s="201">
        <v>92.046000000000006</v>
      </c>
      <c r="DX65" s="179">
        <v>6.9000000000000006E-2</v>
      </c>
      <c r="DY65" s="179">
        <v>5.5000000000000007E-2</v>
      </c>
      <c r="DZ65" s="179">
        <v>8.3000000000000004E-2</v>
      </c>
      <c r="EA65" s="178" t="str">
        <f t="shared" si="14"/>
        <v>Sig better than Eng.</v>
      </c>
      <c r="EB65" s="183">
        <v>1270</v>
      </c>
      <c r="EC65" s="201">
        <v>180.33999999999997</v>
      </c>
      <c r="ED65" s="143">
        <v>0.14199999999999999</v>
      </c>
      <c r="EE65" s="143">
        <v>0.12299999999999998</v>
      </c>
      <c r="EF65" s="143">
        <v>0.16099999999999998</v>
      </c>
      <c r="EG65" s="178" t="str">
        <f t="shared" si="15"/>
        <v>Sig better than Eng.</v>
      </c>
      <c r="EH65" s="183">
        <v>1176</v>
      </c>
      <c r="EI65" s="201">
        <v>145.82400000000001</v>
      </c>
      <c r="EJ65" s="143">
        <v>0.124</v>
      </c>
      <c r="EK65" s="143">
        <v>0.105</v>
      </c>
      <c r="EL65" s="143">
        <v>0.14299999999999999</v>
      </c>
      <c r="EM65" s="178" t="str">
        <f t="shared" si="8"/>
        <v>Sig better than Eng.</v>
      </c>
      <c r="EN65" s="183">
        <v>1223</v>
      </c>
      <c r="EO65" s="201">
        <v>160.21299999999999</v>
      </c>
      <c r="EP65" s="143">
        <v>0.13100000000000001</v>
      </c>
      <c r="EQ65" s="143">
        <v>0.112</v>
      </c>
      <c r="ER65" s="143">
        <v>0.15</v>
      </c>
      <c r="ES65" s="178" t="str">
        <f t="shared" si="9"/>
        <v>Sig better than Eng.</v>
      </c>
      <c r="ET65" s="183">
        <v>1192</v>
      </c>
      <c r="EU65" s="180">
        <v>135.88800000000001</v>
      </c>
      <c r="EV65" s="179">
        <v>0.114</v>
      </c>
      <c r="EW65" s="179">
        <v>9.6000000000000002E-2</v>
      </c>
      <c r="EX65" s="179">
        <v>0.13200000000000001</v>
      </c>
      <c r="EY65" s="178" t="str">
        <f t="shared" si="10"/>
        <v>Sig better than Eng.</v>
      </c>
      <c r="EZ65" s="207">
        <v>1637</v>
      </c>
      <c r="FA65" s="186">
        <v>947</v>
      </c>
      <c r="FB65" s="187">
        <v>0.57849725106902872</v>
      </c>
      <c r="FC65" s="187">
        <v>0.55442004800520173</v>
      </c>
      <c r="FD65" s="187">
        <v>0.60220690618250572</v>
      </c>
      <c r="FE65" s="208">
        <v>1637</v>
      </c>
      <c r="FF65" s="209">
        <v>34</v>
      </c>
      <c r="FG65" s="208">
        <v>327</v>
      </c>
      <c r="FH65" s="209">
        <v>25.431192660550472</v>
      </c>
      <c r="FI65" s="187">
        <v>0.25202374527792726</v>
      </c>
      <c r="FJ65" s="186">
        <v>1614</v>
      </c>
      <c r="FK65" s="186">
        <v>1025</v>
      </c>
      <c r="FL65" s="187">
        <v>0.63506815365551428</v>
      </c>
      <c r="FM65" s="187">
        <v>0.61128697123654441</v>
      </c>
      <c r="FN65" s="187">
        <v>0.65820791506573717</v>
      </c>
      <c r="FO65" s="198">
        <v>1614</v>
      </c>
      <c r="FP65" s="199">
        <v>34</v>
      </c>
      <c r="FQ65" s="198">
        <v>322</v>
      </c>
      <c r="FR65" s="199">
        <v>26.602484472049689</v>
      </c>
      <c r="FS65" s="210">
        <v>0.21757398611618561</v>
      </c>
      <c r="FT65" s="200">
        <f t="shared" si="60"/>
        <v>22188</v>
      </c>
      <c r="FU65" s="200">
        <f t="shared" si="60"/>
        <v>21777</v>
      </c>
      <c r="FV65" s="200">
        <f t="shared" si="60"/>
        <v>411</v>
      </c>
      <c r="FW65" s="200">
        <f t="shared" si="60"/>
        <v>362</v>
      </c>
      <c r="FX65" s="200">
        <f t="shared" si="60"/>
        <v>49</v>
      </c>
      <c r="FY65" s="187">
        <f t="shared" si="17"/>
        <v>0.88077858880778592</v>
      </c>
      <c r="FZ65" s="187">
        <f t="shared" si="18"/>
        <v>0.11922141119221411</v>
      </c>
      <c r="GA65" s="197"/>
      <c r="GB65" s="197"/>
      <c r="GC65" s="197"/>
      <c r="GD65" s="197"/>
      <c r="GE65" s="197"/>
      <c r="GF65" s="197"/>
      <c r="GG65" s="197"/>
      <c r="GH65" s="197"/>
      <c r="GI65" s="197"/>
      <c r="GJ65" s="197"/>
      <c r="GK65" s="197"/>
      <c r="GL65" s="197"/>
      <c r="GM65" s="197"/>
      <c r="GN65" s="197"/>
      <c r="GO65" s="197"/>
      <c r="GP65" s="197"/>
      <c r="GQ65" s="186" t="s">
        <v>164</v>
      </c>
      <c r="GR65" s="186" t="s">
        <v>164</v>
      </c>
      <c r="GS65" s="186" t="s">
        <v>164</v>
      </c>
      <c r="GT65" s="186" t="s">
        <v>164</v>
      </c>
      <c r="GU65" s="186" t="s">
        <v>164</v>
      </c>
      <c r="GV65" s="186" t="s">
        <v>164</v>
      </c>
      <c r="GW65" s="186" t="s">
        <v>164</v>
      </c>
      <c r="GX65" s="186" t="s">
        <v>164</v>
      </c>
      <c r="GY65" s="186" t="s">
        <v>164</v>
      </c>
      <c r="GZ65" s="186" t="s">
        <v>164</v>
      </c>
      <c r="HA65" s="186" t="s">
        <v>164</v>
      </c>
      <c r="HB65" s="186" t="s">
        <v>164</v>
      </c>
      <c r="HC65" s="186" t="s">
        <v>164</v>
      </c>
      <c r="HD65" s="186" t="s">
        <v>164</v>
      </c>
      <c r="HE65" s="186" t="s">
        <v>164</v>
      </c>
      <c r="HF65" s="186" t="s">
        <v>164</v>
      </c>
      <c r="HG65" s="186" t="s">
        <v>164</v>
      </c>
      <c r="HH65" s="186" t="s">
        <v>164</v>
      </c>
      <c r="HI65" s="186" t="s">
        <v>164</v>
      </c>
      <c r="HJ65" s="186" t="s">
        <v>164</v>
      </c>
      <c r="HK65" s="186" t="s">
        <v>164</v>
      </c>
      <c r="HL65" s="186" t="s">
        <v>164</v>
      </c>
      <c r="HM65" s="186" t="s">
        <v>164</v>
      </c>
      <c r="HN65" s="186">
        <v>140</v>
      </c>
      <c r="HO65" s="187">
        <v>1.6794625719769675E-2</v>
      </c>
      <c r="HP65" s="217">
        <v>13214</v>
      </c>
      <c r="HQ65" s="217">
        <v>12411</v>
      </c>
      <c r="HR65" s="217">
        <v>803</v>
      </c>
      <c r="HS65" s="1704">
        <v>6.0768881489329497E-2</v>
      </c>
    </row>
    <row r="66" spans="1:227" ht="13.8" customHeight="1" x14ac:dyDescent="0.25">
      <c r="A66" s="183" t="s">
        <v>497</v>
      </c>
      <c r="B66" s="183"/>
      <c r="C66" s="183" t="s">
        <v>164</v>
      </c>
      <c r="D66" s="183" t="s">
        <v>164</v>
      </c>
      <c r="E66" s="183" t="s">
        <v>37</v>
      </c>
      <c r="F66" s="183"/>
      <c r="G66" s="183" t="s">
        <v>164</v>
      </c>
      <c r="H66" s="183" t="s">
        <v>164</v>
      </c>
      <c r="I66" s="183" t="s">
        <v>164</v>
      </c>
      <c r="J66" s="183" t="s">
        <v>704</v>
      </c>
      <c r="K66" s="183" t="s">
        <v>164</v>
      </c>
      <c r="L66" s="184">
        <v>99500</v>
      </c>
      <c r="M66" s="184">
        <v>100100</v>
      </c>
      <c r="N66" s="184">
        <v>100600</v>
      </c>
      <c r="O66" s="184">
        <v>101500</v>
      </c>
      <c r="P66" s="184">
        <v>102400</v>
      </c>
      <c r="Q66" s="184">
        <v>102800</v>
      </c>
      <c r="R66" s="184">
        <v>103800</v>
      </c>
      <c r="S66" s="184">
        <v>105000</v>
      </c>
      <c r="T66" s="184">
        <v>105700</v>
      </c>
      <c r="U66" s="184">
        <v>106100</v>
      </c>
      <c r="V66" s="184">
        <v>5400</v>
      </c>
      <c r="W66" s="184">
        <v>5400</v>
      </c>
      <c r="X66" s="184">
        <v>5500</v>
      </c>
      <c r="Y66" s="184">
        <v>5700</v>
      </c>
      <c r="Z66" s="184">
        <v>6000</v>
      </c>
      <c r="AA66" s="184">
        <v>6000</v>
      </c>
      <c r="AB66" s="184">
        <v>6100</v>
      </c>
      <c r="AC66" s="184">
        <v>6400</v>
      </c>
      <c r="AD66" s="184">
        <v>6300</v>
      </c>
      <c r="AE66" s="184">
        <v>6200</v>
      </c>
      <c r="AF66" s="187">
        <v>0.84554767533490938</v>
      </c>
      <c r="AG66" s="187">
        <v>3.2308904649330179E-2</v>
      </c>
      <c r="AH66" s="187">
        <v>6.3829787234042548E-2</v>
      </c>
      <c r="AI66" s="187">
        <v>4.5705279747832936E-2</v>
      </c>
      <c r="AJ66" s="187">
        <v>7.8802206461780922E-3</v>
      </c>
      <c r="AK66" s="187">
        <v>3.9401103230890461E-3</v>
      </c>
      <c r="AL66" s="187">
        <v>0.152876280535855</v>
      </c>
      <c r="AM66" s="184">
        <v>11895</v>
      </c>
      <c r="AN66" s="187">
        <v>0.63287095418242956</v>
      </c>
      <c r="AO66" s="187">
        <v>0.12761664564943254</v>
      </c>
      <c r="AP66" s="187">
        <v>0.23951240016813788</v>
      </c>
      <c r="AQ66" s="184">
        <v>1256</v>
      </c>
      <c r="AR66" s="184">
        <v>1187</v>
      </c>
      <c r="AS66" s="184">
        <v>1268</v>
      </c>
      <c r="AT66" s="184">
        <v>1194</v>
      </c>
      <c r="AU66" s="184">
        <v>1119</v>
      </c>
      <c r="AV66" s="186">
        <v>77</v>
      </c>
      <c r="AW66" s="186">
        <v>68</v>
      </c>
      <c r="AX66" s="186">
        <v>47</v>
      </c>
      <c r="AY66" s="186">
        <v>48</v>
      </c>
      <c r="AZ66" s="186">
        <v>42</v>
      </c>
      <c r="BA66" s="212" t="s">
        <v>164</v>
      </c>
      <c r="BB66" s="212" t="s">
        <v>164</v>
      </c>
      <c r="BC66" s="212" t="s">
        <v>164</v>
      </c>
      <c r="BD66" s="212" t="s">
        <v>164</v>
      </c>
      <c r="BE66" s="193" t="s">
        <v>164</v>
      </c>
      <c r="BF66" s="184"/>
      <c r="BG66" s="184"/>
      <c r="BH66" s="184"/>
      <c r="BI66" s="184"/>
      <c r="BJ66" s="184"/>
      <c r="BK66" s="184"/>
      <c r="BL66" s="186"/>
      <c r="BM66" s="186"/>
      <c r="BN66" s="186"/>
      <c r="BO66" s="186"/>
      <c r="BP66" s="186"/>
      <c r="BQ66" s="186"/>
      <c r="BR66" s="193"/>
      <c r="BS66" s="193"/>
      <c r="BT66" s="193"/>
      <c r="BU66" s="186">
        <v>2818</v>
      </c>
      <c r="BV66" s="186">
        <v>999</v>
      </c>
      <c r="BW66" s="222">
        <v>0.35450674237047552</v>
      </c>
      <c r="BX66" s="186">
        <v>287</v>
      </c>
      <c r="BY66" s="237" t="s">
        <v>164</v>
      </c>
      <c r="BZ66" s="1676">
        <v>2346</v>
      </c>
      <c r="CA66" s="222">
        <v>4.9868208485672985E-2</v>
      </c>
      <c r="CB66" s="200">
        <f t="shared" si="55"/>
        <v>1110</v>
      </c>
      <c r="CC66" s="200">
        <f t="shared" si="55"/>
        <v>1095</v>
      </c>
      <c r="CD66" s="200">
        <v>1080</v>
      </c>
      <c r="CE66" s="200">
        <v>970</v>
      </c>
      <c r="CF66" s="184">
        <v>2775</v>
      </c>
      <c r="CG66" s="187">
        <v>0.157</v>
      </c>
      <c r="CH66" s="184">
        <v>2635</v>
      </c>
      <c r="CI66" s="187">
        <v>0.14799999999999999</v>
      </c>
      <c r="CJ66" s="184">
        <v>2915</v>
      </c>
      <c r="CK66" s="187">
        <v>0.161</v>
      </c>
      <c r="CL66" s="184">
        <v>2865</v>
      </c>
      <c r="CM66" s="187">
        <v>0.157</v>
      </c>
      <c r="CN66" s="184">
        <v>2740</v>
      </c>
      <c r="CO66" s="187">
        <v>0.152</v>
      </c>
      <c r="CP66" s="184">
        <v>2460</v>
      </c>
      <c r="CQ66" s="187">
        <v>0.13300000000000001</v>
      </c>
      <c r="CR66" s="184">
        <f t="shared" si="56"/>
        <v>1193</v>
      </c>
      <c r="CS66" s="184">
        <f t="shared" si="56"/>
        <v>54</v>
      </c>
      <c r="CT66" s="184">
        <f t="shared" si="56"/>
        <v>1139</v>
      </c>
      <c r="CU66" s="187">
        <f t="shared" si="23"/>
        <v>0.95473595976529757</v>
      </c>
      <c r="CV66" s="186">
        <f t="shared" si="57"/>
        <v>471</v>
      </c>
      <c r="CW66" s="186">
        <f t="shared" si="57"/>
        <v>617</v>
      </c>
      <c r="CX66" s="187">
        <f t="shared" si="58"/>
        <v>0.39480301760268233</v>
      </c>
      <c r="CY66" s="187">
        <f t="shared" si="59"/>
        <v>0.51718357082984079</v>
      </c>
      <c r="CZ66" s="187">
        <v>0.3852577509569724</v>
      </c>
      <c r="DA66" s="187">
        <v>0.4423649047111447</v>
      </c>
      <c r="DB66" s="187">
        <v>0.51267474607533392</v>
      </c>
      <c r="DC66" s="187">
        <v>0.57045138444004106</v>
      </c>
      <c r="DD66" s="200">
        <v>808</v>
      </c>
      <c r="DE66" s="200">
        <v>66.256</v>
      </c>
      <c r="DF66" s="143">
        <v>8.2000000000000003E-2</v>
      </c>
      <c r="DG66" s="143">
        <v>6.3E-2</v>
      </c>
      <c r="DH66" s="143">
        <v>0.10100000000000001</v>
      </c>
      <c r="DI66" s="178" t="str">
        <f t="shared" si="12"/>
        <v>No Sig diff</v>
      </c>
      <c r="DJ66" s="200">
        <v>1027</v>
      </c>
      <c r="DK66" s="200">
        <v>1027.0840000000001</v>
      </c>
      <c r="DL66" s="143">
        <v>8.4000000000000005E-2</v>
      </c>
      <c r="DM66" s="143">
        <v>6.7000000000000004E-2</v>
      </c>
      <c r="DN66" s="143">
        <v>0.10100000000000001</v>
      </c>
      <c r="DO66" s="178" t="str">
        <f t="shared" si="13"/>
        <v>No Sig diff</v>
      </c>
      <c r="DP66" s="183">
        <v>991</v>
      </c>
      <c r="DQ66" s="201">
        <v>74.325000000000003</v>
      </c>
      <c r="DR66" s="143">
        <v>7.4999999999999997E-2</v>
      </c>
      <c r="DS66" s="143">
        <v>5.8999999999999997E-2</v>
      </c>
      <c r="DT66" s="143">
        <v>9.0999999999999998E-2</v>
      </c>
      <c r="DU66" s="178" t="str">
        <f t="shared" si="7"/>
        <v>Sig better than Eng.</v>
      </c>
      <c r="DV66" s="183">
        <v>1178</v>
      </c>
      <c r="DW66" s="201">
        <v>104.842</v>
      </c>
      <c r="DX66" s="179">
        <v>8.8999999999999996E-2</v>
      </c>
      <c r="DY66" s="179">
        <v>7.2999999999999995E-2</v>
      </c>
      <c r="DZ66" s="179">
        <v>0.105</v>
      </c>
      <c r="EA66" s="178" t="str">
        <f t="shared" si="14"/>
        <v>No Sig diff</v>
      </c>
      <c r="EB66" s="183">
        <v>890</v>
      </c>
      <c r="EC66" s="201">
        <v>132.60999999999999</v>
      </c>
      <c r="ED66" s="143">
        <v>0.14899999999999999</v>
      </c>
      <c r="EE66" s="143">
        <v>0.126</v>
      </c>
      <c r="EF66" s="143">
        <v>0.17199999999999999</v>
      </c>
      <c r="EG66" s="178" t="str">
        <f t="shared" si="15"/>
        <v>Sig better than Eng.</v>
      </c>
      <c r="EH66" s="183">
        <v>920</v>
      </c>
      <c r="EI66" s="201">
        <v>150.88</v>
      </c>
      <c r="EJ66" s="143">
        <v>0.16400000000000001</v>
      </c>
      <c r="EK66" s="143">
        <v>0.14000000000000001</v>
      </c>
      <c r="EL66" s="143">
        <v>0.188</v>
      </c>
      <c r="EM66" s="178" t="str">
        <f t="shared" si="8"/>
        <v>Sig better than Eng.</v>
      </c>
      <c r="EN66" s="183">
        <v>884</v>
      </c>
      <c r="EO66" s="201">
        <v>130.83199999999999</v>
      </c>
      <c r="EP66" s="143">
        <v>0.14799999999999999</v>
      </c>
      <c r="EQ66" s="143">
        <v>0.125</v>
      </c>
      <c r="ER66" s="143">
        <v>0.17099999999999999</v>
      </c>
      <c r="ES66" s="178" t="str">
        <f t="shared" si="9"/>
        <v>Sig better than Eng.</v>
      </c>
      <c r="ET66" s="183">
        <v>871</v>
      </c>
      <c r="EU66" s="180">
        <v>133.26300000000001</v>
      </c>
      <c r="EV66" s="179">
        <v>0.153</v>
      </c>
      <c r="EW66" s="179">
        <v>0.129</v>
      </c>
      <c r="EX66" s="179">
        <v>0.17699999999999999</v>
      </c>
      <c r="EY66" s="178" t="str">
        <f t="shared" si="10"/>
        <v>Sig better than Eng.</v>
      </c>
      <c r="EZ66" s="207">
        <v>1297</v>
      </c>
      <c r="FA66" s="186">
        <v>705</v>
      </c>
      <c r="FB66" s="187">
        <v>0.54356206630686199</v>
      </c>
      <c r="FC66" s="187">
        <v>0.51636542013974696</v>
      </c>
      <c r="FD66" s="187">
        <v>0.57050142995468545</v>
      </c>
      <c r="FE66" s="208">
        <v>1297</v>
      </c>
      <c r="FF66" s="209">
        <v>34</v>
      </c>
      <c r="FG66" s="208">
        <v>259</v>
      </c>
      <c r="FH66" s="209">
        <v>24.980694980694977</v>
      </c>
      <c r="FI66" s="187">
        <v>0.265273677038383</v>
      </c>
      <c r="FJ66" s="186">
        <v>1223</v>
      </c>
      <c r="FK66" s="186">
        <v>746</v>
      </c>
      <c r="FL66" s="187">
        <v>0.60997547015535569</v>
      </c>
      <c r="FM66" s="187">
        <v>0.58233564728209375</v>
      </c>
      <c r="FN66" s="187">
        <v>0.63692658751275677</v>
      </c>
      <c r="FO66" s="198">
        <v>1223</v>
      </c>
      <c r="FP66" s="199">
        <v>34</v>
      </c>
      <c r="FQ66" s="198">
        <v>244</v>
      </c>
      <c r="FR66" s="199">
        <v>25.426229508196734</v>
      </c>
      <c r="FS66" s="210">
        <v>0.2521697203471549</v>
      </c>
      <c r="FT66" s="200">
        <f t="shared" si="60"/>
        <v>15545</v>
      </c>
      <c r="FU66" s="200">
        <f t="shared" si="60"/>
        <v>15138</v>
      </c>
      <c r="FV66" s="200">
        <f t="shared" si="60"/>
        <v>407</v>
      </c>
      <c r="FW66" s="200">
        <f t="shared" si="60"/>
        <v>335</v>
      </c>
      <c r="FX66" s="200">
        <f t="shared" si="60"/>
        <v>72</v>
      </c>
      <c r="FY66" s="187">
        <f t="shared" si="17"/>
        <v>0.82309582309582308</v>
      </c>
      <c r="FZ66" s="187">
        <f t="shared" si="18"/>
        <v>0.1769041769041769</v>
      </c>
      <c r="GA66" s="197"/>
      <c r="GB66" s="197"/>
      <c r="GC66" s="197"/>
      <c r="GD66" s="197"/>
      <c r="GE66" s="197"/>
      <c r="GF66" s="197"/>
      <c r="GG66" s="197"/>
      <c r="GH66" s="197"/>
      <c r="GI66" s="197"/>
      <c r="GJ66" s="197"/>
      <c r="GK66" s="197"/>
      <c r="GL66" s="197"/>
      <c r="GM66" s="197"/>
      <c r="GN66" s="197"/>
      <c r="GO66" s="197"/>
      <c r="GP66" s="197"/>
      <c r="GQ66" s="186" t="s">
        <v>164</v>
      </c>
      <c r="GR66" s="186" t="s">
        <v>164</v>
      </c>
      <c r="GS66" s="186" t="s">
        <v>164</v>
      </c>
      <c r="GT66" s="186" t="s">
        <v>164</v>
      </c>
      <c r="GU66" s="186" t="s">
        <v>164</v>
      </c>
      <c r="GV66" s="186" t="s">
        <v>164</v>
      </c>
      <c r="GW66" s="186" t="s">
        <v>164</v>
      </c>
      <c r="GX66" s="186" t="s">
        <v>164</v>
      </c>
      <c r="GY66" s="186" t="s">
        <v>164</v>
      </c>
      <c r="GZ66" s="186" t="s">
        <v>164</v>
      </c>
      <c r="HA66" s="186" t="s">
        <v>164</v>
      </c>
      <c r="HB66" s="186" t="s">
        <v>164</v>
      </c>
      <c r="HC66" s="186" t="s">
        <v>164</v>
      </c>
      <c r="HD66" s="186" t="s">
        <v>164</v>
      </c>
      <c r="HE66" s="186" t="s">
        <v>164</v>
      </c>
      <c r="HF66" s="186" t="s">
        <v>164</v>
      </c>
      <c r="HG66" s="186" t="s">
        <v>164</v>
      </c>
      <c r="HH66" s="186" t="s">
        <v>164</v>
      </c>
      <c r="HI66" s="186" t="s">
        <v>164</v>
      </c>
      <c r="HJ66" s="186" t="s">
        <v>164</v>
      </c>
      <c r="HK66" s="186" t="s">
        <v>164</v>
      </c>
      <c r="HL66" s="186" t="s">
        <v>164</v>
      </c>
      <c r="HM66" s="186" t="s">
        <v>164</v>
      </c>
      <c r="HN66" s="186">
        <v>114</v>
      </c>
      <c r="HO66" s="187">
        <v>1.7986746607762703E-2</v>
      </c>
      <c r="HP66" s="217">
        <v>9693</v>
      </c>
      <c r="HQ66" s="217">
        <v>8518</v>
      </c>
      <c r="HR66" s="217">
        <v>1175</v>
      </c>
      <c r="HS66" s="1704">
        <v>0.12122150005158362</v>
      </c>
    </row>
    <row r="67" spans="1:227" ht="13.8" customHeight="1" x14ac:dyDescent="0.25">
      <c r="A67" s="183" t="s">
        <v>637</v>
      </c>
      <c r="B67" s="183"/>
      <c r="C67" s="183" t="s">
        <v>164</v>
      </c>
      <c r="D67" s="183" t="s">
        <v>164</v>
      </c>
      <c r="E67" s="183" t="s">
        <v>164</v>
      </c>
      <c r="F67" s="183"/>
      <c r="G67" s="183" t="s">
        <v>164</v>
      </c>
      <c r="H67" s="183" t="s">
        <v>164</v>
      </c>
      <c r="I67" s="183" t="s">
        <v>164</v>
      </c>
      <c r="J67" s="183" t="s">
        <v>704</v>
      </c>
      <c r="K67" s="183" t="s">
        <v>164</v>
      </c>
      <c r="L67" s="184">
        <v>460050</v>
      </c>
      <c r="M67" s="184">
        <v>462250</v>
      </c>
      <c r="N67" s="184">
        <v>465500</v>
      </c>
      <c r="O67" s="184">
        <v>468900</v>
      </c>
      <c r="P67" s="184">
        <v>472100</v>
      </c>
      <c r="Q67" s="184">
        <v>474150</v>
      </c>
      <c r="R67" s="184">
        <v>477450</v>
      </c>
      <c r="S67" s="184">
        <v>480050</v>
      </c>
      <c r="T67" s="184">
        <v>483500</v>
      </c>
      <c r="U67" s="184">
        <v>487050</v>
      </c>
      <c r="V67" s="184">
        <v>22500</v>
      </c>
      <c r="W67" s="184">
        <v>22550</v>
      </c>
      <c r="X67" s="184">
        <v>22850</v>
      </c>
      <c r="Y67" s="184">
        <v>23450</v>
      </c>
      <c r="Z67" s="184">
        <v>24000</v>
      </c>
      <c r="AA67" s="184">
        <v>24500</v>
      </c>
      <c r="AB67" s="184">
        <v>25050</v>
      </c>
      <c r="AC67" s="184">
        <v>25500</v>
      </c>
      <c r="AD67" s="184">
        <v>26150</v>
      </c>
      <c r="AE67" s="184">
        <v>26300</v>
      </c>
      <c r="AF67" s="187">
        <v>0.88260783927516251</v>
      </c>
      <c r="AG67" s="187">
        <v>4.1559976363994486E-2</v>
      </c>
      <c r="AH67" s="187">
        <v>4.0575142800866652E-2</v>
      </c>
      <c r="AI67" s="187">
        <v>2.6196572779200317E-2</v>
      </c>
      <c r="AJ67" s="187">
        <v>5.5150679535158559E-3</v>
      </c>
      <c r="AK67" s="187">
        <v>3.7423675398857593E-3</v>
      </c>
      <c r="AL67" s="187">
        <v>0.1173921607248375</v>
      </c>
      <c r="AM67" s="184">
        <v>49115</v>
      </c>
      <c r="AN67" s="187">
        <v>0.61329532729308767</v>
      </c>
      <c r="AO67" s="187">
        <v>0.15492212155146085</v>
      </c>
      <c r="AP67" s="187">
        <v>0.23178255115545149</v>
      </c>
      <c r="AQ67" s="184" t="s">
        <v>164</v>
      </c>
      <c r="AR67" s="186" t="s">
        <v>164</v>
      </c>
      <c r="AS67" s="186" t="s">
        <v>164</v>
      </c>
      <c r="AT67" s="186" t="s">
        <v>164</v>
      </c>
      <c r="AU67" s="186" t="s">
        <v>164</v>
      </c>
      <c r="AV67" s="186" t="s">
        <v>164</v>
      </c>
      <c r="AW67" s="186" t="s">
        <v>164</v>
      </c>
      <c r="AX67" s="186" t="s">
        <v>164</v>
      </c>
      <c r="AY67" s="186" t="s">
        <v>164</v>
      </c>
      <c r="AZ67" s="186" t="s">
        <v>164</v>
      </c>
      <c r="BA67" s="186">
        <v>309</v>
      </c>
      <c r="BB67" s="187">
        <v>6.7100977198697065E-2</v>
      </c>
      <c r="BC67" s="187">
        <v>6.0229519571288234E-2</v>
      </c>
      <c r="BD67" s="187">
        <v>7.469407551801005E-2</v>
      </c>
      <c r="BE67" s="193" t="s">
        <v>164</v>
      </c>
      <c r="BF67" s="184"/>
      <c r="BG67" s="184"/>
      <c r="BH67" s="184"/>
      <c r="BI67" s="184"/>
      <c r="BJ67" s="184"/>
      <c r="BK67" s="184"/>
      <c r="BL67" s="186"/>
      <c r="BM67" s="186"/>
      <c r="BN67" s="186"/>
      <c r="BO67" s="186"/>
      <c r="BP67" s="186"/>
      <c r="BQ67" s="186"/>
      <c r="BR67" s="193"/>
      <c r="BS67" s="193"/>
      <c r="BT67" s="193"/>
      <c r="BU67" s="186">
        <v>11170</v>
      </c>
      <c r="BV67" s="186">
        <v>3826</v>
      </c>
      <c r="BW67" s="222">
        <v>0.34252461951656221</v>
      </c>
      <c r="BX67" s="186">
        <v>1065</v>
      </c>
      <c r="BY67" s="237" t="s">
        <v>164</v>
      </c>
      <c r="BZ67" s="1676">
        <v>8575</v>
      </c>
      <c r="CA67" s="222">
        <v>4.0440101489327585E-2</v>
      </c>
      <c r="CB67" s="200">
        <v>4350</v>
      </c>
      <c r="CC67" s="200">
        <v>4315</v>
      </c>
      <c r="CD67" s="200">
        <v>4420</v>
      </c>
      <c r="CE67" s="200">
        <v>4155</v>
      </c>
      <c r="CF67" s="184">
        <v>11415</v>
      </c>
      <c r="CG67" s="187">
        <v>0.14360585879634916</v>
      </c>
      <c r="CH67" s="184">
        <v>11590</v>
      </c>
      <c r="CI67" s="187">
        <v>0.13800628423473185</v>
      </c>
      <c r="CJ67" s="184">
        <v>12195</v>
      </c>
      <c r="CK67" s="187">
        <v>0.14769797347046273</v>
      </c>
      <c r="CL67" s="184">
        <v>11375</v>
      </c>
      <c r="CM67" s="187">
        <v>0.1396245559285412</v>
      </c>
      <c r="CN67" s="184">
        <v>11845</v>
      </c>
      <c r="CO67" s="187">
        <v>0.13588628557226645</v>
      </c>
      <c r="CP67" s="184">
        <v>10605</v>
      </c>
      <c r="CQ67" s="187">
        <v>0.13300000000000001</v>
      </c>
      <c r="CR67" s="186"/>
      <c r="CS67" s="186"/>
      <c r="CT67" s="186"/>
      <c r="CU67" s="186"/>
      <c r="CV67" s="186"/>
      <c r="CW67" s="186"/>
      <c r="CX67" s="186"/>
      <c r="CY67" s="186"/>
      <c r="CZ67" s="186"/>
      <c r="DA67" s="186"/>
      <c r="DB67" s="186"/>
      <c r="DC67" s="186"/>
      <c r="DD67" s="183"/>
      <c r="DE67" s="201">
        <v>0</v>
      </c>
      <c r="DF67" s="183"/>
      <c r="DG67" s="143">
        <v>-1.7000000000000001E-2</v>
      </c>
      <c r="DH67" s="143">
        <v>1.7000000000000001E-2</v>
      </c>
      <c r="DI67" s="178" t="str">
        <f t="shared" ref="DI67:DI76" si="61">IF(DG67&gt;$DH$77,"Sig worse than Eng.",(IF(DH67&lt;$DG$77,"Sig better than Eng.","No Sig diff")))</f>
        <v>Sig better than Eng.</v>
      </c>
      <c r="DJ67" s="183"/>
      <c r="DK67" s="201">
        <v>0</v>
      </c>
      <c r="DL67" s="183"/>
      <c r="DM67" s="143"/>
      <c r="DN67" s="143"/>
      <c r="DO67" s="178" t="str">
        <f t="shared" ref="DO67:DO76" si="62">IF(DM67&gt;$DN$77,"Sig worse than Eng.",(IF(DN67&lt;$DM$77,"Sig better than Eng.","No Sig diff")))</f>
        <v>Sig better than Eng.</v>
      </c>
      <c r="DP67" s="183"/>
      <c r="DQ67" s="201">
        <v>0</v>
      </c>
      <c r="DR67" s="197"/>
      <c r="DS67" s="143">
        <v>-2.5999999999999999E-2</v>
      </c>
      <c r="DT67" s="143">
        <v>2.5999999999999999E-2</v>
      </c>
      <c r="DU67" s="178" t="str">
        <f t="shared" si="7"/>
        <v>Sig better than Eng.</v>
      </c>
      <c r="DV67" s="178"/>
      <c r="DW67" s="201">
        <v>0</v>
      </c>
      <c r="DX67" s="179"/>
      <c r="DY67" s="179">
        <v>-2.1999999999999999E-2</v>
      </c>
      <c r="DZ67" s="179">
        <v>2.1999999999999999E-2</v>
      </c>
      <c r="EA67" s="178" t="str">
        <f t="shared" ref="EA67:EA76" si="63">IF(DY67&gt;$DZ$77,"Sig worse than Eng.",(IF(DZ67&lt;$DY$77,"Sig better than Eng.","No Sig diff")))</f>
        <v>Sig better than Eng.</v>
      </c>
      <c r="EB67" s="183"/>
      <c r="EC67" s="201">
        <v>0</v>
      </c>
      <c r="ED67" s="183"/>
      <c r="EE67" s="197">
        <v>-3.2000000000000001E-2</v>
      </c>
      <c r="EF67" s="197">
        <v>3.2000000000000001E-2</v>
      </c>
      <c r="EG67" s="178" t="str">
        <f t="shared" ref="EG67:EG76" si="64">IF(EE67&gt;$EF$77,"Sig worse than Eng.",(IF(EF67&lt;$EE$77,"Sig better than Eng.","No Sig diff")))</f>
        <v>Sig better than Eng.</v>
      </c>
      <c r="EH67" s="183"/>
      <c r="EI67" s="201">
        <v>0</v>
      </c>
      <c r="EJ67" s="183"/>
      <c r="EK67" s="143">
        <v>-3.2000000000000001E-2</v>
      </c>
      <c r="EL67" s="143">
        <v>3.2000000000000001E-2</v>
      </c>
      <c r="EM67" s="178" t="str">
        <f t="shared" si="8"/>
        <v>Sig better than Eng.</v>
      </c>
      <c r="EN67" s="183">
        <v>0</v>
      </c>
      <c r="EO67" s="201" t="e">
        <v>#DIV/0!</v>
      </c>
      <c r="EP67" s="143" t="e">
        <v>#DIV/0!</v>
      </c>
      <c r="EQ67" s="143" t="e">
        <v>#DIV/0!</v>
      </c>
      <c r="ER67" s="143" t="e">
        <v>#DIV/0!</v>
      </c>
      <c r="ES67" s="178" t="e">
        <f t="shared" si="9"/>
        <v>#DIV/0!</v>
      </c>
      <c r="ET67" s="178">
        <v>3697</v>
      </c>
      <c r="EU67" s="180">
        <v>541</v>
      </c>
      <c r="EV67" s="179">
        <v>0.14633486610765487</v>
      </c>
      <c r="EW67" s="179">
        <v>0.11333486610765486</v>
      </c>
      <c r="EX67" s="179">
        <v>0.17933486610765487</v>
      </c>
      <c r="EY67" s="178" t="str">
        <f t="shared" si="10"/>
        <v>Sig better than Eng.</v>
      </c>
      <c r="EZ67" s="207">
        <v>5155</v>
      </c>
      <c r="FA67" s="213">
        <v>2669</v>
      </c>
      <c r="FB67" s="187">
        <v>0.51774975751697383</v>
      </c>
      <c r="FC67" s="187">
        <v>0.50410112467583079</v>
      </c>
      <c r="FD67" s="187">
        <v>0.53137195614294552</v>
      </c>
      <c r="FE67" s="208">
        <v>5155</v>
      </c>
      <c r="FF67" s="209">
        <v>34</v>
      </c>
      <c r="FG67" s="208">
        <v>1031</v>
      </c>
      <c r="FH67" s="209">
        <v>23.428709990300685</v>
      </c>
      <c r="FI67" s="187">
        <v>0.31092029440292102</v>
      </c>
      <c r="FJ67" s="186">
        <v>5159</v>
      </c>
      <c r="FK67" s="186">
        <v>2997</v>
      </c>
      <c r="FL67" s="187">
        <v>0.58092653615041678</v>
      </c>
      <c r="FM67" s="187">
        <v>0.56740729295358927</v>
      </c>
      <c r="FN67" s="187">
        <v>0.59432535110686424</v>
      </c>
      <c r="FO67" s="198">
        <v>5159</v>
      </c>
      <c r="FP67" s="199">
        <v>34</v>
      </c>
      <c r="FQ67" s="198">
        <v>1031</v>
      </c>
      <c r="FR67" s="199">
        <v>24.20368574199804</v>
      </c>
      <c r="FS67" s="187">
        <v>0.28812688994123414</v>
      </c>
      <c r="FT67" s="183"/>
      <c r="FU67" s="183"/>
      <c r="FV67" s="183"/>
      <c r="FW67" s="183"/>
      <c r="FX67" s="183"/>
      <c r="FY67" s="186"/>
      <c r="FZ67" s="186"/>
      <c r="GA67" s="183"/>
      <c r="GB67" s="183"/>
      <c r="GC67" s="183"/>
      <c r="GD67" s="183"/>
      <c r="GE67" s="197"/>
      <c r="GF67" s="197"/>
      <c r="GG67" s="197"/>
      <c r="GH67" s="197"/>
      <c r="GI67" s="197"/>
      <c r="GJ67" s="197"/>
      <c r="GK67" s="197"/>
      <c r="GL67" s="197"/>
      <c r="GM67" s="197"/>
      <c r="GN67" s="197"/>
      <c r="GO67" s="197"/>
      <c r="GP67" s="197"/>
      <c r="GQ67" s="186" t="s">
        <v>164</v>
      </c>
      <c r="GR67" s="186" t="s">
        <v>164</v>
      </c>
      <c r="GS67" s="186" t="s">
        <v>164</v>
      </c>
      <c r="GT67" s="186" t="s">
        <v>164</v>
      </c>
      <c r="GU67" s="186" t="s">
        <v>164</v>
      </c>
      <c r="GV67" s="186" t="s">
        <v>164</v>
      </c>
      <c r="GW67" s="186" t="s">
        <v>164</v>
      </c>
      <c r="GX67" s="186" t="s">
        <v>164</v>
      </c>
      <c r="GY67" s="186" t="s">
        <v>164</v>
      </c>
      <c r="GZ67" s="186" t="s">
        <v>164</v>
      </c>
      <c r="HA67" s="186" t="s">
        <v>164</v>
      </c>
      <c r="HB67" s="186" t="s">
        <v>164</v>
      </c>
      <c r="HC67" s="186" t="s">
        <v>164</v>
      </c>
      <c r="HD67" s="186" t="s">
        <v>164</v>
      </c>
      <c r="HE67" s="186" t="s">
        <v>164</v>
      </c>
      <c r="HF67" s="186" t="s">
        <v>164</v>
      </c>
      <c r="HG67" s="186" t="s">
        <v>164</v>
      </c>
      <c r="HH67" s="186" t="s">
        <v>164</v>
      </c>
      <c r="HI67" s="186" t="s">
        <v>164</v>
      </c>
      <c r="HJ67" s="186" t="s">
        <v>164</v>
      </c>
      <c r="HK67" s="186" t="s">
        <v>164</v>
      </c>
      <c r="HL67" s="186" t="s">
        <v>164</v>
      </c>
      <c r="HM67" s="186" t="s">
        <v>164</v>
      </c>
      <c r="HN67" s="186">
        <v>470</v>
      </c>
      <c r="HO67" s="187">
        <v>1.8530200283866899E-2</v>
      </c>
      <c r="HP67" s="217">
        <v>39541</v>
      </c>
      <c r="HQ67" s="217">
        <v>35196</v>
      </c>
      <c r="HR67" s="217">
        <v>4345</v>
      </c>
      <c r="HS67" s="1704">
        <v>0.10988594117498293</v>
      </c>
    </row>
    <row r="68" spans="1:227" ht="13.8" customHeight="1" x14ac:dyDescent="0.25">
      <c r="A68" s="183" t="s">
        <v>47</v>
      </c>
      <c r="B68" s="183"/>
      <c r="C68" s="183" t="s">
        <v>164</v>
      </c>
      <c r="D68" s="183" t="s">
        <v>164</v>
      </c>
      <c r="E68" s="183" t="s">
        <v>164</v>
      </c>
      <c r="F68" s="183"/>
      <c r="G68" s="183" t="s">
        <v>164</v>
      </c>
      <c r="H68" s="183" t="s">
        <v>164</v>
      </c>
      <c r="I68" s="183" t="s">
        <v>164</v>
      </c>
      <c r="J68" s="183" t="s">
        <v>33</v>
      </c>
      <c r="K68" s="183" t="s">
        <v>164</v>
      </c>
      <c r="L68" s="184">
        <v>98900</v>
      </c>
      <c r="M68" s="184">
        <v>99700</v>
      </c>
      <c r="N68" s="184">
        <v>100750</v>
      </c>
      <c r="O68" s="184">
        <v>101600</v>
      </c>
      <c r="P68" s="184">
        <v>102850</v>
      </c>
      <c r="Q68" s="184">
        <v>103850</v>
      </c>
      <c r="R68" s="184">
        <v>105500</v>
      </c>
      <c r="S68" s="184">
        <v>107050</v>
      </c>
      <c r="T68" s="184">
        <v>108300</v>
      </c>
      <c r="U68" s="184">
        <v>108950</v>
      </c>
      <c r="V68" s="184">
        <v>6300</v>
      </c>
      <c r="W68" s="184">
        <v>6300</v>
      </c>
      <c r="X68" s="184">
        <v>6350</v>
      </c>
      <c r="Y68" s="184">
        <v>6600</v>
      </c>
      <c r="Z68" s="184">
        <v>6950</v>
      </c>
      <c r="AA68" s="184">
        <v>7200</v>
      </c>
      <c r="AB68" s="184">
        <v>7750</v>
      </c>
      <c r="AC68" s="184">
        <v>8150</v>
      </c>
      <c r="AD68" s="184">
        <v>8300</v>
      </c>
      <c r="AE68" s="184">
        <v>8350</v>
      </c>
      <c r="AF68" s="187">
        <v>0.62205700123915741</v>
      </c>
      <c r="AG68" s="187">
        <v>6.5675340768277565E-2</v>
      </c>
      <c r="AH68" s="187">
        <v>7.6827757125154897E-2</v>
      </c>
      <c r="AI68" s="187">
        <v>0.17348203221809169</v>
      </c>
      <c r="AJ68" s="187">
        <v>4.8946716232961589E-2</v>
      </c>
      <c r="AK68" s="187">
        <v>1.3011152416356878E-2</v>
      </c>
      <c r="AL68" s="187">
        <v>0.37794299876084264</v>
      </c>
      <c r="AM68" s="184">
        <v>14546</v>
      </c>
      <c r="AN68" s="187">
        <v>0.49099408772171044</v>
      </c>
      <c r="AO68" s="187">
        <v>0.31527567716210642</v>
      </c>
      <c r="AP68" s="187">
        <v>0.19373023511618315</v>
      </c>
      <c r="AQ68" s="186" t="s">
        <v>164</v>
      </c>
      <c r="AR68" s="186" t="s">
        <v>164</v>
      </c>
      <c r="AS68" s="186" t="s">
        <v>164</v>
      </c>
      <c r="AT68" s="186" t="s">
        <v>164</v>
      </c>
      <c r="AU68" s="186" t="s">
        <v>164</v>
      </c>
      <c r="AV68" s="186" t="s">
        <v>164</v>
      </c>
      <c r="AW68" s="186" t="s">
        <v>164</v>
      </c>
      <c r="AX68" s="186" t="s">
        <v>164</v>
      </c>
      <c r="AY68" s="186" t="s">
        <v>164</v>
      </c>
      <c r="AZ68" s="186" t="s">
        <v>164</v>
      </c>
      <c r="BA68" s="186">
        <v>128</v>
      </c>
      <c r="BB68" s="187">
        <v>7.8963602714373846E-2</v>
      </c>
      <c r="BC68" s="187">
        <v>6.6808520694543738E-2</v>
      </c>
      <c r="BD68" s="187">
        <v>9.3109517714746015E-2</v>
      </c>
      <c r="BE68" s="193" t="s">
        <v>164</v>
      </c>
      <c r="BF68" s="184"/>
      <c r="BG68" s="184"/>
      <c r="BH68" s="184"/>
      <c r="BI68" s="184"/>
      <c r="BJ68" s="184"/>
      <c r="BK68" s="184"/>
      <c r="BL68" s="186"/>
      <c r="BM68" s="186"/>
      <c r="BN68" s="186"/>
      <c r="BO68" s="186"/>
      <c r="BP68" s="186"/>
      <c r="BQ68" s="186"/>
      <c r="BR68" s="193"/>
      <c r="BS68" s="193"/>
      <c r="BT68" s="193"/>
      <c r="BU68" s="186">
        <v>3293</v>
      </c>
      <c r="BV68" s="186">
        <v>1363</v>
      </c>
      <c r="BW68" s="222">
        <v>0.4139082903127847</v>
      </c>
      <c r="BX68" s="186">
        <v>248</v>
      </c>
      <c r="BY68" s="237" t="s">
        <v>164</v>
      </c>
      <c r="BZ68" s="1676">
        <v>2084</v>
      </c>
      <c r="CA68" s="222">
        <v>4.8774779413485618E-2</v>
      </c>
      <c r="CB68" s="200">
        <v>1650</v>
      </c>
      <c r="CC68" s="200">
        <v>1650</v>
      </c>
      <c r="CD68" s="200">
        <v>1580</v>
      </c>
      <c r="CE68" s="200">
        <v>1475</v>
      </c>
      <c r="CF68" s="184">
        <v>3775</v>
      </c>
      <c r="CG68" s="187">
        <v>0.19</v>
      </c>
      <c r="CH68" s="184">
        <v>3775</v>
      </c>
      <c r="CI68" s="187">
        <v>0.187</v>
      </c>
      <c r="CJ68" s="184">
        <v>4090</v>
      </c>
      <c r="CK68" s="187">
        <v>0.19500000000000001</v>
      </c>
      <c r="CL68" s="184">
        <v>4165</v>
      </c>
      <c r="CM68" s="187">
        <v>0.19500000000000001</v>
      </c>
      <c r="CN68" s="184">
        <v>4165</v>
      </c>
      <c r="CO68" s="187">
        <v>0.19</v>
      </c>
      <c r="CP68" s="184">
        <v>3895</v>
      </c>
      <c r="CQ68" s="187">
        <v>0.17399999999999999</v>
      </c>
      <c r="CR68" s="186"/>
      <c r="CS68" s="186"/>
      <c r="CT68" s="186"/>
      <c r="CU68" s="186"/>
      <c r="CV68" s="186"/>
      <c r="CW68" s="186"/>
      <c r="CX68" s="186"/>
      <c r="CY68" s="186"/>
      <c r="CZ68" s="186"/>
      <c r="DA68" s="186"/>
      <c r="DB68" s="186"/>
      <c r="DC68" s="186"/>
      <c r="DD68" s="183"/>
      <c r="DE68" s="201">
        <v>0</v>
      </c>
      <c r="DF68" s="183"/>
      <c r="DG68" s="143">
        <v>-1.7000000000000001E-2</v>
      </c>
      <c r="DH68" s="143">
        <v>1.7000000000000001E-2</v>
      </c>
      <c r="DI68" s="178" t="str">
        <f t="shared" si="61"/>
        <v>Sig better than Eng.</v>
      </c>
      <c r="DJ68" s="183"/>
      <c r="DK68" s="201">
        <v>0</v>
      </c>
      <c r="DL68" s="183"/>
      <c r="DM68" s="143"/>
      <c r="DN68" s="143"/>
      <c r="DO68" s="178" t="str">
        <f t="shared" si="62"/>
        <v>Sig better than Eng.</v>
      </c>
      <c r="DP68" s="183"/>
      <c r="DQ68" s="201">
        <v>0</v>
      </c>
      <c r="DR68" s="197"/>
      <c r="DS68" s="143">
        <v>-2.5999999999999999E-2</v>
      </c>
      <c r="DT68" s="143">
        <v>2.5999999999999999E-2</v>
      </c>
      <c r="DU68" s="178" t="str">
        <f t="shared" ref="DU68:DU76" si="65">IF(DS68&gt;$DT$77,"Sig worse than Eng.",(IF(DT68&lt;$DS$77,"Sig better than Eng.","No Sig diff")))</f>
        <v>Sig better than Eng.</v>
      </c>
      <c r="DV68" s="178"/>
      <c r="DW68" s="201">
        <v>0</v>
      </c>
      <c r="DX68" s="179"/>
      <c r="DY68" s="179">
        <v>-2.1999999999999999E-2</v>
      </c>
      <c r="DZ68" s="179">
        <v>2.1999999999999999E-2</v>
      </c>
      <c r="EA68" s="178" t="str">
        <f t="shared" si="63"/>
        <v>Sig better than Eng.</v>
      </c>
      <c r="EB68" s="183"/>
      <c r="EC68" s="201">
        <v>0</v>
      </c>
      <c r="ED68" s="183"/>
      <c r="EE68" s="197">
        <v>-3.2000000000000001E-2</v>
      </c>
      <c r="EF68" s="197">
        <v>3.2000000000000001E-2</v>
      </c>
      <c r="EG68" s="178" t="str">
        <f t="shared" si="64"/>
        <v>Sig better than Eng.</v>
      </c>
      <c r="EH68" s="183"/>
      <c r="EI68" s="201">
        <v>0</v>
      </c>
      <c r="EJ68" s="183"/>
      <c r="EK68" s="143">
        <v>-3.2000000000000001E-2</v>
      </c>
      <c r="EL68" s="143">
        <v>3.2000000000000001E-2</v>
      </c>
      <c r="EM68" s="178" t="str">
        <f t="shared" ref="EM68:EM76" si="66">IF(EK68&gt;$EL$77,"Sig worse than Eng.",(IF(EL68&lt;$EK$77,"Sig better than Eng.","No Sig diff")))</f>
        <v>Sig better than Eng.</v>
      </c>
      <c r="EN68" s="183">
        <v>0</v>
      </c>
      <c r="EO68" s="201" t="e">
        <v>#DIV/0!</v>
      </c>
      <c r="EP68" s="143" t="e">
        <v>#DIV/0!</v>
      </c>
      <c r="EQ68" s="143" t="e">
        <v>#DIV/0!</v>
      </c>
      <c r="ER68" s="143" t="e">
        <v>#DIV/0!</v>
      </c>
      <c r="ES68" s="178" t="e">
        <f t="shared" ref="ES68:ES76" si="67">IF(EQ68&gt;$ER$77,"Sig worse than Eng.",(IF(ER68&lt;$EQ$77,"Sig better than Eng.","No Sig diff")))</f>
        <v>#DIV/0!</v>
      </c>
      <c r="ET68" s="178">
        <v>1075</v>
      </c>
      <c r="EU68" s="180">
        <v>210</v>
      </c>
      <c r="EV68" s="179">
        <v>0.19534883720930232</v>
      </c>
      <c r="EW68" s="179">
        <v>0.16234883720930232</v>
      </c>
      <c r="EX68" s="179">
        <v>0.22834883720930232</v>
      </c>
      <c r="EY68" s="178" t="str">
        <f t="shared" ref="EY68:EY76" si="68">IF(EW68&gt;$EX$77,"Sig worse than Eng.",(IF(EX68&lt;$EW$77,"Sig better than Eng.","No Sig diff")))</f>
        <v>No Sig diff</v>
      </c>
      <c r="EZ68" s="207">
        <v>1440</v>
      </c>
      <c r="FA68" s="213">
        <v>693</v>
      </c>
      <c r="FB68" s="187">
        <v>0.48125000000000001</v>
      </c>
      <c r="FC68" s="187">
        <v>0.45552756226071045</v>
      </c>
      <c r="FD68" s="187">
        <v>0.50707220957012045</v>
      </c>
      <c r="FE68" s="208">
        <v>1440</v>
      </c>
      <c r="FF68" s="209">
        <v>34</v>
      </c>
      <c r="FG68" s="208">
        <v>288</v>
      </c>
      <c r="FH68" s="209">
        <v>22.378472222222197</v>
      </c>
      <c r="FI68" s="187">
        <v>0.34180964052287655</v>
      </c>
      <c r="FJ68" s="186">
        <v>1518</v>
      </c>
      <c r="FK68" s="186">
        <v>841</v>
      </c>
      <c r="FL68" s="187">
        <v>0.5540184453227931</v>
      </c>
      <c r="FM68" s="187">
        <v>0.52890795807318758</v>
      </c>
      <c r="FN68" s="187">
        <v>0.57885622396393932</v>
      </c>
      <c r="FO68" s="198">
        <v>1518</v>
      </c>
      <c r="FP68" s="199">
        <v>34</v>
      </c>
      <c r="FQ68" s="198">
        <v>303</v>
      </c>
      <c r="FR68" s="199">
        <v>22.61056105610562</v>
      </c>
      <c r="FS68" s="187">
        <v>0.33498349834983471</v>
      </c>
      <c r="FT68" s="183"/>
      <c r="FU68" s="183"/>
      <c r="FV68" s="183"/>
      <c r="FW68" s="183"/>
      <c r="FX68" s="183"/>
      <c r="FY68" s="186"/>
      <c r="FZ68" s="186"/>
      <c r="GA68" s="183"/>
      <c r="GB68" s="183"/>
      <c r="GC68" s="183"/>
      <c r="GD68" s="183"/>
      <c r="GE68" s="197"/>
      <c r="GF68" s="197"/>
      <c r="GG68" s="197"/>
      <c r="GH68" s="197"/>
      <c r="GI68" s="197"/>
      <c r="GJ68" s="197"/>
      <c r="GK68" s="197"/>
      <c r="GL68" s="197"/>
      <c r="GM68" s="197"/>
      <c r="GN68" s="197"/>
      <c r="GO68" s="197"/>
      <c r="GP68" s="197"/>
      <c r="GQ68" s="186" t="s">
        <v>164</v>
      </c>
      <c r="GR68" s="186" t="s">
        <v>164</v>
      </c>
      <c r="GS68" s="186" t="s">
        <v>164</v>
      </c>
      <c r="GT68" s="186" t="s">
        <v>164</v>
      </c>
      <c r="GU68" s="186" t="s">
        <v>164</v>
      </c>
      <c r="GV68" s="186" t="s">
        <v>164</v>
      </c>
      <c r="GW68" s="186" t="s">
        <v>164</v>
      </c>
      <c r="GX68" s="186" t="s">
        <v>164</v>
      </c>
      <c r="GY68" s="186" t="s">
        <v>164</v>
      </c>
      <c r="GZ68" s="186" t="s">
        <v>164</v>
      </c>
      <c r="HA68" s="186" t="s">
        <v>164</v>
      </c>
      <c r="HB68" s="186" t="s">
        <v>164</v>
      </c>
      <c r="HC68" s="186" t="s">
        <v>164</v>
      </c>
      <c r="HD68" s="186" t="s">
        <v>164</v>
      </c>
      <c r="HE68" s="186" t="s">
        <v>164</v>
      </c>
      <c r="HF68" s="186" t="s">
        <v>164</v>
      </c>
      <c r="HG68" s="186" t="s">
        <v>164</v>
      </c>
      <c r="HH68" s="186" t="s">
        <v>164</v>
      </c>
      <c r="HI68" s="186" t="s">
        <v>164</v>
      </c>
      <c r="HJ68" s="186" t="s">
        <v>164</v>
      </c>
      <c r="HK68" s="186" t="s">
        <v>164</v>
      </c>
      <c r="HL68" s="186" t="s">
        <v>164</v>
      </c>
      <c r="HM68" s="186" t="s">
        <v>164</v>
      </c>
      <c r="HN68" s="186">
        <v>158</v>
      </c>
      <c r="HO68" s="187">
        <v>1.9602977667493797E-2</v>
      </c>
      <c r="HP68" s="217">
        <v>12900</v>
      </c>
      <c r="HQ68" s="217">
        <v>11233</v>
      </c>
      <c r="HR68" s="217">
        <v>1667</v>
      </c>
      <c r="HS68" s="1704">
        <v>0.12922480620155039</v>
      </c>
    </row>
    <row r="69" spans="1:227" ht="12" customHeight="1" x14ac:dyDescent="0.25">
      <c r="A69" s="183" t="s">
        <v>638</v>
      </c>
      <c r="B69" s="183"/>
      <c r="C69" s="183" t="s">
        <v>164</v>
      </c>
      <c r="D69" s="183" t="s">
        <v>164</v>
      </c>
      <c r="E69" s="183" t="s">
        <v>164</v>
      </c>
      <c r="F69" s="183"/>
      <c r="G69" s="183" t="s">
        <v>164</v>
      </c>
      <c r="H69" s="183" t="s">
        <v>164</v>
      </c>
      <c r="I69" s="183" t="s">
        <v>164</v>
      </c>
      <c r="J69" s="183" t="s">
        <v>703</v>
      </c>
      <c r="K69" s="183" t="s">
        <v>164</v>
      </c>
      <c r="L69" s="184">
        <v>207050</v>
      </c>
      <c r="M69" s="184">
        <v>208850</v>
      </c>
      <c r="N69" s="184">
        <v>211150</v>
      </c>
      <c r="O69" s="184">
        <v>213800</v>
      </c>
      <c r="P69" s="184">
        <v>216050</v>
      </c>
      <c r="Q69" s="184">
        <v>218050</v>
      </c>
      <c r="R69" s="184">
        <v>220250</v>
      </c>
      <c r="S69" s="184">
        <v>221850</v>
      </c>
      <c r="T69" s="184">
        <v>223350</v>
      </c>
      <c r="U69" s="184">
        <v>225300</v>
      </c>
      <c r="V69" s="184">
        <v>12000</v>
      </c>
      <c r="W69" s="184">
        <v>11900</v>
      </c>
      <c r="X69" s="184">
        <v>12100</v>
      </c>
      <c r="Y69" s="184">
        <v>12550</v>
      </c>
      <c r="Z69" s="184">
        <v>12700</v>
      </c>
      <c r="AA69" s="184">
        <v>12750</v>
      </c>
      <c r="AB69" s="184">
        <v>12900</v>
      </c>
      <c r="AC69" s="184">
        <v>13050</v>
      </c>
      <c r="AD69" s="184">
        <v>13200</v>
      </c>
      <c r="AE69" s="184">
        <v>13200</v>
      </c>
      <c r="AF69" s="187">
        <v>0.87605525709900234</v>
      </c>
      <c r="AG69" s="187">
        <v>3.760552570990023E-2</v>
      </c>
      <c r="AH69" s="187">
        <v>4.2210283960092097E-2</v>
      </c>
      <c r="AI69" s="187">
        <v>3.7221795855717575E-2</v>
      </c>
      <c r="AJ69" s="187">
        <v>5.3722179585571758E-3</v>
      </c>
      <c r="AK69" s="187">
        <v>1.5349194167306216E-3</v>
      </c>
      <c r="AL69" s="187">
        <v>0.1239447429009977</v>
      </c>
      <c r="AM69" s="184">
        <v>25861</v>
      </c>
      <c r="AN69" s="187">
        <v>0.71114806078651249</v>
      </c>
      <c r="AO69" s="187">
        <v>0.12714125517188044</v>
      </c>
      <c r="AP69" s="187">
        <v>0.16171068404160704</v>
      </c>
      <c r="AQ69" s="186" t="s">
        <v>164</v>
      </c>
      <c r="AR69" s="186" t="s">
        <v>164</v>
      </c>
      <c r="AS69" s="186" t="s">
        <v>164</v>
      </c>
      <c r="AT69" s="186" t="s">
        <v>164</v>
      </c>
      <c r="AU69" s="186" t="s">
        <v>164</v>
      </c>
      <c r="AV69" s="186" t="s">
        <v>164</v>
      </c>
      <c r="AW69" s="186" t="s">
        <v>164</v>
      </c>
      <c r="AX69" s="186" t="s">
        <v>164</v>
      </c>
      <c r="AY69" s="186" t="s">
        <v>164</v>
      </c>
      <c r="AZ69" s="186" t="s">
        <v>164</v>
      </c>
      <c r="BA69" s="186">
        <v>123</v>
      </c>
      <c r="BB69" s="187">
        <v>5.3829321663019694E-2</v>
      </c>
      <c r="BC69" s="187">
        <v>4.5302287629886681E-2</v>
      </c>
      <c r="BD69" s="187">
        <v>6.3854009700301834E-2</v>
      </c>
      <c r="BE69" s="193" t="s">
        <v>164</v>
      </c>
      <c r="BF69" s="184"/>
      <c r="BG69" s="184"/>
      <c r="BH69" s="184"/>
      <c r="BI69" s="184"/>
      <c r="BJ69" s="184"/>
      <c r="BK69" s="184"/>
      <c r="BL69" s="186"/>
      <c r="BM69" s="186"/>
      <c r="BN69" s="186"/>
      <c r="BO69" s="186"/>
      <c r="BP69" s="186"/>
      <c r="BQ69" s="186"/>
      <c r="BR69" s="193"/>
      <c r="BS69" s="193"/>
      <c r="BT69" s="193"/>
      <c r="BU69" s="186">
        <v>4174</v>
      </c>
      <c r="BV69" s="186">
        <v>1090</v>
      </c>
      <c r="BW69" s="222">
        <v>0.26114039290848107</v>
      </c>
      <c r="BX69" s="186">
        <v>382</v>
      </c>
      <c r="BY69" s="237" t="s">
        <v>164</v>
      </c>
      <c r="BZ69" s="1676">
        <v>2313</v>
      </c>
      <c r="CA69" s="222">
        <v>2.5460949969728659E-2</v>
      </c>
      <c r="CB69" s="200">
        <v>1205</v>
      </c>
      <c r="CC69" s="200">
        <v>1240</v>
      </c>
      <c r="CD69" s="200">
        <v>1270</v>
      </c>
      <c r="CE69" s="200">
        <v>1151</v>
      </c>
      <c r="CF69" s="184">
        <v>3485</v>
      </c>
      <c r="CG69" s="187">
        <v>8.3856315349003868E-2</v>
      </c>
      <c r="CH69" s="184">
        <v>3545</v>
      </c>
      <c r="CI69" s="187">
        <v>7.7140536236946833E-2</v>
      </c>
      <c r="CJ69" s="184">
        <v>3655</v>
      </c>
      <c r="CK69" s="187">
        <v>8.6298797649483214E-2</v>
      </c>
      <c r="CL69" s="184">
        <v>3290</v>
      </c>
      <c r="CM69" s="187">
        <v>8.3734355128317436E-2</v>
      </c>
      <c r="CN69" s="184">
        <v>3450</v>
      </c>
      <c r="CO69" s="187">
        <v>8.1674341600085673E-2</v>
      </c>
      <c r="CP69" s="184">
        <v>3180</v>
      </c>
      <c r="CQ69" s="187">
        <v>7.8E-2</v>
      </c>
      <c r="CR69" s="186"/>
      <c r="CS69" s="186"/>
      <c r="CT69" s="186"/>
      <c r="CU69" s="186"/>
      <c r="CV69" s="186"/>
      <c r="CW69" s="186"/>
      <c r="CX69" s="186"/>
      <c r="CY69" s="186"/>
      <c r="CZ69" s="186"/>
      <c r="DA69" s="186"/>
      <c r="DB69" s="186"/>
      <c r="DC69" s="186"/>
      <c r="DD69" s="183"/>
      <c r="DE69" s="201">
        <v>0</v>
      </c>
      <c r="DF69" s="183"/>
      <c r="DG69" s="143">
        <v>-1.7000000000000001E-2</v>
      </c>
      <c r="DH69" s="143">
        <v>1.7000000000000001E-2</v>
      </c>
      <c r="DI69" s="178" t="str">
        <f t="shared" si="61"/>
        <v>Sig better than Eng.</v>
      </c>
      <c r="DJ69" s="183"/>
      <c r="DK69" s="201">
        <v>0</v>
      </c>
      <c r="DL69" s="183"/>
      <c r="DM69" s="143"/>
      <c r="DN69" s="143"/>
      <c r="DO69" s="178" t="str">
        <f t="shared" si="62"/>
        <v>Sig better than Eng.</v>
      </c>
      <c r="DP69" s="183"/>
      <c r="DQ69" s="201">
        <v>0</v>
      </c>
      <c r="DR69" s="197"/>
      <c r="DS69" s="143">
        <v>-2.5999999999999999E-2</v>
      </c>
      <c r="DT69" s="143">
        <v>2.5999999999999999E-2</v>
      </c>
      <c r="DU69" s="178" t="str">
        <f t="shared" si="65"/>
        <v>Sig better than Eng.</v>
      </c>
      <c r="DV69" s="178"/>
      <c r="DW69" s="201">
        <v>0</v>
      </c>
      <c r="DX69" s="179"/>
      <c r="DY69" s="179">
        <v>-2.1999999999999999E-2</v>
      </c>
      <c r="DZ69" s="179">
        <v>2.1999999999999999E-2</v>
      </c>
      <c r="EA69" s="178" t="str">
        <f t="shared" si="63"/>
        <v>Sig better than Eng.</v>
      </c>
      <c r="EB69" s="183"/>
      <c r="EC69" s="201">
        <v>0</v>
      </c>
      <c r="ED69" s="183"/>
      <c r="EE69" s="197">
        <v>-3.2000000000000001E-2</v>
      </c>
      <c r="EF69" s="197">
        <v>3.2000000000000001E-2</v>
      </c>
      <c r="EG69" s="178" t="str">
        <f t="shared" si="64"/>
        <v>Sig better than Eng.</v>
      </c>
      <c r="EH69" s="183"/>
      <c r="EI69" s="201">
        <v>0</v>
      </c>
      <c r="EJ69" s="183"/>
      <c r="EK69" s="143">
        <v>-3.2000000000000001E-2</v>
      </c>
      <c r="EL69" s="143">
        <v>3.2000000000000001E-2</v>
      </c>
      <c r="EM69" s="178" t="str">
        <f t="shared" si="66"/>
        <v>Sig better than Eng.</v>
      </c>
      <c r="EN69" s="183">
        <v>0</v>
      </c>
      <c r="EO69" s="201" t="e">
        <v>#DIV/0!</v>
      </c>
      <c r="EP69" s="143" t="e">
        <v>#DIV/0!</v>
      </c>
      <c r="EQ69" s="143" t="e">
        <v>#DIV/0!</v>
      </c>
      <c r="ER69" s="143" t="e">
        <v>#DIV/0!</v>
      </c>
      <c r="ES69" s="178" t="e">
        <f t="shared" si="67"/>
        <v>#DIV/0!</v>
      </c>
      <c r="ET69" s="178">
        <v>1894</v>
      </c>
      <c r="EU69" s="180">
        <v>228</v>
      </c>
      <c r="EV69" s="179">
        <v>0.12038014783526928</v>
      </c>
      <c r="EW69" s="179">
        <v>8.7380147835269276E-2</v>
      </c>
      <c r="EX69" s="179">
        <v>0.15338014783526926</v>
      </c>
      <c r="EY69" s="178" t="str">
        <f t="shared" si="68"/>
        <v>Sig better than Eng.</v>
      </c>
      <c r="EZ69" s="207">
        <v>2517</v>
      </c>
      <c r="FA69" s="213">
        <v>1446</v>
      </c>
      <c r="FB69" s="187">
        <v>0.57449344457687723</v>
      </c>
      <c r="FC69" s="187">
        <v>0.55507898366826613</v>
      </c>
      <c r="FD69" s="187">
        <v>0.59368086740758585</v>
      </c>
      <c r="FE69" s="208">
        <v>2517</v>
      </c>
      <c r="FF69" s="209">
        <v>34</v>
      </c>
      <c r="FG69" s="208">
        <v>503</v>
      </c>
      <c r="FH69" s="209">
        <v>25.262425447316105</v>
      </c>
      <c r="FI69" s="187">
        <v>0.25698748684364398</v>
      </c>
      <c r="FJ69" s="186">
        <v>2577</v>
      </c>
      <c r="FK69" s="186">
        <v>1627</v>
      </c>
      <c r="FL69" s="187">
        <v>0.63135428793170356</v>
      </c>
      <c r="FM69" s="187">
        <v>0.61254508033958732</v>
      </c>
      <c r="FN69" s="187">
        <v>0.64977246639935593</v>
      </c>
      <c r="FO69" s="198">
        <v>2577</v>
      </c>
      <c r="FP69" s="199">
        <v>34</v>
      </c>
      <c r="FQ69" s="198">
        <v>515</v>
      </c>
      <c r="FR69" s="199">
        <v>26.021359223300998</v>
      </c>
      <c r="FS69" s="187">
        <v>0.23466590519702948</v>
      </c>
      <c r="FT69" s="183"/>
      <c r="FU69" s="183"/>
      <c r="FV69" s="183"/>
      <c r="FW69" s="183"/>
      <c r="FX69" s="183"/>
      <c r="FY69" s="186"/>
      <c r="FZ69" s="186"/>
      <c r="GA69" s="183"/>
      <c r="GB69" s="183"/>
      <c r="GC69" s="183"/>
      <c r="GD69" s="183"/>
      <c r="GE69" s="197"/>
      <c r="GF69" s="197"/>
      <c r="GG69" s="197"/>
      <c r="GH69" s="197"/>
      <c r="GI69" s="197"/>
      <c r="GJ69" s="197"/>
      <c r="GK69" s="197"/>
      <c r="GL69" s="197"/>
      <c r="GM69" s="197"/>
      <c r="GN69" s="197"/>
      <c r="GO69" s="197"/>
      <c r="GP69" s="197"/>
      <c r="GQ69" s="186" t="s">
        <v>164</v>
      </c>
      <c r="GR69" s="186" t="s">
        <v>164</v>
      </c>
      <c r="GS69" s="186" t="s">
        <v>164</v>
      </c>
      <c r="GT69" s="186" t="s">
        <v>164</v>
      </c>
      <c r="GU69" s="186" t="s">
        <v>164</v>
      </c>
      <c r="GV69" s="186" t="s">
        <v>164</v>
      </c>
      <c r="GW69" s="186" t="s">
        <v>164</v>
      </c>
      <c r="GX69" s="186" t="s">
        <v>164</v>
      </c>
      <c r="GY69" s="186" t="s">
        <v>164</v>
      </c>
      <c r="GZ69" s="186" t="s">
        <v>164</v>
      </c>
      <c r="HA69" s="186" t="s">
        <v>164</v>
      </c>
      <c r="HB69" s="186" t="s">
        <v>164</v>
      </c>
      <c r="HC69" s="186" t="s">
        <v>164</v>
      </c>
      <c r="HD69" s="186" t="s">
        <v>164</v>
      </c>
      <c r="HE69" s="186" t="s">
        <v>164</v>
      </c>
      <c r="HF69" s="186" t="s">
        <v>164</v>
      </c>
      <c r="HG69" s="186" t="s">
        <v>164</v>
      </c>
      <c r="HH69" s="186" t="s">
        <v>164</v>
      </c>
      <c r="HI69" s="186" t="s">
        <v>164</v>
      </c>
      <c r="HJ69" s="186" t="s">
        <v>164</v>
      </c>
      <c r="HK69" s="186" t="s">
        <v>164</v>
      </c>
      <c r="HL69" s="186" t="s">
        <v>164</v>
      </c>
      <c r="HM69" s="186" t="s">
        <v>164</v>
      </c>
      <c r="HN69" s="186">
        <v>225</v>
      </c>
      <c r="HO69" s="187">
        <v>1.7293059718699561E-2</v>
      </c>
      <c r="HP69" s="217">
        <v>20507</v>
      </c>
      <c r="HQ69" s="217">
        <v>19210</v>
      </c>
      <c r="HR69" s="217">
        <v>1297</v>
      </c>
      <c r="HS69" s="1704">
        <v>6.3246696250060949E-2</v>
      </c>
    </row>
    <row r="70" spans="1:227" ht="13.8" customHeight="1" x14ac:dyDescent="0.25">
      <c r="A70" s="183" t="s">
        <v>639</v>
      </c>
      <c r="B70" s="183"/>
      <c r="C70" s="183" t="s">
        <v>164</v>
      </c>
      <c r="D70" s="183" t="s">
        <v>164</v>
      </c>
      <c r="E70" s="183" t="s">
        <v>164</v>
      </c>
      <c r="F70" s="183"/>
      <c r="G70" s="183" t="s">
        <v>164</v>
      </c>
      <c r="H70" s="183" t="s">
        <v>164</v>
      </c>
      <c r="I70" s="183" t="s">
        <v>639</v>
      </c>
      <c r="J70" s="183" t="s">
        <v>704</v>
      </c>
      <c r="K70" s="183" t="s">
        <v>164</v>
      </c>
      <c r="L70" s="184">
        <v>182350</v>
      </c>
      <c r="M70" s="184">
        <v>183400</v>
      </c>
      <c r="N70" s="184">
        <v>184450</v>
      </c>
      <c r="O70" s="184">
        <v>185750</v>
      </c>
      <c r="P70" s="184">
        <v>187300</v>
      </c>
      <c r="Q70" s="184">
        <v>188050</v>
      </c>
      <c r="R70" s="184">
        <v>189050</v>
      </c>
      <c r="S70" s="184">
        <v>189700</v>
      </c>
      <c r="T70" s="184">
        <v>191200</v>
      </c>
      <c r="U70" s="184">
        <v>192950</v>
      </c>
      <c r="V70" s="184">
        <v>8300</v>
      </c>
      <c r="W70" s="184">
        <v>8350</v>
      </c>
      <c r="X70" s="184">
        <v>8450</v>
      </c>
      <c r="Y70" s="184">
        <v>8700</v>
      </c>
      <c r="Z70" s="184">
        <v>8950</v>
      </c>
      <c r="AA70" s="184">
        <v>9250</v>
      </c>
      <c r="AB70" s="184">
        <v>9350</v>
      </c>
      <c r="AC70" s="184">
        <v>9450</v>
      </c>
      <c r="AD70" s="184">
        <v>9800</v>
      </c>
      <c r="AE70" s="184">
        <v>9950</v>
      </c>
      <c r="AF70" s="187">
        <v>0.88604898828541001</v>
      </c>
      <c r="AG70" s="187">
        <v>5.4845580404685838E-2</v>
      </c>
      <c r="AH70" s="187">
        <v>2.8221512247071354E-2</v>
      </c>
      <c r="AI70" s="187">
        <v>2.2364217252396165E-2</v>
      </c>
      <c r="AJ70" s="187">
        <v>6.3897763578274758E-3</v>
      </c>
      <c r="AK70" s="187">
        <v>3.1948881789137379E-3</v>
      </c>
      <c r="AL70" s="187">
        <v>0.11395101171458999</v>
      </c>
      <c r="AM70" s="184">
        <v>18292</v>
      </c>
      <c r="AN70" s="187">
        <v>0.58233107369341786</v>
      </c>
      <c r="AO70" s="187">
        <v>0.16909031270500766</v>
      </c>
      <c r="AP70" s="187">
        <v>0.24857861360157446</v>
      </c>
      <c r="AQ70" s="186" t="s">
        <v>164</v>
      </c>
      <c r="AR70" s="186" t="s">
        <v>164</v>
      </c>
      <c r="AS70" s="186" t="s">
        <v>164</v>
      </c>
      <c r="AT70" s="186" t="s">
        <v>164</v>
      </c>
      <c r="AU70" s="186" t="s">
        <v>164</v>
      </c>
      <c r="AV70" s="186" t="s">
        <v>164</v>
      </c>
      <c r="AW70" s="186" t="s">
        <v>164</v>
      </c>
      <c r="AX70" s="186" t="s">
        <v>164</v>
      </c>
      <c r="AY70" s="186" t="s">
        <v>164</v>
      </c>
      <c r="AZ70" s="186">
        <v>98</v>
      </c>
      <c r="BA70" s="186">
        <v>119</v>
      </c>
      <c r="BB70" s="187">
        <v>6.97538100820633E-2</v>
      </c>
      <c r="BC70" s="187">
        <v>5.8607749256263934E-2</v>
      </c>
      <c r="BD70" s="187">
        <v>8.2833118008409951E-2</v>
      </c>
      <c r="BE70" s="193" t="s">
        <v>164</v>
      </c>
      <c r="BF70" s="184"/>
      <c r="BG70" s="184"/>
      <c r="BH70" s="184"/>
      <c r="BI70" s="184"/>
      <c r="BJ70" s="184"/>
      <c r="BK70" s="184"/>
      <c r="BL70" s="186"/>
      <c r="BM70" s="186"/>
      <c r="BN70" s="186"/>
      <c r="BO70" s="186"/>
      <c r="BP70" s="186"/>
      <c r="BQ70" s="186"/>
      <c r="BR70" s="193"/>
      <c r="BS70" s="193"/>
      <c r="BT70" s="193"/>
      <c r="BU70" s="186">
        <v>4045</v>
      </c>
      <c r="BV70" s="186">
        <v>1341</v>
      </c>
      <c r="BW70" s="222">
        <v>0.3315203955500618</v>
      </c>
      <c r="BX70" s="186">
        <v>359</v>
      </c>
      <c r="BY70" s="237" t="s">
        <v>164</v>
      </c>
      <c r="BZ70" s="1676">
        <v>3092</v>
      </c>
      <c r="CA70" s="222">
        <v>3.7113055585562875E-2</v>
      </c>
      <c r="CB70" s="184">
        <v>1485</v>
      </c>
      <c r="CC70" s="184">
        <v>1480</v>
      </c>
      <c r="CD70" s="184">
        <v>1620</v>
      </c>
      <c r="CE70" s="200">
        <v>1535</v>
      </c>
      <c r="CF70" s="187" t="s">
        <v>164</v>
      </c>
      <c r="CG70" s="187" t="s">
        <v>164</v>
      </c>
      <c r="CH70" s="187" t="s">
        <v>164</v>
      </c>
      <c r="CI70" s="187" t="s">
        <v>164</v>
      </c>
      <c r="CJ70" s="187" t="s">
        <v>164</v>
      </c>
      <c r="CK70" s="187" t="s">
        <v>164</v>
      </c>
      <c r="CL70" s="187" t="s">
        <v>164</v>
      </c>
      <c r="CM70" s="187" t="s">
        <v>164</v>
      </c>
      <c r="CN70" s="184">
        <v>4165</v>
      </c>
      <c r="CO70" s="187">
        <v>0.13771466314398942</v>
      </c>
      <c r="CP70" s="184">
        <v>3895</v>
      </c>
      <c r="CQ70" s="187">
        <v>0.12849893599607137</v>
      </c>
      <c r="CR70" s="186"/>
      <c r="CS70" s="186"/>
      <c r="CT70" s="186"/>
      <c r="CU70" s="186"/>
      <c r="CV70" s="186"/>
      <c r="CW70" s="186"/>
      <c r="CX70" s="186"/>
      <c r="CY70" s="186"/>
      <c r="CZ70" s="186"/>
      <c r="DA70" s="186"/>
      <c r="DB70" s="186"/>
      <c r="DC70" s="186"/>
      <c r="DD70" s="183"/>
      <c r="DE70" s="201">
        <v>0</v>
      </c>
      <c r="DF70" s="183"/>
      <c r="DG70" s="143">
        <v>-1.7000000000000001E-2</v>
      </c>
      <c r="DH70" s="143">
        <v>1.7000000000000001E-2</v>
      </c>
      <c r="DI70" s="178" t="str">
        <f t="shared" si="61"/>
        <v>Sig better than Eng.</v>
      </c>
      <c r="DJ70" s="183"/>
      <c r="DK70" s="201">
        <v>0</v>
      </c>
      <c r="DL70" s="183"/>
      <c r="DM70" s="143"/>
      <c r="DN70" s="143"/>
      <c r="DO70" s="178" t="str">
        <f t="shared" si="62"/>
        <v>Sig better than Eng.</v>
      </c>
      <c r="DP70" s="183"/>
      <c r="DQ70" s="201">
        <v>0</v>
      </c>
      <c r="DR70" s="197"/>
      <c r="DS70" s="143">
        <v>-2.5999999999999999E-2</v>
      </c>
      <c r="DT70" s="143">
        <v>2.5999999999999999E-2</v>
      </c>
      <c r="DU70" s="178" t="str">
        <f t="shared" si="65"/>
        <v>Sig better than Eng.</v>
      </c>
      <c r="DV70" s="178">
        <v>1764</v>
      </c>
      <c r="DW70" s="201">
        <v>166</v>
      </c>
      <c r="DX70" s="179">
        <v>9.4104308390022678E-2</v>
      </c>
      <c r="DY70" s="179">
        <v>7.2104308390022687E-2</v>
      </c>
      <c r="DZ70" s="179">
        <v>0.11610430839002267</v>
      </c>
      <c r="EA70" s="178" t="str">
        <f t="shared" si="63"/>
        <v>No Sig diff</v>
      </c>
      <c r="EB70" s="183"/>
      <c r="EC70" s="201">
        <v>0</v>
      </c>
      <c r="ED70" s="183"/>
      <c r="EE70" s="197">
        <v>-3.2000000000000001E-2</v>
      </c>
      <c r="EF70" s="197">
        <v>3.2000000000000001E-2</v>
      </c>
      <c r="EG70" s="178" t="str">
        <f t="shared" si="64"/>
        <v>Sig better than Eng.</v>
      </c>
      <c r="EH70" s="183"/>
      <c r="EI70" s="201">
        <v>0</v>
      </c>
      <c r="EJ70" s="183"/>
      <c r="EK70" s="143">
        <v>-3.2000000000000001E-2</v>
      </c>
      <c r="EL70" s="143">
        <v>3.2000000000000001E-2</v>
      </c>
      <c r="EM70" s="178" t="str">
        <f t="shared" si="66"/>
        <v>Sig better than Eng.</v>
      </c>
      <c r="EN70" s="183"/>
      <c r="EO70" s="201">
        <v>0</v>
      </c>
      <c r="EP70" s="197"/>
      <c r="EQ70" s="143">
        <v>-3.3000000000000002E-2</v>
      </c>
      <c r="ER70" s="143">
        <v>3.3000000000000002E-2</v>
      </c>
      <c r="ES70" s="178" t="str">
        <f t="shared" si="67"/>
        <v>Sig better than Eng.</v>
      </c>
      <c r="ET70" s="178">
        <v>1346</v>
      </c>
      <c r="EU70" s="180">
        <v>195.00000000000003</v>
      </c>
      <c r="EV70" s="179">
        <v>0.1448736998514116</v>
      </c>
      <c r="EW70" s="179">
        <v>0.1118736998514116</v>
      </c>
      <c r="EX70" s="179">
        <v>0.1778736998514116</v>
      </c>
      <c r="EY70" s="178" t="str">
        <f t="shared" si="68"/>
        <v>Sig better than Eng.</v>
      </c>
      <c r="EZ70" s="207">
        <v>1955</v>
      </c>
      <c r="FA70" s="213">
        <v>929</v>
      </c>
      <c r="FB70" s="187">
        <v>0.4751918158567775</v>
      </c>
      <c r="FC70" s="187">
        <v>0.45312560281556069</v>
      </c>
      <c r="FD70" s="187">
        <v>0.49735533092044565</v>
      </c>
      <c r="FE70" s="214">
        <v>1955</v>
      </c>
      <c r="FF70" s="215">
        <v>33</v>
      </c>
      <c r="FG70" s="208">
        <v>391</v>
      </c>
      <c r="FH70" s="209">
        <v>22.069053708439903</v>
      </c>
      <c r="FI70" s="187">
        <v>0.33124079671394235</v>
      </c>
      <c r="FJ70" s="186">
        <v>1961</v>
      </c>
      <c r="FK70" s="186">
        <v>1078</v>
      </c>
      <c r="FL70" s="187">
        <v>0.5497195308516063</v>
      </c>
      <c r="FM70" s="187">
        <v>0.52762343707184223</v>
      </c>
      <c r="FN70" s="187">
        <v>0.57162121145926115</v>
      </c>
      <c r="FO70" s="198">
        <v>1961</v>
      </c>
      <c r="FP70" s="199">
        <v>34</v>
      </c>
      <c r="FQ70" s="198">
        <v>392</v>
      </c>
      <c r="FR70" s="199">
        <v>22.890306122448965</v>
      </c>
      <c r="FS70" s="187">
        <v>0.32675570228091277</v>
      </c>
      <c r="FT70" s="183"/>
      <c r="FU70" s="183"/>
      <c r="FV70" s="183"/>
      <c r="FW70" s="183"/>
      <c r="FX70" s="183"/>
      <c r="FY70" s="186"/>
      <c r="FZ70" s="186"/>
      <c r="GA70" s="183"/>
      <c r="GB70" s="183"/>
      <c r="GC70" s="183"/>
      <c r="GD70" s="183"/>
      <c r="GE70" s="183"/>
      <c r="GF70" s="183"/>
      <c r="GG70" s="183"/>
      <c r="GH70" s="183"/>
      <c r="GI70" s="183"/>
      <c r="GJ70" s="183"/>
      <c r="GK70" s="183"/>
      <c r="GL70" s="183"/>
      <c r="GM70" s="183"/>
      <c r="GN70" s="183"/>
      <c r="GO70" s="183"/>
      <c r="GP70" s="183"/>
      <c r="GQ70" s="186" t="s">
        <v>164</v>
      </c>
      <c r="GR70" s="186" t="s">
        <v>164</v>
      </c>
      <c r="GS70" s="186" t="s">
        <v>164</v>
      </c>
      <c r="GT70" s="186" t="s">
        <v>164</v>
      </c>
      <c r="GU70" s="186" t="s">
        <v>164</v>
      </c>
      <c r="GV70" s="186" t="s">
        <v>164</v>
      </c>
      <c r="GW70" s="186" t="s">
        <v>164</v>
      </c>
      <c r="GX70" s="186" t="s">
        <v>164</v>
      </c>
      <c r="GY70" s="186" t="s">
        <v>164</v>
      </c>
      <c r="GZ70" s="186" t="s">
        <v>164</v>
      </c>
      <c r="HA70" s="186" t="s">
        <v>164</v>
      </c>
      <c r="HB70" s="186" t="s">
        <v>164</v>
      </c>
      <c r="HC70" s="186" t="s">
        <v>164</v>
      </c>
      <c r="HD70" s="186" t="s">
        <v>164</v>
      </c>
      <c r="HE70" s="186" t="s">
        <v>164</v>
      </c>
      <c r="HF70" s="186" t="s">
        <v>164</v>
      </c>
      <c r="HG70" s="186" t="s">
        <v>164</v>
      </c>
      <c r="HH70" s="186" t="s">
        <v>164</v>
      </c>
      <c r="HI70" s="186" t="s">
        <v>164</v>
      </c>
      <c r="HJ70" s="186" t="s">
        <v>164</v>
      </c>
      <c r="HK70" s="186" t="s">
        <v>164</v>
      </c>
      <c r="HL70" s="186" t="s">
        <v>164</v>
      </c>
      <c r="HM70" s="186" t="s">
        <v>164</v>
      </c>
      <c r="HN70" s="186">
        <v>175</v>
      </c>
      <c r="HO70" s="187">
        <v>1.8660695244188525E-2</v>
      </c>
      <c r="HP70" s="217">
        <v>14691</v>
      </c>
      <c r="HQ70" s="217">
        <v>13198</v>
      </c>
      <c r="HR70" s="217">
        <v>1493</v>
      </c>
      <c r="HS70" s="1704">
        <v>0.10162684636852495</v>
      </c>
    </row>
    <row r="71" spans="1:227" ht="13.8" customHeight="1" x14ac:dyDescent="0.25">
      <c r="A71" s="183" t="s">
        <v>640</v>
      </c>
      <c r="B71" s="183"/>
      <c r="C71" s="183" t="s">
        <v>164</v>
      </c>
      <c r="D71" s="183" t="s">
        <v>164</v>
      </c>
      <c r="E71" s="183" t="s">
        <v>164</v>
      </c>
      <c r="F71" s="183"/>
      <c r="G71" s="183" t="s">
        <v>164</v>
      </c>
      <c r="H71" s="183" t="s">
        <v>164</v>
      </c>
      <c r="I71" s="183" t="s">
        <v>640</v>
      </c>
      <c r="J71" s="183" t="s">
        <v>705</v>
      </c>
      <c r="K71" s="183" t="s">
        <v>164</v>
      </c>
      <c r="L71" s="184">
        <v>263500</v>
      </c>
      <c r="M71" s="184">
        <v>264550</v>
      </c>
      <c r="N71" s="184">
        <v>266350</v>
      </c>
      <c r="O71" s="184">
        <v>268100</v>
      </c>
      <c r="P71" s="184">
        <v>269550</v>
      </c>
      <c r="Q71" s="184">
        <v>270700</v>
      </c>
      <c r="R71" s="184">
        <v>272600</v>
      </c>
      <c r="S71" s="184">
        <v>274300</v>
      </c>
      <c r="T71" s="184">
        <v>276200</v>
      </c>
      <c r="U71" s="184">
        <v>277800</v>
      </c>
      <c r="V71" s="186">
        <v>13350</v>
      </c>
      <c r="W71" s="186">
        <v>13350</v>
      </c>
      <c r="X71" s="186">
        <v>13550</v>
      </c>
      <c r="Y71" s="186">
        <v>13900</v>
      </c>
      <c r="Z71" s="186">
        <v>14150</v>
      </c>
      <c r="AA71" s="186">
        <v>14400</v>
      </c>
      <c r="AB71" s="186">
        <v>14750</v>
      </c>
      <c r="AC71" s="186">
        <v>15100</v>
      </c>
      <c r="AD71" s="186">
        <v>15400</v>
      </c>
      <c r="AE71" s="186">
        <v>15350</v>
      </c>
      <c r="AF71" s="187">
        <v>0.87869724160850782</v>
      </c>
      <c r="AG71" s="187">
        <v>3.4230641409106012E-2</v>
      </c>
      <c r="AH71" s="187">
        <v>4.7856430707876374E-2</v>
      </c>
      <c r="AI71" s="187">
        <v>2.991026919242273E-2</v>
      </c>
      <c r="AJ71" s="187">
        <v>4.9850448654037887E-3</v>
      </c>
      <c r="AK71" s="187">
        <v>4.3203722166832836E-3</v>
      </c>
      <c r="AL71" s="187">
        <v>0.1213027583914922</v>
      </c>
      <c r="AM71" s="184">
        <v>28968</v>
      </c>
      <c r="AN71" s="187">
        <v>0.62810687655343833</v>
      </c>
      <c r="AO71" s="187">
        <v>0.14260563380281691</v>
      </c>
      <c r="AP71" s="187">
        <v>0.22928748964374482</v>
      </c>
      <c r="AQ71" s="186" t="s">
        <v>164</v>
      </c>
      <c r="AR71" s="186" t="s">
        <v>164</v>
      </c>
      <c r="AS71" s="186" t="s">
        <v>164</v>
      </c>
      <c r="AT71" s="186" t="s">
        <v>164</v>
      </c>
      <c r="AU71" s="186" t="s">
        <v>164</v>
      </c>
      <c r="AV71" s="186" t="s">
        <v>164</v>
      </c>
      <c r="AW71" s="186" t="s">
        <v>164</v>
      </c>
      <c r="AX71" s="186" t="s">
        <v>164</v>
      </c>
      <c r="AY71" s="186" t="s">
        <v>164</v>
      </c>
      <c r="AZ71" s="186">
        <v>110</v>
      </c>
      <c r="BA71" s="186">
        <v>174</v>
      </c>
      <c r="BB71" s="187">
        <v>6.3457330415754923E-2</v>
      </c>
      <c r="BC71" s="187">
        <v>5.4929303532980554E-2</v>
      </c>
      <c r="BD71" s="187">
        <v>7.3206812152229392E-2</v>
      </c>
      <c r="BE71" s="193" t="s">
        <v>164</v>
      </c>
      <c r="BF71" s="184"/>
      <c r="BG71" s="184"/>
      <c r="BH71" s="184"/>
      <c r="BI71" s="184"/>
      <c r="BJ71" s="184"/>
      <c r="BK71" s="184"/>
      <c r="BL71" s="186"/>
      <c r="BM71" s="186"/>
      <c r="BN71" s="186"/>
      <c r="BO71" s="186"/>
      <c r="BP71" s="186"/>
      <c r="BQ71" s="186"/>
      <c r="BR71" s="193"/>
      <c r="BS71" s="193"/>
      <c r="BT71" s="193"/>
      <c r="BU71" s="186">
        <v>6808</v>
      </c>
      <c r="BV71" s="186">
        <v>2392</v>
      </c>
      <c r="BW71" s="222">
        <v>0.35135135135135137</v>
      </c>
      <c r="BX71" s="186">
        <v>672</v>
      </c>
      <c r="BY71" s="237" t="s">
        <v>164</v>
      </c>
      <c r="BZ71" s="1676">
        <v>5313</v>
      </c>
      <c r="CA71" s="222">
        <v>4.3575611436445054E-2</v>
      </c>
      <c r="CB71" s="184">
        <v>2725</v>
      </c>
      <c r="CC71" s="184">
        <v>2710</v>
      </c>
      <c r="CD71" s="184">
        <v>2705</v>
      </c>
      <c r="CE71" s="200">
        <v>2505</v>
      </c>
      <c r="CF71" s="187" t="s">
        <v>164</v>
      </c>
      <c r="CG71" s="187" t="s">
        <v>164</v>
      </c>
      <c r="CH71" s="187" t="s">
        <v>164</v>
      </c>
      <c r="CI71" s="187" t="s">
        <v>164</v>
      </c>
      <c r="CJ71" s="187" t="s">
        <v>164</v>
      </c>
      <c r="CK71" s="187" t="s">
        <v>164</v>
      </c>
      <c r="CL71" s="187" t="s">
        <v>164</v>
      </c>
      <c r="CM71" s="187" t="s">
        <v>164</v>
      </c>
      <c r="CN71" s="184">
        <v>7045</v>
      </c>
      <c r="CO71" s="187">
        <v>0.15298588490770901</v>
      </c>
      <c r="CP71" s="184">
        <v>6475</v>
      </c>
      <c r="CQ71" s="187">
        <v>0.13938219782585298</v>
      </c>
      <c r="CR71" s="186"/>
      <c r="CS71" s="186"/>
      <c r="CT71" s="186"/>
      <c r="CU71" s="186"/>
      <c r="CV71" s="186"/>
      <c r="CW71" s="186"/>
      <c r="CX71" s="186"/>
      <c r="CY71" s="186"/>
      <c r="CZ71" s="186"/>
      <c r="DA71" s="186"/>
      <c r="DB71" s="186"/>
      <c r="DC71" s="186"/>
      <c r="DD71" s="183"/>
      <c r="DE71" s="201">
        <v>0</v>
      </c>
      <c r="DF71" s="183"/>
      <c r="DG71" s="143">
        <v>-1.7000000000000001E-2</v>
      </c>
      <c r="DH71" s="143">
        <v>1.7000000000000001E-2</v>
      </c>
      <c r="DI71" s="178" t="str">
        <f t="shared" si="61"/>
        <v>Sig better than Eng.</v>
      </c>
      <c r="DJ71" s="183"/>
      <c r="DK71" s="201">
        <v>0</v>
      </c>
      <c r="DL71" s="183"/>
      <c r="DM71" s="143"/>
      <c r="DN71" s="143"/>
      <c r="DO71" s="178" t="str">
        <f t="shared" si="62"/>
        <v>Sig better than Eng.</v>
      </c>
      <c r="DP71" s="183"/>
      <c r="DQ71" s="201">
        <v>0</v>
      </c>
      <c r="DR71" s="197"/>
      <c r="DS71" s="143">
        <v>-2.5999999999999999E-2</v>
      </c>
      <c r="DT71" s="143">
        <v>2.5999999999999999E-2</v>
      </c>
      <c r="DU71" s="178" t="str">
        <f t="shared" si="65"/>
        <v>Sig better than Eng.</v>
      </c>
      <c r="DV71" s="178">
        <v>2713</v>
      </c>
      <c r="DW71" s="201">
        <v>234</v>
      </c>
      <c r="DX71" s="179">
        <v>8.6251382233689639E-2</v>
      </c>
      <c r="DY71" s="179">
        <v>6.4251382233689647E-2</v>
      </c>
      <c r="DZ71" s="179">
        <v>0.10825138223368963</v>
      </c>
      <c r="EA71" s="178" t="str">
        <f t="shared" si="63"/>
        <v>No Sig diff</v>
      </c>
      <c r="EB71" s="183"/>
      <c r="EC71" s="201">
        <v>0</v>
      </c>
      <c r="ED71" s="183"/>
      <c r="EE71" s="197">
        <v>-3.2000000000000001E-2</v>
      </c>
      <c r="EF71" s="197">
        <v>3.2000000000000001E-2</v>
      </c>
      <c r="EG71" s="178" t="str">
        <f t="shared" si="64"/>
        <v>Sig better than Eng.</v>
      </c>
      <c r="EH71" s="183"/>
      <c r="EI71" s="201">
        <v>0</v>
      </c>
      <c r="EJ71" s="183"/>
      <c r="EK71" s="143">
        <v>-3.2000000000000001E-2</v>
      </c>
      <c r="EL71" s="143">
        <v>3.2000000000000001E-2</v>
      </c>
      <c r="EM71" s="178" t="str">
        <f t="shared" si="66"/>
        <v>Sig better than Eng.</v>
      </c>
      <c r="EN71" s="183"/>
      <c r="EO71" s="201">
        <v>0</v>
      </c>
      <c r="EP71" s="197"/>
      <c r="EQ71" s="143">
        <v>-3.3000000000000002E-2</v>
      </c>
      <c r="ER71" s="143">
        <v>3.3000000000000002E-2</v>
      </c>
      <c r="ES71" s="178" t="str">
        <f t="shared" si="67"/>
        <v>Sig better than Eng.</v>
      </c>
      <c r="ET71" s="178">
        <v>2211</v>
      </c>
      <c r="EU71" s="180">
        <v>325</v>
      </c>
      <c r="EV71" s="179">
        <v>0.14699231117141565</v>
      </c>
      <c r="EW71" s="179">
        <v>0.11399231117141564</v>
      </c>
      <c r="EX71" s="179">
        <v>0.17999231117141565</v>
      </c>
      <c r="EY71" s="178" t="str">
        <f t="shared" si="68"/>
        <v>Sig better than Eng.</v>
      </c>
      <c r="EZ71" s="207">
        <v>3032</v>
      </c>
      <c r="FA71" s="213">
        <v>1623</v>
      </c>
      <c r="FB71" s="187">
        <v>0.53529023746701843</v>
      </c>
      <c r="FC71" s="187">
        <v>0.51750387204929615</v>
      </c>
      <c r="FD71" s="187">
        <v>0.55298729255952062</v>
      </c>
      <c r="FE71" s="214">
        <v>3032</v>
      </c>
      <c r="FF71" s="215">
        <v>34</v>
      </c>
      <c r="FG71" s="208">
        <v>606</v>
      </c>
      <c r="FH71" s="209">
        <v>24.288778877887793</v>
      </c>
      <c r="FI71" s="187">
        <v>0.28562415065035901</v>
      </c>
      <c r="FJ71" s="186">
        <v>2971</v>
      </c>
      <c r="FK71" s="186">
        <v>1768</v>
      </c>
      <c r="FL71" s="187">
        <v>0.5950858296869741</v>
      </c>
      <c r="FM71" s="187">
        <v>0.57732306780997178</v>
      </c>
      <c r="FN71" s="187">
        <v>0.61260301995672917</v>
      </c>
      <c r="FO71" s="198">
        <v>2971</v>
      </c>
      <c r="FP71" s="199">
        <v>34</v>
      </c>
      <c r="FQ71" s="198">
        <v>594</v>
      </c>
      <c r="FR71" s="199">
        <v>25.101010101010115</v>
      </c>
      <c r="FS71" s="187">
        <v>0.26173499702911429</v>
      </c>
      <c r="FT71" s="183"/>
      <c r="FU71" s="183"/>
      <c r="FV71" s="183"/>
      <c r="FW71" s="183"/>
      <c r="FX71" s="183"/>
      <c r="FY71" s="186"/>
      <c r="FZ71" s="186"/>
      <c r="GA71" s="183"/>
      <c r="GB71" s="183"/>
      <c r="GC71" s="183"/>
      <c r="GD71" s="183"/>
      <c r="GE71" s="183"/>
      <c r="GF71" s="183"/>
      <c r="GG71" s="183"/>
      <c r="GH71" s="183"/>
      <c r="GI71" s="183"/>
      <c r="GJ71" s="183"/>
      <c r="GK71" s="183"/>
      <c r="GL71" s="183"/>
      <c r="GM71" s="183"/>
      <c r="GN71" s="183"/>
      <c r="GO71" s="183"/>
      <c r="GP71" s="183"/>
      <c r="GQ71" s="186" t="s">
        <v>164</v>
      </c>
      <c r="GR71" s="186" t="s">
        <v>164</v>
      </c>
      <c r="GS71" s="186" t="s">
        <v>164</v>
      </c>
      <c r="GT71" s="186" t="s">
        <v>164</v>
      </c>
      <c r="GU71" s="186" t="s">
        <v>164</v>
      </c>
      <c r="GV71" s="186" t="s">
        <v>164</v>
      </c>
      <c r="GW71" s="186" t="s">
        <v>164</v>
      </c>
      <c r="GX71" s="186" t="s">
        <v>164</v>
      </c>
      <c r="GY71" s="186" t="s">
        <v>164</v>
      </c>
      <c r="GZ71" s="186" t="s">
        <v>164</v>
      </c>
      <c r="HA71" s="186" t="s">
        <v>164</v>
      </c>
      <c r="HB71" s="186" t="s">
        <v>164</v>
      </c>
      <c r="HC71" s="186" t="s">
        <v>164</v>
      </c>
      <c r="HD71" s="186" t="s">
        <v>164</v>
      </c>
      <c r="HE71" s="186" t="s">
        <v>164</v>
      </c>
      <c r="HF71" s="186" t="s">
        <v>164</v>
      </c>
      <c r="HG71" s="186" t="s">
        <v>164</v>
      </c>
      <c r="HH71" s="186" t="s">
        <v>164</v>
      </c>
      <c r="HI71" s="186" t="s">
        <v>164</v>
      </c>
      <c r="HJ71" s="186" t="s">
        <v>164</v>
      </c>
      <c r="HK71" s="186" t="s">
        <v>164</v>
      </c>
      <c r="HL71" s="186" t="s">
        <v>164</v>
      </c>
      <c r="HM71" s="186" t="s">
        <v>164</v>
      </c>
      <c r="HN71" s="186">
        <v>289</v>
      </c>
      <c r="HO71" s="187">
        <v>1.9224373045965543E-2</v>
      </c>
      <c r="HP71" s="217">
        <v>23383</v>
      </c>
      <c r="HQ71" s="217">
        <v>20621</v>
      </c>
      <c r="HR71" s="217">
        <v>2762</v>
      </c>
      <c r="HS71" s="1704">
        <v>0.11812000171064449</v>
      </c>
    </row>
    <row r="72" spans="1:227" ht="13.8" customHeight="1" x14ac:dyDescent="0.25">
      <c r="A72" s="183" t="s">
        <v>641</v>
      </c>
      <c r="B72" s="183"/>
      <c r="C72" s="183" t="s">
        <v>164</v>
      </c>
      <c r="D72" s="183" t="s">
        <v>164</v>
      </c>
      <c r="E72" s="183" t="s">
        <v>164</v>
      </c>
      <c r="F72" s="183"/>
      <c r="G72" s="183" t="s">
        <v>164</v>
      </c>
      <c r="H72" s="183" t="s">
        <v>164</v>
      </c>
      <c r="I72" s="183" t="s">
        <v>641</v>
      </c>
      <c r="J72" s="183" t="s">
        <v>33</v>
      </c>
      <c r="K72" s="183" t="s">
        <v>164</v>
      </c>
      <c r="L72" s="184">
        <v>98900</v>
      </c>
      <c r="M72" s="184">
        <v>99700</v>
      </c>
      <c r="N72" s="184">
        <v>100750</v>
      </c>
      <c r="O72" s="184">
        <v>101600</v>
      </c>
      <c r="P72" s="184">
        <v>102850</v>
      </c>
      <c r="Q72" s="184">
        <v>103850</v>
      </c>
      <c r="R72" s="184">
        <v>105500</v>
      </c>
      <c r="S72" s="184">
        <v>107050</v>
      </c>
      <c r="T72" s="184">
        <v>108300</v>
      </c>
      <c r="U72" s="184">
        <v>108950</v>
      </c>
      <c r="V72" s="186">
        <v>6300</v>
      </c>
      <c r="W72" s="186">
        <v>6300</v>
      </c>
      <c r="X72" s="186">
        <v>6350</v>
      </c>
      <c r="Y72" s="186">
        <v>6600</v>
      </c>
      <c r="Z72" s="186">
        <v>6950</v>
      </c>
      <c r="AA72" s="186">
        <v>7200</v>
      </c>
      <c r="AB72" s="186">
        <v>7750</v>
      </c>
      <c r="AC72" s="186">
        <v>8150</v>
      </c>
      <c r="AD72" s="186">
        <v>8300</v>
      </c>
      <c r="AE72" s="186">
        <v>8350</v>
      </c>
      <c r="AF72" s="187">
        <v>0.62205700123915741</v>
      </c>
      <c r="AG72" s="187">
        <v>6.5675340768277565E-2</v>
      </c>
      <c r="AH72" s="187">
        <v>7.6827757125154897E-2</v>
      </c>
      <c r="AI72" s="187">
        <v>0.17348203221809169</v>
      </c>
      <c r="AJ72" s="187">
        <v>4.8946716232961589E-2</v>
      </c>
      <c r="AK72" s="187">
        <v>1.3011152416356878E-2</v>
      </c>
      <c r="AL72" s="187">
        <v>0.37794299876084264</v>
      </c>
      <c r="AM72" s="184">
        <v>14546</v>
      </c>
      <c r="AN72" s="187">
        <v>0.49099408772171044</v>
      </c>
      <c r="AO72" s="187">
        <v>0.31527567716210642</v>
      </c>
      <c r="AP72" s="187">
        <v>0.19373023511618315</v>
      </c>
      <c r="AQ72" s="186" t="s">
        <v>164</v>
      </c>
      <c r="AR72" s="186" t="s">
        <v>164</v>
      </c>
      <c r="AS72" s="186" t="s">
        <v>164</v>
      </c>
      <c r="AT72" s="186" t="s">
        <v>164</v>
      </c>
      <c r="AU72" s="186" t="s">
        <v>164</v>
      </c>
      <c r="AV72" s="186" t="s">
        <v>164</v>
      </c>
      <c r="AW72" s="186" t="s">
        <v>164</v>
      </c>
      <c r="AX72" s="186" t="s">
        <v>164</v>
      </c>
      <c r="AY72" s="186" t="s">
        <v>164</v>
      </c>
      <c r="AZ72" s="186">
        <v>64</v>
      </c>
      <c r="BA72" s="186">
        <v>128</v>
      </c>
      <c r="BB72" s="187">
        <v>7.8963602714373846E-2</v>
      </c>
      <c r="BC72" s="187">
        <v>6.6808520694543738E-2</v>
      </c>
      <c r="BD72" s="187">
        <v>9.3109517714746015E-2</v>
      </c>
      <c r="BE72" s="193" t="s">
        <v>164</v>
      </c>
      <c r="BF72" s="184"/>
      <c r="BG72" s="184"/>
      <c r="BH72" s="184"/>
      <c r="BI72" s="184"/>
      <c r="BJ72" s="184"/>
      <c r="BK72" s="184"/>
      <c r="BL72" s="186"/>
      <c r="BM72" s="186"/>
      <c r="BN72" s="186"/>
      <c r="BO72" s="186"/>
      <c r="BP72" s="186"/>
      <c r="BQ72" s="186"/>
      <c r="BR72" s="193"/>
      <c r="BS72" s="193"/>
      <c r="BT72" s="193"/>
      <c r="BU72" s="186">
        <v>3293</v>
      </c>
      <c r="BV72" s="186">
        <v>1363</v>
      </c>
      <c r="BW72" s="222">
        <v>0.4139082903127847</v>
      </c>
      <c r="BX72" s="186">
        <v>248</v>
      </c>
      <c r="BY72" s="237" t="s">
        <v>164</v>
      </c>
      <c r="BZ72" s="1676">
        <v>2084</v>
      </c>
      <c r="CA72" s="222">
        <v>4.8774779413485618E-2</v>
      </c>
      <c r="CB72" s="184">
        <v>1650</v>
      </c>
      <c r="CC72" s="184">
        <v>1650</v>
      </c>
      <c r="CD72" s="184">
        <v>1580</v>
      </c>
      <c r="CE72" s="200">
        <v>1475</v>
      </c>
      <c r="CF72" s="187" t="s">
        <v>164</v>
      </c>
      <c r="CG72" s="187" t="s">
        <v>164</v>
      </c>
      <c r="CH72" s="187" t="s">
        <v>164</v>
      </c>
      <c r="CI72" s="187" t="s">
        <v>164</v>
      </c>
      <c r="CJ72" s="187" t="s">
        <v>164</v>
      </c>
      <c r="CK72" s="187" t="s">
        <v>164</v>
      </c>
      <c r="CL72" s="187" t="s">
        <v>164</v>
      </c>
      <c r="CM72" s="187" t="s">
        <v>164</v>
      </c>
      <c r="CN72" s="184">
        <v>4170</v>
      </c>
      <c r="CO72" s="187">
        <v>0.19002050580997951</v>
      </c>
      <c r="CP72" s="184">
        <v>3890</v>
      </c>
      <c r="CQ72" s="187">
        <v>0.17397137745974955</v>
      </c>
      <c r="CR72" s="186"/>
      <c r="CS72" s="186"/>
      <c r="CT72" s="186"/>
      <c r="CU72" s="186"/>
      <c r="CV72" s="186"/>
      <c r="CW72" s="186"/>
      <c r="CX72" s="186"/>
      <c r="CY72" s="186"/>
      <c r="CZ72" s="186"/>
      <c r="DA72" s="186"/>
      <c r="DB72" s="186"/>
      <c r="DC72" s="186"/>
      <c r="DD72" s="183"/>
      <c r="DE72" s="201">
        <v>0</v>
      </c>
      <c r="DF72" s="183"/>
      <c r="DG72" s="143">
        <v>-1.7000000000000001E-2</v>
      </c>
      <c r="DH72" s="143">
        <v>1.7000000000000001E-2</v>
      </c>
      <c r="DI72" s="178" t="str">
        <f t="shared" si="61"/>
        <v>Sig better than Eng.</v>
      </c>
      <c r="DJ72" s="183"/>
      <c r="DK72" s="201">
        <v>0</v>
      </c>
      <c r="DL72" s="183"/>
      <c r="DM72" s="143"/>
      <c r="DN72" s="143"/>
      <c r="DO72" s="178" t="str">
        <f t="shared" si="62"/>
        <v>Sig better than Eng.</v>
      </c>
      <c r="DP72" s="183"/>
      <c r="DQ72" s="201">
        <v>0</v>
      </c>
      <c r="DR72" s="197"/>
      <c r="DS72" s="143">
        <v>-2.5999999999999999E-2</v>
      </c>
      <c r="DT72" s="143">
        <v>2.5999999999999999E-2</v>
      </c>
      <c r="DU72" s="178" t="str">
        <f t="shared" si="65"/>
        <v>Sig better than Eng.</v>
      </c>
      <c r="DV72" s="178">
        <v>1189</v>
      </c>
      <c r="DW72" s="201">
        <v>111.00000000000001</v>
      </c>
      <c r="DX72" s="179">
        <v>9.3355761143818342E-2</v>
      </c>
      <c r="DY72" s="179">
        <v>7.1355761143818336E-2</v>
      </c>
      <c r="DZ72" s="179">
        <v>0.11535576114381835</v>
      </c>
      <c r="EA72" s="178" t="str">
        <f t="shared" si="63"/>
        <v>No Sig diff</v>
      </c>
      <c r="EB72" s="183"/>
      <c r="EC72" s="201">
        <v>0</v>
      </c>
      <c r="ED72" s="183"/>
      <c r="EE72" s="197">
        <v>-3.2000000000000001E-2</v>
      </c>
      <c r="EF72" s="197">
        <v>3.2000000000000001E-2</v>
      </c>
      <c r="EG72" s="178" t="str">
        <f t="shared" si="64"/>
        <v>Sig better than Eng.</v>
      </c>
      <c r="EH72" s="183"/>
      <c r="EI72" s="201">
        <v>0</v>
      </c>
      <c r="EJ72" s="183"/>
      <c r="EK72" s="143">
        <v>-3.2000000000000001E-2</v>
      </c>
      <c r="EL72" s="143">
        <v>3.2000000000000001E-2</v>
      </c>
      <c r="EM72" s="178" t="str">
        <f t="shared" si="66"/>
        <v>Sig better than Eng.</v>
      </c>
      <c r="EN72" s="183"/>
      <c r="EO72" s="201">
        <v>0</v>
      </c>
      <c r="EP72" s="197"/>
      <c r="EQ72" s="143">
        <v>-3.3000000000000002E-2</v>
      </c>
      <c r="ER72" s="143">
        <v>3.3000000000000002E-2</v>
      </c>
      <c r="ES72" s="178" t="str">
        <f t="shared" si="67"/>
        <v>Sig better than Eng.</v>
      </c>
      <c r="ET72" s="178">
        <v>1075</v>
      </c>
      <c r="EU72" s="180">
        <v>210</v>
      </c>
      <c r="EV72" s="179">
        <v>0.19534883720930232</v>
      </c>
      <c r="EW72" s="179">
        <v>0.16234883720930232</v>
      </c>
      <c r="EX72" s="179">
        <v>0.22834883720930232</v>
      </c>
      <c r="EY72" s="178" t="str">
        <f t="shared" si="68"/>
        <v>No Sig diff</v>
      </c>
      <c r="EZ72" s="207">
        <v>1440</v>
      </c>
      <c r="FA72" s="213">
        <v>693</v>
      </c>
      <c r="FB72" s="187">
        <v>0.48125000000000001</v>
      </c>
      <c r="FC72" s="187">
        <v>0.45552756226071045</v>
      </c>
      <c r="FD72" s="187">
        <v>0.50707220957012045</v>
      </c>
      <c r="FE72" s="214">
        <v>1440</v>
      </c>
      <c r="FF72" s="215">
        <v>34</v>
      </c>
      <c r="FG72" s="208">
        <v>288</v>
      </c>
      <c r="FH72" s="209">
        <v>22.378472222222197</v>
      </c>
      <c r="FI72" s="187">
        <v>0.34180964052287655</v>
      </c>
      <c r="FJ72" s="186">
        <v>1518</v>
      </c>
      <c r="FK72" s="186">
        <v>841</v>
      </c>
      <c r="FL72" s="187">
        <v>0.5540184453227931</v>
      </c>
      <c r="FM72" s="187">
        <v>0.52890795807318758</v>
      </c>
      <c r="FN72" s="187">
        <v>0.57885622396393932</v>
      </c>
      <c r="FO72" s="198">
        <v>1518</v>
      </c>
      <c r="FP72" s="199">
        <v>34</v>
      </c>
      <c r="FQ72" s="198">
        <v>303</v>
      </c>
      <c r="FR72" s="199">
        <v>22.61056105610562</v>
      </c>
      <c r="FS72" s="187">
        <v>0.33498349834983471</v>
      </c>
      <c r="FT72" s="183"/>
      <c r="FU72" s="183"/>
      <c r="FV72" s="183"/>
      <c r="FW72" s="183"/>
      <c r="FX72" s="183"/>
      <c r="FY72" s="186"/>
      <c r="FZ72" s="186"/>
      <c r="GA72" s="183"/>
      <c r="GB72" s="183"/>
      <c r="GC72" s="183"/>
      <c r="GD72" s="183"/>
      <c r="GE72" s="183"/>
      <c r="GF72" s="183"/>
      <c r="GG72" s="183"/>
      <c r="GH72" s="183"/>
      <c r="GI72" s="183"/>
      <c r="GJ72" s="183"/>
      <c r="GK72" s="183"/>
      <c r="GL72" s="183"/>
      <c r="GM72" s="183"/>
      <c r="GN72" s="183"/>
      <c r="GO72" s="183"/>
      <c r="GP72" s="183"/>
      <c r="GQ72" s="186" t="s">
        <v>164</v>
      </c>
      <c r="GR72" s="186" t="s">
        <v>164</v>
      </c>
      <c r="GS72" s="186" t="s">
        <v>164</v>
      </c>
      <c r="GT72" s="186" t="s">
        <v>164</v>
      </c>
      <c r="GU72" s="186" t="s">
        <v>164</v>
      </c>
      <c r="GV72" s="186" t="s">
        <v>164</v>
      </c>
      <c r="GW72" s="186" t="s">
        <v>164</v>
      </c>
      <c r="GX72" s="186" t="s">
        <v>164</v>
      </c>
      <c r="GY72" s="186" t="s">
        <v>164</v>
      </c>
      <c r="GZ72" s="186" t="s">
        <v>164</v>
      </c>
      <c r="HA72" s="186" t="s">
        <v>164</v>
      </c>
      <c r="HB72" s="186" t="s">
        <v>164</v>
      </c>
      <c r="HC72" s="186" t="s">
        <v>164</v>
      </c>
      <c r="HD72" s="186" t="s">
        <v>164</v>
      </c>
      <c r="HE72" s="186" t="s">
        <v>164</v>
      </c>
      <c r="HF72" s="186" t="s">
        <v>164</v>
      </c>
      <c r="HG72" s="186" t="s">
        <v>164</v>
      </c>
      <c r="HH72" s="186" t="s">
        <v>164</v>
      </c>
      <c r="HI72" s="186" t="s">
        <v>164</v>
      </c>
      <c r="HJ72" s="186" t="s">
        <v>164</v>
      </c>
      <c r="HK72" s="186" t="s">
        <v>164</v>
      </c>
      <c r="HL72" s="186" t="s">
        <v>164</v>
      </c>
      <c r="HM72" s="186" t="s">
        <v>164</v>
      </c>
      <c r="HN72" s="186">
        <v>158</v>
      </c>
      <c r="HO72" s="187">
        <v>1.9602977667493797E-2</v>
      </c>
      <c r="HP72" s="217">
        <v>12900</v>
      </c>
      <c r="HQ72" s="217">
        <v>11233</v>
      </c>
      <c r="HR72" s="217">
        <v>1667</v>
      </c>
      <c r="HS72" s="1704">
        <v>0.12922480620155039</v>
      </c>
    </row>
    <row r="73" spans="1:227" ht="13.8" customHeight="1" x14ac:dyDescent="0.25">
      <c r="A73" s="183" t="s">
        <v>642</v>
      </c>
      <c r="B73" s="183"/>
      <c r="C73" s="183" t="s">
        <v>164</v>
      </c>
      <c r="D73" s="183" t="s">
        <v>164</v>
      </c>
      <c r="E73" s="183" t="s">
        <v>164</v>
      </c>
      <c r="F73" s="183"/>
      <c r="G73" s="183" t="s">
        <v>164</v>
      </c>
      <c r="H73" s="183" t="s">
        <v>164</v>
      </c>
      <c r="I73" s="183" t="s">
        <v>642</v>
      </c>
      <c r="J73" s="183" t="s">
        <v>703</v>
      </c>
      <c r="K73" s="183" t="s">
        <v>164</v>
      </c>
      <c r="L73" s="184">
        <v>129450</v>
      </c>
      <c r="M73" s="184">
        <v>130500</v>
      </c>
      <c r="N73" s="184">
        <v>132050</v>
      </c>
      <c r="O73" s="184">
        <v>134000</v>
      </c>
      <c r="P73" s="184">
        <v>135750</v>
      </c>
      <c r="Q73" s="184">
        <v>137200</v>
      </c>
      <c r="R73" s="184">
        <v>138900</v>
      </c>
      <c r="S73" s="184">
        <v>140200</v>
      </c>
      <c r="T73" s="184">
        <v>141150</v>
      </c>
      <c r="U73" s="184">
        <v>142750</v>
      </c>
      <c r="V73" s="186">
        <v>7400</v>
      </c>
      <c r="W73" s="186">
        <v>7450</v>
      </c>
      <c r="X73" s="186">
        <v>7650</v>
      </c>
      <c r="Y73" s="186">
        <v>8000</v>
      </c>
      <c r="Z73" s="186">
        <v>8150</v>
      </c>
      <c r="AA73" s="186">
        <v>8150</v>
      </c>
      <c r="AB73" s="186">
        <v>8250</v>
      </c>
      <c r="AC73" s="186">
        <v>8350</v>
      </c>
      <c r="AD73" s="186">
        <v>8500</v>
      </c>
      <c r="AE73" s="186">
        <v>8550</v>
      </c>
      <c r="AF73" s="187">
        <v>0.87477531455961655</v>
      </c>
      <c r="AG73" s="187">
        <v>3.8945476333133611E-2</v>
      </c>
      <c r="AH73" s="187">
        <v>4.0143798681845415E-2</v>
      </c>
      <c r="AI73" s="187">
        <v>3.9544637507489516E-2</v>
      </c>
      <c r="AJ73" s="187">
        <v>5.3924505692031152E-3</v>
      </c>
      <c r="AK73" s="187">
        <v>5.9916117435590175E-4</v>
      </c>
      <c r="AL73" s="187">
        <v>0.12522468544038345</v>
      </c>
      <c r="AM73" s="184">
        <v>16498</v>
      </c>
      <c r="AN73" s="187">
        <v>0.71044975148502854</v>
      </c>
      <c r="AO73" s="187">
        <v>0.12456055279427809</v>
      </c>
      <c r="AP73" s="187">
        <v>0.16498969572069341</v>
      </c>
      <c r="AQ73" s="186" t="s">
        <v>164</v>
      </c>
      <c r="AR73" s="186" t="s">
        <v>164</v>
      </c>
      <c r="AS73" s="186" t="s">
        <v>164</v>
      </c>
      <c r="AT73" s="186" t="s">
        <v>164</v>
      </c>
      <c r="AU73" s="186" t="s">
        <v>164</v>
      </c>
      <c r="AV73" s="186" t="s">
        <v>164</v>
      </c>
      <c r="AW73" s="186" t="s">
        <v>164</v>
      </c>
      <c r="AX73" s="186" t="s">
        <v>164</v>
      </c>
      <c r="AY73" s="186" t="s">
        <v>164</v>
      </c>
      <c r="AZ73" s="186">
        <v>36</v>
      </c>
      <c r="BA73" s="186">
        <v>74</v>
      </c>
      <c r="BB73" s="187">
        <v>4.9798115746971738E-2</v>
      </c>
      <c r="BC73" s="187">
        <v>3.9852422821900144E-2</v>
      </c>
      <c r="BD73" s="187">
        <v>6.2065440935822419E-2</v>
      </c>
      <c r="BE73" s="193" t="s">
        <v>164</v>
      </c>
      <c r="BF73" s="184"/>
      <c r="BG73" s="184"/>
      <c r="BH73" s="184"/>
      <c r="BI73" s="184"/>
      <c r="BJ73" s="184"/>
      <c r="BK73" s="184"/>
      <c r="BL73" s="186"/>
      <c r="BM73" s="186"/>
      <c r="BN73" s="186"/>
      <c r="BO73" s="186"/>
      <c r="BP73" s="186"/>
      <c r="BQ73" s="186"/>
      <c r="BR73" s="193"/>
      <c r="BS73" s="193"/>
      <c r="BT73" s="193"/>
      <c r="BU73" s="186">
        <v>2645</v>
      </c>
      <c r="BV73" s="186">
        <v>656</v>
      </c>
      <c r="BW73" s="222">
        <v>0.24801512287334593</v>
      </c>
      <c r="BX73" s="186">
        <v>222</v>
      </c>
      <c r="BY73" s="237" t="s">
        <v>164</v>
      </c>
      <c r="BZ73" s="1676">
        <v>1360</v>
      </c>
      <c r="CA73" s="222">
        <v>2.3689665383476458E-2</v>
      </c>
      <c r="CB73" s="184">
        <v>740</v>
      </c>
      <c r="CC73" s="184">
        <v>770</v>
      </c>
      <c r="CD73" s="184">
        <v>785</v>
      </c>
      <c r="CE73" s="200">
        <v>691</v>
      </c>
      <c r="CF73" s="187" t="s">
        <v>164</v>
      </c>
      <c r="CG73" s="187" t="s">
        <v>164</v>
      </c>
      <c r="CH73" s="187" t="s">
        <v>164</v>
      </c>
      <c r="CI73" s="187" t="s">
        <v>164</v>
      </c>
      <c r="CJ73" s="187" t="s">
        <v>164</v>
      </c>
      <c r="CK73" s="187" t="s">
        <v>164</v>
      </c>
      <c r="CL73" s="187" t="s">
        <v>164</v>
      </c>
      <c r="CM73" s="187" t="s">
        <v>164</v>
      </c>
      <c r="CN73" s="184">
        <v>2105</v>
      </c>
      <c r="CO73" s="187">
        <v>8.2955665024630545E-2</v>
      </c>
      <c r="CP73" s="184">
        <v>1930</v>
      </c>
      <c r="CQ73" s="187">
        <v>7.5805184603299297E-2</v>
      </c>
      <c r="CR73" s="186"/>
      <c r="CS73" s="186"/>
      <c r="CT73" s="186"/>
      <c r="CU73" s="186"/>
      <c r="CV73" s="186"/>
      <c r="CW73" s="186"/>
      <c r="CX73" s="186"/>
      <c r="CY73" s="186"/>
      <c r="CZ73" s="186"/>
      <c r="DA73" s="186"/>
      <c r="DB73" s="186"/>
      <c r="DC73" s="186"/>
      <c r="DD73" s="183"/>
      <c r="DE73" s="201">
        <v>0</v>
      </c>
      <c r="DF73" s="183"/>
      <c r="DG73" s="143">
        <v>-1.7000000000000001E-2</v>
      </c>
      <c r="DH73" s="143">
        <v>1.7000000000000001E-2</v>
      </c>
      <c r="DI73" s="178" t="str">
        <f t="shared" si="61"/>
        <v>Sig better than Eng.</v>
      </c>
      <c r="DJ73" s="183"/>
      <c r="DK73" s="201">
        <v>0</v>
      </c>
      <c r="DL73" s="183"/>
      <c r="DM73" s="143"/>
      <c r="DN73" s="143"/>
      <c r="DO73" s="178" t="str">
        <f t="shared" si="62"/>
        <v>Sig better than Eng.</v>
      </c>
      <c r="DP73" s="183"/>
      <c r="DQ73" s="201">
        <v>0</v>
      </c>
      <c r="DR73" s="197"/>
      <c r="DS73" s="143">
        <v>-2.5999999999999999E-2</v>
      </c>
      <c r="DT73" s="143">
        <v>2.5999999999999999E-2</v>
      </c>
      <c r="DU73" s="178" t="str">
        <f t="shared" si="65"/>
        <v>Sig better than Eng.</v>
      </c>
      <c r="DV73" s="178">
        <v>1303</v>
      </c>
      <c r="DW73" s="201">
        <v>90</v>
      </c>
      <c r="DX73" s="179">
        <v>6.9071373752877974E-2</v>
      </c>
      <c r="DY73" s="179">
        <v>4.7071373752877975E-2</v>
      </c>
      <c r="DZ73" s="179">
        <v>9.1071373752877965E-2</v>
      </c>
      <c r="EA73" s="178" t="str">
        <f t="shared" si="63"/>
        <v>Sig better than Eng.</v>
      </c>
      <c r="EB73" s="183"/>
      <c r="EC73" s="201">
        <v>0</v>
      </c>
      <c r="ED73" s="183"/>
      <c r="EE73" s="197">
        <v>-3.2000000000000001E-2</v>
      </c>
      <c r="EF73" s="197">
        <v>3.2000000000000001E-2</v>
      </c>
      <c r="EG73" s="178" t="str">
        <f t="shared" si="64"/>
        <v>Sig better than Eng.</v>
      </c>
      <c r="EH73" s="183"/>
      <c r="EI73" s="201">
        <v>0</v>
      </c>
      <c r="EJ73" s="183"/>
      <c r="EK73" s="143">
        <v>-3.2000000000000001E-2</v>
      </c>
      <c r="EL73" s="143">
        <v>3.2000000000000001E-2</v>
      </c>
      <c r="EM73" s="178" t="str">
        <f t="shared" si="66"/>
        <v>Sig better than Eng.</v>
      </c>
      <c r="EN73" s="183"/>
      <c r="EO73" s="201">
        <v>0</v>
      </c>
      <c r="EP73" s="197"/>
      <c r="EQ73" s="143">
        <v>-3.3000000000000002E-2</v>
      </c>
      <c r="ER73" s="143">
        <v>3.3000000000000002E-2</v>
      </c>
      <c r="ES73" s="178" t="str">
        <f t="shared" si="67"/>
        <v>Sig better than Eng.</v>
      </c>
      <c r="ET73" s="178">
        <v>1154</v>
      </c>
      <c r="EU73" s="180">
        <v>133</v>
      </c>
      <c r="EV73" s="179">
        <v>0.11525129982668977</v>
      </c>
      <c r="EW73" s="179">
        <v>8.2251299826689772E-2</v>
      </c>
      <c r="EX73" s="179">
        <v>0.14825129982668978</v>
      </c>
      <c r="EY73" s="178" t="str">
        <f t="shared" si="68"/>
        <v>Sig better than Eng.</v>
      </c>
      <c r="EZ73" s="207">
        <v>1637</v>
      </c>
      <c r="FA73" s="213">
        <v>947</v>
      </c>
      <c r="FB73" s="187">
        <v>0.57849725106902872</v>
      </c>
      <c r="FC73" s="187">
        <v>0.55442004800520173</v>
      </c>
      <c r="FD73" s="187">
        <v>0.60220690618250572</v>
      </c>
      <c r="FE73" s="214">
        <v>1637</v>
      </c>
      <c r="FF73" s="215">
        <v>34</v>
      </c>
      <c r="FG73" s="208">
        <v>327</v>
      </c>
      <c r="FH73" s="209">
        <v>25.431192660550472</v>
      </c>
      <c r="FI73" s="187">
        <v>0.25202374527792726</v>
      </c>
      <c r="FJ73" s="186">
        <v>1614</v>
      </c>
      <c r="FK73" s="186">
        <v>1025</v>
      </c>
      <c r="FL73" s="187">
        <v>0.63506815365551428</v>
      </c>
      <c r="FM73" s="187">
        <v>0.61128697123654441</v>
      </c>
      <c r="FN73" s="187">
        <v>0.65820791506573717</v>
      </c>
      <c r="FO73" s="198">
        <v>1614</v>
      </c>
      <c r="FP73" s="199">
        <v>34</v>
      </c>
      <c r="FQ73" s="198">
        <v>322</v>
      </c>
      <c r="FR73" s="199">
        <v>26.602484472049689</v>
      </c>
      <c r="FS73" s="187">
        <v>0.21757398611618561</v>
      </c>
      <c r="FT73" s="183"/>
      <c r="FU73" s="183"/>
      <c r="FV73" s="183"/>
      <c r="FW73" s="183"/>
      <c r="FX73" s="183"/>
      <c r="FY73" s="186"/>
      <c r="FZ73" s="186"/>
      <c r="GA73" s="183"/>
      <c r="GB73" s="183"/>
      <c r="GC73" s="183"/>
      <c r="GD73" s="183"/>
      <c r="GE73" s="183"/>
      <c r="GF73" s="183"/>
      <c r="GG73" s="183"/>
      <c r="GH73" s="183"/>
      <c r="GI73" s="183"/>
      <c r="GJ73" s="183"/>
      <c r="GK73" s="183"/>
      <c r="GL73" s="183"/>
      <c r="GM73" s="183"/>
      <c r="GN73" s="183"/>
      <c r="GO73" s="183"/>
      <c r="GP73" s="183"/>
      <c r="GQ73" s="186" t="s">
        <v>164</v>
      </c>
      <c r="GR73" s="186" t="s">
        <v>164</v>
      </c>
      <c r="GS73" s="186" t="s">
        <v>164</v>
      </c>
      <c r="GT73" s="186" t="s">
        <v>164</v>
      </c>
      <c r="GU73" s="186" t="s">
        <v>164</v>
      </c>
      <c r="GV73" s="186" t="s">
        <v>164</v>
      </c>
      <c r="GW73" s="186" t="s">
        <v>164</v>
      </c>
      <c r="GX73" s="186" t="s">
        <v>164</v>
      </c>
      <c r="GY73" s="186" t="s">
        <v>164</v>
      </c>
      <c r="GZ73" s="186" t="s">
        <v>164</v>
      </c>
      <c r="HA73" s="186" t="s">
        <v>164</v>
      </c>
      <c r="HB73" s="186" t="s">
        <v>164</v>
      </c>
      <c r="HC73" s="186" t="s">
        <v>164</v>
      </c>
      <c r="HD73" s="186" t="s">
        <v>164</v>
      </c>
      <c r="HE73" s="186" t="s">
        <v>164</v>
      </c>
      <c r="HF73" s="186" t="s">
        <v>164</v>
      </c>
      <c r="HG73" s="186" t="s">
        <v>164</v>
      </c>
      <c r="HH73" s="186" t="s">
        <v>164</v>
      </c>
      <c r="HI73" s="186" t="s">
        <v>164</v>
      </c>
      <c r="HJ73" s="186" t="s">
        <v>164</v>
      </c>
      <c r="HK73" s="186" t="s">
        <v>164</v>
      </c>
      <c r="HL73" s="186" t="s">
        <v>164</v>
      </c>
      <c r="HM73" s="186" t="s">
        <v>164</v>
      </c>
      <c r="HN73" s="186">
        <v>140</v>
      </c>
      <c r="HO73" s="187">
        <v>1.6794625719769675E-2</v>
      </c>
      <c r="HP73" s="217">
        <v>13214</v>
      </c>
      <c r="HQ73" s="217">
        <v>12411</v>
      </c>
      <c r="HR73" s="217">
        <v>803</v>
      </c>
      <c r="HS73" s="1704">
        <v>6.0768881489329497E-2</v>
      </c>
    </row>
    <row r="74" spans="1:227" ht="13.8" customHeight="1" x14ac:dyDescent="0.25">
      <c r="A74" s="183" t="s">
        <v>643</v>
      </c>
      <c r="B74" s="183"/>
      <c r="C74" s="183" t="s">
        <v>164</v>
      </c>
      <c r="D74" s="183" t="s">
        <v>164</v>
      </c>
      <c r="E74" s="183" t="s">
        <v>164</v>
      </c>
      <c r="F74" s="183"/>
      <c r="G74" s="183" t="s">
        <v>164</v>
      </c>
      <c r="H74" s="183" t="s">
        <v>164</v>
      </c>
      <c r="I74" s="183" t="s">
        <v>643</v>
      </c>
      <c r="J74" s="183" t="s">
        <v>705</v>
      </c>
      <c r="K74" s="183" t="s">
        <v>164</v>
      </c>
      <c r="L74" s="184">
        <v>91850</v>
      </c>
      <c r="M74" s="184">
        <v>92650</v>
      </c>
      <c r="N74" s="184">
        <v>93800</v>
      </c>
      <c r="O74" s="184">
        <v>94800</v>
      </c>
      <c r="P74" s="184">
        <v>95550</v>
      </c>
      <c r="Q74" s="184">
        <v>96250</v>
      </c>
      <c r="R74" s="184">
        <v>97100</v>
      </c>
      <c r="S74" s="184">
        <v>97700</v>
      </c>
      <c r="T74" s="184">
        <v>98250</v>
      </c>
      <c r="U74" s="184">
        <v>98900</v>
      </c>
      <c r="V74" s="186">
        <v>5450</v>
      </c>
      <c r="W74" s="186">
        <v>5300</v>
      </c>
      <c r="X74" s="186">
        <v>5250</v>
      </c>
      <c r="Y74" s="186">
        <v>5450</v>
      </c>
      <c r="Z74" s="186">
        <v>5450</v>
      </c>
      <c r="AA74" s="186">
        <v>5500</v>
      </c>
      <c r="AB74" s="186">
        <v>5550</v>
      </c>
      <c r="AC74" s="186">
        <v>5650</v>
      </c>
      <c r="AD74" s="186">
        <v>5650</v>
      </c>
      <c r="AE74" s="186">
        <v>5650</v>
      </c>
      <c r="AF74" s="187">
        <v>0.88475177304964536</v>
      </c>
      <c r="AG74" s="187">
        <v>3.3687943262411348E-2</v>
      </c>
      <c r="AH74" s="187">
        <v>4.6099290780141841E-2</v>
      </c>
      <c r="AI74" s="187">
        <v>2.8368794326241134E-2</v>
      </c>
      <c r="AJ74" s="187">
        <v>4.4326241134751776E-3</v>
      </c>
      <c r="AK74" s="187">
        <v>1.7730496453900709E-3</v>
      </c>
      <c r="AL74" s="187">
        <v>0.11524822695035461</v>
      </c>
      <c r="AM74" s="184">
        <v>11218</v>
      </c>
      <c r="AN74" s="187">
        <v>0.70823676234622923</v>
      </c>
      <c r="AO74" s="187">
        <v>0.14423248350864681</v>
      </c>
      <c r="AP74" s="187">
        <v>0.1475307541451239</v>
      </c>
      <c r="AQ74" s="186" t="s">
        <v>164</v>
      </c>
      <c r="AR74" s="186" t="s">
        <v>164</v>
      </c>
      <c r="AS74" s="186" t="s">
        <v>164</v>
      </c>
      <c r="AT74" s="186" t="s">
        <v>164</v>
      </c>
      <c r="AU74" s="186" t="s">
        <v>164</v>
      </c>
      <c r="AV74" s="186" t="s">
        <v>164</v>
      </c>
      <c r="AW74" s="186" t="s">
        <v>164</v>
      </c>
      <c r="AX74" s="186" t="s">
        <v>164</v>
      </c>
      <c r="AY74" s="186" t="s">
        <v>164</v>
      </c>
      <c r="AZ74" s="186">
        <v>14</v>
      </c>
      <c r="BA74" s="186">
        <v>65</v>
      </c>
      <c r="BB74" s="187">
        <v>6.7991631799163177E-2</v>
      </c>
      <c r="BC74" s="187">
        <v>5.3701786657227038E-2</v>
      </c>
      <c r="BD74" s="187">
        <v>8.5739427921207589E-2</v>
      </c>
      <c r="BE74" s="193" t="s">
        <v>164</v>
      </c>
      <c r="BF74" s="184"/>
      <c r="BG74" s="184"/>
      <c r="BH74" s="184"/>
      <c r="BI74" s="184"/>
      <c r="BJ74" s="184"/>
      <c r="BK74" s="184"/>
      <c r="BL74" s="186"/>
      <c r="BM74" s="186"/>
      <c r="BN74" s="186"/>
      <c r="BO74" s="186"/>
      <c r="BP74" s="186"/>
      <c r="BQ74" s="186"/>
      <c r="BR74" s="193"/>
      <c r="BS74" s="193"/>
      <c r="BT74" s="193"/>
      <c r="BU74" s="186">
        <v>1846</v>
      </c>
      <c r="BV74" s="186">
        <v>527</v>
      </c>
      <c r="BW74" s="222">
        <v>0.28548212351029251</v>
      </c>
      <c r="BX74" s="186">
        <v>194</v>
      </c>
      <c r="BY74" s="237" t="s">
        <v>164</v>
      </c>
      <c r="BZ74" s="1676">
        <v>1123</v>
      </c>
      <c r="CA74" s="222">
        <v>2.7908248216903998E-2</v>
      </c>
      <c r="CB74" s="184">
        <v>605</v>
      </c>
      <c r="CC74" s="184">
        <v>595</v>
      </c>
      <c r="CD74" s="184">
        <v>580</v>
      </c>
      <c r="CE74" s="200">
        <v>575</v>
      </c>
      <c r="CF74" s="187" t="s">
        <v>164</v>
      </c>
      <c r="CG74" s="187" t="s">
        <v>164</v>
      </c>
      <c r="CH74" s="187" t="s">
        <v>164</v>
      </c>
      <c r="CI74" s="187" t="s">
        <v>164</v>
      </c>
      <c r="CJ74" s="187" t="s">
        <v>164</v>
      </c>
      <c r="CK74" s="187" t="s">
        <v>164</v>
      </c>
      <c r="CL74" s="187" t="s">
        <v>164</v>
      </c>
      <c r="CM74" s="187" t="s">
        <v>164</v>
      </c>
      <c r="CN74" s="184">
        <v>1575</v>
      </c>
      <c r="CO74" s="187">
        <v>8.7792642140468224E-2</v>
      </c>
      <c r="CP74" s="184">
        <v>1455</v>
      </c>
      <c r="CQ74" s="187">
        <v>8.1284916201117316E-2</v>
      </c>
      <c r="CR74" s="186"/>
      <c r="CS74" s="186"/>
      <c r="CT74" s="186"/>
      <c r="CU74" s="186"/>
      <c r="CV74" s="186"/>
      <c r="CW74" s="186"/>
      <c r="CX74" s="186"/>
      <c r="CY74" s="186"/>
      <c r="CZ74" s="186"/>
      <c r="DA74" s="186"/>
      <c r="DB74" s="186"/>
      <c r="DC74" s="186"/>
      <c r="DD74" s="183"/>
      <c r="DE74" s="201">
        <v>0</v>
      </c>
      <c r="DF74" s="183"/>
      <c r="DG74" s="143">
        <v>-1.7000000000000001E-2</v>
      </c>
      <c r="DH74" s="143">
        <v>1.7000000000000001E-2</v>
      </c>
      <c r="DI74" s="178" t="str">
        <f t="shared" si="61"/>
        <v>Sig better than Eng.</v>
      </c>
      <c r="DJ74" s="183"/>
      <c r="DK74" s="201">
        <v>0</v>
      </c>
      <c r="DL74" s="183"/>
      <c r="DM74" s="143"/>
      <c r="DN74" s="143"/>
      <c r="DO74" s="178" t="str">
        <f t="shared" si="62"/>
        <v>Sig better than Eng.</v>
      </c>
      <c r="DP74" s="183"/>
      <c r="DQ74" s="201">
        <v>0</v>
      </c>
      <c r="DR74" s="197"/>
      <c r="DS74" s="143">
        <v>-2.5999999999999999E-2</v>
      </c>
      <c r="DT74" s="143">
        <v>2.5999999999999999E-2</v>
      </c>
      <c r="DU74" s="178" t="str">
        <f t="shared" si="65"/>
        <v>Sig better than Eng.</v>
      </c>
      <c r="DV74" s="178">
        <v>872</v>
      </c>
      <c r="DW74" s="201">
        <v>65</v>
      </c>
      <c r="DX74" s="179">
        <v>7.4541284403669722E-2</v>
      </c>
      <c r="DY74" s="179">
        <v>5.2541284403669723E-2</v>
      </c>
      <c r="DZ74" s="179">
        <v>9.6541284403669714E-2</v>
      </c>
      <c r="EA74" s="178" t="str">
        <f t="shared" si="63"/>
        <v>No Sig diff</v>
      </c>
      <c r="EB74" s="183"/>
      <c r="EC74" s="201">
        <v>0</v>
      </c>
      <c r="ED74" s="183"/>
      <c r="EE74" s="197">
        <v>-3.2000000000000001E-2</v>
      </c>
      <c r="EF74" s="197">
        <v>3.2000000000000001E-2</v>
      </c>
      <c r="EG74" s="178" t="str">
        <f t="shared" si="64"/>
        <v>Sig better than Eng.</v>
      </c>
      <c r="EH74" s="183"/>
      <c r="EI74" s="201">
        <v>0</v>
      </c>
      <c r="EJ74" s="183"/>
      <c r="EK74" s="143">
        <v>-3.2000000000000001E-2</v>
      </c>
      <c r="EL74" s="143">
        <v>3.2000000000000001E-2</v>
      </c>
      <c r="EM74" s="178" t="str">
        <f t="shared" si="66"/>
        <v>Sig better than Eng.</v>
      </c>
      <c r="EN74" s="183"/>
      <c r="EO74" s="201">
        <v>0</v>
      </c>
      <c r="EP74" s="197"/>
      <c r="EQ74" s="143">
        <v>-3.3000000000000002E-2</v>
      </c>
      <c r="ER74" s="143">
        <v>3.3000000000000002E-2</v>
      </c>
      <c r="ES74" s="178" t="str">
        <f t="shared" si="67"/>
        <v>Sig better than Eng.</v>
      </c>
      <c r="ET74" s="178">
        <v>880</v>
      </c>
      <c r="EU74" s="180">
        <v>115.99999999999999</v>
      </c>
      <c r="EV74" s="179">
        <v>0.13181818181818181</v>
      </c>
      <c r="EW74" s="179">
        <v>9.8818181818181805E-2</v>
      </c>
      <c r="EX74" s="179">
        <v>0.16481818181818181</v>
      </c>
      <c r="EY74" s="178" t="str">
        <f t="shared" si="68"/>
        <v>Sig better than Eng.</v>
      </c>
      <c r="EZ74" s="207">
        <v>1048</v>
      </c>
      <c r="FA74" s="213">
        <v>616</v>
      </c>
      <c r="FB74" s="187">
        <v>0.58778625954198471</v>
      </c>
      <c r="FC74" s="187">
        <v>0.55771687583754714</v>
      </c>
      <c r="FD74" s="187">
        <v>0.61721443007075727</v>
      </c>
      <c r="FE74" s="214">
        <v>1048</v>
      </c>
      <c r="FF74" s="215">
        <v>34</v>
      </c>
      <c r="FG74" s="208">
        <v>209</v>
      </c>
      <c r="FH74" s="209">
        <v>25.28708133971292</v>
      </c>
      <c r="FI74" s="187">
        <v>0.25626231353785528</v>
      </c>
      <c r="FJ74" s="186">
        <v>1190</v>
      </c>
      <c r="FK74" s="186">
        <v>753</v>
      </c>
      <c r="FL74" s="187">
        <v>0.63277310924369745</v>
      </c>
      <c r="FM74" s="187">
        <v>0.60499829450020992</v>
      </c>
      <c r="FN74" s="187">
        <v>0.6596934680996186</v>
      </c>
      <c r="FO74" s="198">
        <v>1190</v>
      </c>
      <c r="FP74" s="199">
        <v>34</v>
      </c>
      <c r="FQ74" s="198">
        <v>238</v>
      </c>
      <c r="FR74" s="199">
        <v>25.205882352941188</v>
      </c>
      <c r="FS74" s="187">
        <v>0.2586505190311415</v>
      </c>
      <c r="FT74" s="183"/>
      <c r="FU74" s="183"/>
      <c r="FV74" s="183"/>
      <c r="FW74" s="183"/>
      <c r="FX74" s="183"/>
      <c r="FY74" s="186"/>
      <c r="FZ74" s="186"/>
      <c r="GA74" s="183"/>
      <c r="GB74" s="183"/>
      <c r="GC74" s="183"/>
      <c r="GD74" s="183"/>
      <c r="GE74" s="183"/>
      <c r="GF74" s="183"/>
      <c r="GG74" s="183"/>
      <c r="GH74" s="183"/>
      <c r="GI74" s="183"/>
      <c r="GJ74" s="183"/>
      <c r="GK74" s="183"/>
      <c r="GL74" s="183"/>
      <c r="GM74" s="183"/>
      <c r="GN74" s="183"/>
      <c r="GO74" s="183"/>
      <c r="GP74" s="183"/>
      <c r="GQ74" s="186" t="s">
        <v>164</v>
      </c>
      <c r="GR74" s="186" t="s">
        <v>164</v>
      </c>
      <c r="GS74" s="186" t="s">
        <v>164</v>
      </c>
      <c r="GT74" s="186" t="s">
        <v>164</v>
      </c>
      <c r="GU74" s="186" t="s">
        <v>164</v>
      </c>
      <c r="GV74" s="186" t="s">
        <v>164</v>
      </c>
      <c r="GW74" s="186" t="s">
        <v>164</v>
      </c>
      <c r="GX74" s="186" t="s">
        <v>164</v>
      </c>
      <c r="GY74" s="186" t="s">
        <v>164</v>
      </c>
      <c r="GZ74" s="186" t="s">
        <v>164</v>
      </c>
      <c r="HA74" s="186" t="s">
        <v>164</v>
      </c>
      <c r="HB74" s="186" t="s">
        <v>164</v>
      </c>
      <c r="HC74" s="186" t="s">
        <v>164</v>
      </c>
      <c r="HD74" s="186" t="s">
        <v>164</v>
      </c>
      <c r="HE74" s="186" t="s">
        <v>164</v>
      </c>
      <c r="HF74" s="186" t="s">
        <v>164</v>
      </c>
      <c r="HG74" s="186" t="s">
        <v>164</v>
      </c>
      <c r="HH74" s="186" t="s">
        <v>164</v>
      </c>
      <c r="HI74" s="186" t="s">
        <v>164</v>
      </c>
      <c r="HJ74" s="186" t="s">
        <v>164</v>
      </c>
      <c r="HK74" s="186" t="s">
        <v>164</v>
      </c>
      <c r="HL74" s="186" t="s">
        <v>164</v>
      </c>
      <c r="HM74" s="186" t="s">
        <v>164</v>
      </c>
      <c r="HN74" s="186">
        <v>91</v>
      </c>
      <c r="HO74" s="187">
        <v>1.6169154228855721E-2</v>
      </c>
      <c r="HP74" s="217">
        <v>8760</v>
      </c>
      <c r="HQ74" s="217">
        <v>8176</v>
      </c>
      <c r="HR74" s="217">
        <v>584</v>
      </c>
      <c r="HS74" s="1704">
        <v>6.6666666666666666E-2</v>
      </c>
    </row>
    <row r="75" spans="1:227" ht="17.399999999999999" customHeight="1" x14ac:dyDescent="0.25">
      <c r="A75" s="188" t="s">
        <v>103</v>
      </c>
      <c r="B75" s="188"/>
      <c r="C75" s="188" t="s">
        <v>164</v>
      </c>
      <c r="D75" s="188" t="s">
        <v>164</v>
      </c>
      <c r="E75" s="188" t="s">
        <v>164</v>
      </c>
      <c r="F75" s="188"/>
      <c r="G75" s="188" t="s">
        <v>164</v>
      </c>
      <c r="H75" s="188" t="s">
        <v>164</v>
      </c>
      <c r="I75" s="188" t="s">
        <v>164</v>
      </c>
      <c r="J75" s="188" t="s">
        <v>164</v>
      </c>
      <c r="K75" s="188" t="s">
        <v>164</v>
      </c>
      <c r="L75" s="184">
        <v>766000</v>
      </c>
      <c r="M75" s="184">
        <v>770800</v>
      </c>
      <c r="N75" s="184">
        <v>777400</v>
      </c>
      <c r="O75" s="184">
        <v>784300</v>
      </c>
      <c r="P75" s="184">
        <v>791000</v>
      </c>
      <c r="Q75" s="184">
        <v>796000</v>
      </c>
      <c r="R75" s="184">
        <v>803200</v>
      </c>
      <c r="S75" s="184">
        <v>808900</v>
      </c>
      <c r="T75" s="184">
        <v>815100</v>
      </c>
      <c r="U75" s="184">
        <v>821400</v>
      </c>
      <c r="V75" s="184">
        <v>40800</v>
      </c>
      <c r="W75" s="184">
        <v>40700</v>
      </c>
      <c r="X75" s="184">
        <v>41300</v>
      </c>
      <c r="Y75" s="184">
        <v>42600</v>
      </c>
      <c r="Z75" s="184">
        <v>43700</v>
      </c>
      <c r="AA75" s="184">
        <v>44500</v>
      </c>
      <c r="AB75" s="184">
        <v>45700</v>
      </c>
      <c r="AC75" s="184">
        <v>46700</v>
      </c>
      <c r="AD75" s="184">
        <v>47600</v>
      </c>
      <c r="AE75" s="184">
        <v>47800</v>
      </c>
      <c r="AF75" s="197">
        <v>0.8356459072819189</v>
      </c>
      <c r="AG75" s="197">
        <v>4.442293212864365E-2</v>
      </c>
      <c r="AH75" s="197">
        <v>4.7434656340755083E-2</v>
      </c>
      <c r="AI75" s="197">
        <v>5.4856405292029689E-2</v>
      </c>
      <c r="AJ75" s="197">
        <v>1.2907389480477573E-2</v>
      </c>
      <c r="AK75" s="197">
        <v>4.7327094761751105E-3</v>
      </c>
      <c r="AL75" s="197">
        <v>0.16252554587501344</v>
      </c>
      <c r="AM75" s="184">
        <v>89522</v>
      </c>
      <c r="AN75" s="187">
        <v>0.62169075757914261</v>
      </c>
      <c r="AO75" s="187">
        <v>0.17295190009159758</v>
      </c>
      <c r="AP75" s="187">
        <v>0.20535734232925984</v>
      </c>
      <c r="AQ75" s="184">
        <v>8927</v>
      </c>
      <c r="AR75" s="184">
        <v>9024</v>
      </c>
      <c r="AS75" s="184">
        <v>9198</v>
      </c>
      <c r="AT75" s="184">
        <v>9207</v>
      </c>
      <c r="AU75" s="184">
        <v>8835</v>
      </c>
      <c r="AV75" s="184">
        <f>SUM(AV60:AV66)</f>
        <v>456</v>
      </c>
      <c r="AW75" s="184">
        <f t="shared" ref="AW75:AZ75" si="69">SUM(AW60:AW66)</f>
        <v>399</v>
      </c>
      <c r="AX75" s="184">
        <f t="shared" si="69"/>
        <v>367</v>
      </c>
      <c r="AY75" s="184">
        <f t="shared" si="69"/>
        <v>345</v>
      </c>
      <c r="AZ75" s="184">
        <f t="shared" si="69"/>
        <v>331</v>
      </c>
      <c r="BA75" s="186"/>
      <c r="BB75" s="186"/>
      <c r="BC75" s="186"/>
      <c r="BD75" s="186"/>
      <c r="BE75" s="193">
        <v>714</v>
      </c>
      <c r="BF75" s="184">
        <v>14471</v>
      </c>
      <c r="BG75" s="184">
        <v>14675</v>
      </c>
      <c r="BH75" s="184">
        <v>7032</v>
      </c>
      <c r="BI75" s="184"/>
      <c r="BJ75" s="184">
        <v>92663</v>
      </c>
      <c r="BK75" s="184">
        <v>163825</v>
      </c>
      <c r="BL75" s="186">
        <v>93098</v>
      </c>
      <c r="BM75" s="186">
        <v>55058</v>
      </c>
      <c r="BN75" s="186">
        <v>53</v>
      </c>
      <c r="BO75" s="186">
        <v>12250</v>
      </c>
      <c r="BP75" s="186">
        <v>18695</v>
      </c>
      <c r="BQ75" s="186">
        <v>7042</v>
      </c>
      <c r="BR75" s="193">
        <v>5340</v>
      </c>
      <c r="BS75" s="193">
        <v>5030</v>
      </c>
      <c r="BT75" s="193">
        <v>4265</v>
      </c>
      <c r="BU75" s="186">
        <v>18637</v>
      </c>
      <c r="BV75" s="186">
        <v>6279</v>
      </c>
      <c r="BW75" s="222">
        <v>0.33691044696034772</v>
      </c>
      <c r="BX75" s="186">
        <v>1695</v>
      </c>
      <c r="BY75" s="237" t="s">
        <v>164</v>
      </c>
      <c r="BZ75" s="1676">
        <v>12980</v>
      </c>
      <c r="CA75" s="222">
        <v>3.7999999999999999E-2</v>
      </c>
      <c r="CB75" s="184">
        <v>7205</v>
      </c>
      <c r="CC75" s="184">
        <v>7205</v>
      </c>
      <c r="CD75" s="184">
        <v>8688</v>
      </c>
      <c r="CE75" s="184">
        <f>SUM(CE60:CE66)</f>
        <v>6781</v>
      </c>
      <c r="CF75" s="184">
        <v>19140</v>
      </c>
      <c r="CG75" s="187">
        <v>0.13900000000000001</v>
      </c>
      <c r="CH75" s="184">
        <v>18490</v>
      </c>
      <c r="CI75" s="187">
        <v>0.13400000000000001</v>
      </c>
      <c r="CJ75" s="184">
        <v>19950</v>
      </c>
      <c r="CK75" s="187">
        <v>0.14299999999999999</v>
      </c>
      <c r="CL75" s="184">
        <v>19345</v>
      </c>
      <c r="CM75" s="187">
        <v>0.13800000000000001</v>
      </c>
      <c r="CN75" s="184">
        <v>19070</v>
      </c>
      <c r="CO75" s="187">
        <v>0.13500000000000001</v>
      </c>
      <c r="CP75" s="184">
        <v>17645</v>
      </c>
      <c r="CQ75" s="187">
        <v>0.124</v>
      </c>
      <c r="CR75" s="184">
        <v>8655</v>
      </c>
      <c r="CS75" s="184">
        <v>345</v>
      </c>
      <c r="CT75" s="184">
        <v>8310</v>
      </c>
      <c r="CU75" s="187">
        <v>0.94599999999999995</v>
      </c>
      <c r="CV75" s="184">
        <v>3498</v>
      </c>
      <c r="CW75" s="184">
        <v>4605</v>
      </c>
      <c r="CX75" s="187">
        <v>0.42299999999999999</v>
      </c>
      <c r="CY75" s="187">
        <v>0.55200000000000005</v>
      </c>
      <c r="CZ75" s="186"/>
      <c r="DA75" s="186"/>
      <c r="DB75" s="186"/>
      <c r="DC75" s="186"/>
      <c r="DD75" s="184">
        <v>6935</v>
      </c>
      <c r="DE75" s="201">
        <v>540.92999999999995</v>
      </c>
      <c r="DF75" s="143">
        <v>7.8E-2</v>
      </c>
      <c r="DG75" s="143">
        <v>7.1999999999999995E-2</v>
      </c>
      <c r="DH75" s="143">
        <v>8.4000000000000005E-2</v>
      </c>
      <c r="DI75" s="178" t="str">
        <f t="shared" si="61"/>
        <v>Sig better than Eng.</v>
      </c>
      <c r="DJ75" s="183">
        <v>7601</v>
      </c>
      <c r="DK75" s="201">
        <v>7601.08</v>
      </c>
      <c r="DL75" s="143">
        <v>0.08</v>
      </c>
      <c r="DM75" s="143">
        <v>7.3999999999999996E-2</v>
      </c>
      <c r="DN75" s="143">
        <v>8.6000000000000007E-2</v>
      </c>
      <c r="DO75" s="178" t="str">
        <f t="shared" si="62"/>
        <v>Sig better than Eng.</v>
      </c>
      <c r="DP75" s="183">
        <v>6858</v>
      </c>
      <c r="DQ75" s="201">
        <v>541.78200000000004</v>
      </c>
      <c r="DR75" s="197">
        <v>7.9000000000000001E-2</v>
      </c>
      <c r="DS75" s="143">
        <v>7.2999999999999995E-2</v>
      </c>
      <c r="DT75" s="143">
        <v>8.5000000000000006E-2</v>
      </c>
      <c r="DU75" s="178" t="str">
        <f t="shared" si="65"/>
        <v>Sig better than Eng.</v>
      </c>
      <c r="DV75" s="183">
        <v>7939</v>
      </c>
      <c r="DW75" s="201">
        <v>674.81500000000005</v>
      </c>
      <c r="DX75" s="197">
        <v>8.5000000000000006E-2</v>
      </c>
      <c r="DY75" s="179">
        <v>7.9000000000000001E-2</v>
      </c>
      <c r="DZ75" s="179">
        <v>9.1000000000000011E-2</v>
      </c>
      <c r="EA75" s="178" t="str">
        <f t="shared" si="63"/>
        <v>Sig better than Eng.</v>
      </c>
      <c r="EB75" s="183">
        <v>7034</v>
      </c>
      <c r="EC75" s="201">
        <v>1104.338</v>
      </c>
      <c r="ED75" s="197">
        <v>0.157</v>
      </c>
      <c r="EE75" s="197">
        <v>0.14799999999999999</v>
      </c>
      <c r="EF75" s="197">
        <v>0.16600000000000001</v>
      </c>
      <c r="EG75" s="178" t="str">
        <f t="shared" si="64"/>
        <v>Sig better than Eng.</v>
      </c>
      <c r="EH75" s="183">
        <v>7004</v>
      </c>
      <c r="EI75" s="201">
        <v>1113.636</v>
      </c>
      <c r="EJ75" s="143">
        <v>0.159</v>
      </c>
      <c r="EK75" s="143">
        <v>0.15</v>
      </c>
      <c r="EL75" s="143">
        <v>0.16800000000000001</v>
      </c>
      <c r="EM75" s="178" t="str">
        <f t="shared" si="66"/>
        <v>Sig better than Eng.</v>
      </c>
      <c r="EN75" s="183">
        <v>6928</v>
      </c>
      <c r="EO75" s="201">
        <v>1080.768</v>
      </c>
      <c r="EP75" s="197">
        <v>0.156</v>
      </c>
      <c r="EQ75" s="143">
        <v>0.14699999999999999</v>
      </c>
      <c r="ER75" s="143">
        <v>0.16500000000000001</v>
      </c>
      <c r="ES75" s="178" t="str">
        <f t="shared" si="67"/>
        <v>Sig better than Eng.</v>
      </c>
      <c r="ET75" s="200">
        <v>6804</v>
      </c>
      <c r="EU75" s="180">
        <v>1000.188</v>
      </c>
      <c r="EV75" s="197">
        <v>0.14699999999999999</v>
      </c>
      <c r="EW75" s="179">
        <v>0.13899999999999998</v>
      </c>
      <c r="EX75" s="179">
        <v>0.155</v>
      </c>
      <c r="EY75" s="178" t="str">
        <f t="shared" si="68"/>
        <v>Sig better than Eng.</v>
      </c>
      <c r="EZ75" s="186"/>
      <c r="FA75" s="186"/>
      <c r="FB75" s="202">
        <v>0.52</v>
      </c>
      <c r="FC75" s="187"/>
      <c r="FD75" s="187"/>
      <c r="FE75" s="187"/>
      <c r="FF75" s="186">
        <v>34</v>
      </c>
      <c r="FG75" s="186"/>
      <c r="FH75" s="186">
        <v>23.7</v>
      </c>
      <c r="FI75" s="187">
        <v>0.30399999999999999</v>
      </c>
      <c r="FJ75" s="186"/>
      <c r="FK75" s="186"/>
      <c r="FL75" s="202">
        <v>0.59</v>
      </c>
      <c r="FM75" s="187"/>
      <c r="FN75" s="187"/>
      <c r="FO75" s="187"/>
      <c r="FP75" s="198">
        <v>34</v>
      </c>
      <c r="FQ75" s="199"/>
      <c r="FR75" s="199">
        <v>24.5</v>
      </c>
      <c r="FS75" s="210">
        <v>0.27900000000000003</v>
      </c>
      <c r="FT75" s="200">
        <v>117072</v>
      </c>
      <c r="FU75" s="200">
        <v>113395</v>
      </c>
      <c r="FV75" s="200">
        <v>3677</v>
      </c>
      <c r="FW75" s="200">
        <v>3091</v>
      </c>
      <c r="FX75" s="200">
        <v>586</v>
      </c>
      <c r="FY75" s="187">
        <f>FW75/FV75</f>
        <v>0.84063094914332337</v>
      </c>
      <c r="FZ75" s="187">
        <f>FX75/FV75</f>
        <v>0.15936905085667663</v>
      </c>
      <c r="GA75" s="197">
        <v>0.88888888888888884</v>
      </c>
      <c r="GB75" s="197">
        <v>0.1111111111111111</v>
      </c>
      <c r="GC75" s="197">
        <v>0.10265589099194035</v>
      </c>
      <c r="GD75" s="197">
        <v>0.12016948154318471</v>
      </c>
      <c r="GE75" s="197">
        <v>0.9129116993331986</v>
      </c>
      <c r="GF75" s="197">
        <v>8.7088300666801371E-2</v>
      </c>
      <c r="GG75" s="197">
        <v>7.9549266554230474E-2</v>
      </c>
      <c r="GH75" s="197">
        <v>9.5267872762318642E-2</v>
      </c>
      <c r="GI75" s="197">
        <v>0.89232948795790323</v>
      </c>
      <c r="GJ75" s="197">
        <v>0.10767051204209674</v>
      </c>
      <c r="GK75" s="197">
        <v>9.9330388823194393E-2</v>
      </c>
      <c r="GL75" s="197">
        <v>0.11662022929165079</v>
      </c>
      <c r="GM75" s="197">
        <v>0.775904104022755</v>
      </c>
      <c r="GN75" s="197">
        <v>0.22409589597724502</v>
      </c>
      <c r="GO75" s="197">
        <v>0.21266415369596228</v>
      </c>
      <c r="GP75" s="197">
        <v>0.23595798632575507</v>
      </c>
      <c r="GQ75" s="203" t="s">
        <v>164</v>
      </c>
      <c r="GR75" s="203" t="s">
        <v>164</v>
      </c>
      <c r="GS75" s="203" t="s">
        <v>164</v>
      </c>
      <c r="GT75" s="203" t="s">
        <v>164</v>
      </c>
      <c r="GU75" s="203" t="s">
        <v>164</v>
      </c>
      <c r="GV75" s="203" t="s">
        <v>164</v>
      </c>
      <c r="GW75" s="203" t="s">
        <v>164</v>
      </c>
      <c r="GX75" s="203" t="s">
        <v>164</v>
      </c>
      <c r="GY75" s="203" t="s">
        <v>164</v>
      </c>
      <c r="GZ75" s="203" t="s">
        <v>164</v>
      </c>
      <c r="HA75" s="203" t="s">
        <v>164</v>
      </c>
      <c r="HB75" s="203" t="s">
        <v>164</v>
      </c>
      <c r="HC75" s="203" t="s">
        <v>164</v>
      </c>
      <c r="HD75" s="203" t="s">
        <v>164</v>
      </c>
      <c r="HE75" s="203" t="s">
        <v>164</v>
      </c>
      <c r="HF75" s="203" t="s">
        <v>164</v>
      </c>
      <c r="HG75" s="203" t="s">
        <v>164</v>
      </c>
      <c r="HH75" s="203" t="s">
        <v>164</v>
      </c>
      <c r="HI75" s="203" t="s">
        <v>164</v>
      </c>
      <c r="HJ75" s="203" t="s">
        <v>164</v>
      </c>
      <c r="HK75" s="203" t="s">
        <v>164</v>
      </c>
      <c r="HL75" s="203" t="s">
        <v>164</v>
      </c>
      <c r="HM75" s="203" t="s">
        <v>164</v>
      </c>
      <c r="HN75" s="184">
        <v>853</v>
      </c>
      <c r="HO75" s="187">
        <v>1.8369764186497255E-2</v>
      </c>
      <c r="HP75" s="217">
        <v>72948</v>
      </c>
      <c r="HQ75" s="217">
        <v>65639</v>
      </c>
      <c r="HR75" s="217">
        <v>7309</v>
      </c>
      <c r="HS75" s="1704">
        <v>0.10019465920929978</v>
      </c>
    </row>
    <row r="76" spans="1:227" ht="13.8" customHeight="1" x14ac:dyDescent="0.25">
      <c r="A76" s="188" t="s">
        <v>104</v>
      </c>
      <c r="B76" s="188"/>
      <c r="C76" s="188" t="s">
        <v>164</v>
      </c>
      <c r="D76" s="188" t="s">
        <v>164</v>
      </c>
      <c r="E76" s="188" t="s">
        <v>164</v>
      </c>
      <c r="F76" s="188"/>
      <c r="G76" s="188" t="s">
        <v>164</v>
      </c>
      <c r="H76" s="188" t="s">
        <v>164</v>
      </c>
      <c r="I76" s="188" t="s">
        <v>164</v>
      </c>
      <c r="J76" s="188" t="s">
        <v>164</v>
      </c>
      <c r="K76" s="188" t="s">
        <v>164</v>
      </c>
      <c r="L76" s="184">
        <v>8133100</v>
      </c>
      <c r="M76" s="184">
        <v>8202900</v>
      </c>
      <c r="N76" s="184">
        <v>8270900</v>
      </c>
      <c r="O76" s="184">
        <v>8351400</v>
      </c>
      <c r="P76" s="184">
        <v>8426400</v>
      </c>
      <c r="Q76" s="184">
        <v>8490900</v>
      </c>
      <c r="R76" s="184">
        <v>8577800</v>
      </c>
      <c r="S76" s="184">
        <v>8652800</v>
      </c>
      <c r="T76" s="184">
        <v>8724700</v>
      </c>
      <c r="U76" s="184">
        <v>8792600</v>
      </c>
      <c r="V76" s="184">
        <v>460400</v>
      </c>
      <c r="W76" s="184">
        <v>463200</v>
      </c>
      <c r="X76" s="184">
        <v>471000</v>
      </c>
      <c r="Y76" s="184">
        <v>485900</v>
      </c>
      <c r="Z76" s="184">
        <v>500100</v>
      </c>
      <c r="AA76" s="184">
        <v>510600</v>
      </c>
      <c r="AB76" s="184">
        <v>525200</v>
      </c>
      <c r="AC76" s="184">
        <v>536000</v>
      </c>
      <c r="AD76" s="184">
        <v>545700</v>
      </c>
      <c r="AE76" s="184">
        <v>547500</v>
      </c>
      <c r="AF76" s="197">
        <v>0.78797720104448421</v>
      </c>
      <c r="AG76" s="197">
        <v>4.9481969545237585E-2</v>
      </c>
      <c r="AH76" s="197">
        <v>5.8579089726431249E-2</v>
      </c>
      <c r="AI76" s="197">
        <v>7.2617855438149873E-2</v>
      </c>
      <c r="AJ76" s="197">
        <v>2.3922056772768537E-2</v>
      </c>
      <c r="AK76" s="197">
        <v>7.4218274729285797E-3</v>
      </c>
      <c r="AL76" s="197">
        <v>0.20955197619025334</v>
      </c>
      <c r="AM76" s="184">
        <v>1020973</v>
      </c>
      <c r="AN76" s="187">
        <v>0.60131071046932683</v>
      </c>
      <c r="AO76" s="187">
        <v>0.17231993402372051</v>
      </c>
      <c r="AP76" s="187">
        <v>0.22636935550695267</v>
      </c>
      <c r="AQ76" s="184">
        <v>103669</v>
      </c>
      <c r="AR76" s="184">
        <v>106434</v>
      </c>
      <c r="AS76" s="184">
        <v>107132</v>
      </c>
      <c r="AT76" s="184">
        <v>107858</v>
      </c>
      <c r="AU76" s="184">
        <v>102190</v>
      </c>
      <c r="AV76" s="184">
        <v>5317</v>
      </c>
      <c r="AW76" s="184">
        <v>4994</v>
      </c>
      <c r="AX76" s="184">
        <v>4521</v>
      </c>
      <c r="AY76" s="184">
        <v>4191</v>
      </c>
      <c r="AZ76" s="184">
        <v>3686</v>
      </c>
      <c r="BA76" s="186"/>
      <c r="BB76" s="186"/>
      <c r="BC76" s="186"/>
      <c r="BD76" s="186"/>
      <c r="BE76" s="193" t="s">
        <v>164</v>
      </c>
      <c r="BF76" s="184">
        <v>167421</v>
      </c>
      <c r="BG76" s="184">
        <v>162401</v>
      </c>
      <c r="BH76" s="184">
        <v>85422</v>
      </c>
      <c r="BI76" s="184"/>
      <c r="BJ76" s="184">
        <v>1041021</v>
      </c>
      <c r="BK76" s="184">
        <v>1860927</v>
      </c>
      <c r="BL76" s="186">
        <v>1044637</v>
      </c>
      <c r="BM76" s="186">
        <v>607685</v>
      </c>
      <c r="BN76" s="186">
        <v>566</v>
      </c>
      <c r="BO76" s="186">
        <v>138651</v>
      </c>
      <c r="BP76" s="186">
        <v>216366</v>
      </c>
      <c r="BQ76" s="186">
        <v>81369</v>
      </c>
      <c r="BR76" s="193"/>
      <c r="BS76" s="193"/>
      <c r="BT76" s="193"/>
      <c r="BU76" s="186">
        <v>215348</v>
      </c>
      <c r="BV76" s="186">
        <v>78504</v>
      </c>
      <c r="BW76" s="222">
        <v>0.364544829763917</v>
      </c>
      <c r="BX76" s="186">
        <v>22090</v>
      </c>
      <c r="BY76" s="193" t="s">
        <v>164</v>
      </c>
      <c r="BZ76" s="1676">
        <v>143980</v>
      </c>
      <c r="CA76" s="222">
        <v>0.04</v>
      </c>
      <c r="CB76" s="184">
        <v>87780</v>
      </c>
      <c r="CC76" s="184">
        <v>87380</v>
      </c>
      <c r="CD76" s="184">
        <v>88800</v>
      </c>
      <c r="CE76" s="184">
        <v>84810</v>
      </c>
      <c r="CF76" s="184">
        <v>238745</v>
      </c>
      <c r="CG76" s="187">
        <v>0.156</v>
      </c>
      <c r="CH76" s="184">
        <v>233325</v>
      </c>
      <c r="CI76" s="187">
        <v>0.152</v>
      </c>
      <c r="CJ76" s="184">
        <v>249690</v>
      </c>
      <c r="CK76" s="187">
        <v>0.16</v>
      </c>
      <c r="CL76" s="184">
        <v>243950</v>
      </c>
      <c r="CM76" s="187">
        <v>0.155</v>
      </c>
      <c r="CN76" s="184">
        <v>239725</v>
      </c>
      <c r="CO76" s="187">
        <v>0.151</v>
      </c>
      <c r="CP76" s="184">
        <v>226290</v>
      </c>
      <c r="CQ76" s="187">
        <v>0.14199999999999999</v>
      </c>
      <c r="CR76" s="186"/>
      <c r="CS76" s="186"/>
      <c r="CT76" s="186"/>
      <c r="CU76" s="186"/>
      <c r="CV76" s="186"/>
      <c r="CW76" s="186"/>
      <c r="CX76" s="186"/>
      <c r="CY76" s="187">
        <v>0.48899999999999999</v>
      </c>
      <c r="CZ76" s="186"/>
      <c r="DA76" s="186"/>
      <c r="DB76" s="186"/>
      <c r="DC76" s="186"/>
      <c r="DD76" s="184">
        <v>82264</v>
      </c>
      <c r="DE76" s="201">
        <v>7156.9679999999998</v>
      </c>
      <c r="DF76" s="143">
        <v>8.6999999999999994E-2</v>
      </c>
      <c r="DG76" s="143">
        <v>8.4999999999999992E-2</v>
      </c>
      <c r="DH76" s="143">
        <v>8.8999999999999996E-2</v>
      </c>
      <c r="DI76" s="178" t="str">
        <f t="shared" si="61"/>
        <v>Sig better than Eng.</v>
      </c>
      <c r="DJ76" s="183">
        <v>83380</v>
      </c>
      <c r="DK76" s="201">
        <v>83380.081999999995</v>
      </c>
      <c r="DL76" s="143">
        <v>8.2000000000000003E-2</v>
      </c>
      <c r="DM76" s="143">
        <v>0.08</v>
      </c>
      <c r="DN76" s="143">
        <v>8.4000000000000005E-2</v>
      </c>
      <c r="DO76" s="178" t="str">
        <f t="shared" si="62"/>
        <v>Sig better than Eng.</v>
      </c>
      <c r="DP76" s="183">
        <v>87844</v>
      </c>
      <c r="DQ76" s="201">
        <v>7291.0520000000006</v>
      </c>
      <c r="DR76" s="197">
        <v>8.3000000000000004E-2</v>
      </c>
      <c r="DS76" s="143">
        <v>8.1000000000000003E-2</v>
      </c>
      <c r="DT76" s="143">
        <v>8.5000000000000006E-2</v>
      </c>
      <c r="DU76" s="178" t="str">
        <f t="shared" si="65"/>
        <v>Sig better than Eng.</v>
      </c>
      <c r="DV76" s="183">
        <v>89710</v>
      </c>
      <c r="DW76" s="201">
        <v>7087.09</v>
      </c>
      <c r="DX76" s="197">
        <v>7.9000000000000001E-2</v>
      </c>
      <c r="DY76" s="179">
        <v>7.6999999999999999E-2</v>
      </c>
      <c r="DZ76" s="179">
        <v>8.1000000000000003E-2</v>
      </c>
      <c r="EA76" s="178" t="str">
        <f t="shared" si="63"/>
        <v>Sig better than Eng.</v>
      </c>
      <c r="EB76" s="183">
        <v>78560</v>
      </c>
      <c r="EC76" s="201">
        <v>13040.960000000001</v>
      </c>
      <c r="ED76" s="197">
        <v>0.16600000000000001</v>
      </c>
      <c r="EE76" s="197">
        <v>0.16300000000000001</v>
      </c>
      <c r="EF76" s="197">
        <v>0.16900000000000001</v>
      </c>
      <c r="EG76" s="178" t="str">
        <f t="shared" si="64"/>
        <v>Sig better than Eng.</v>
      </c>
      <c r="EH76" s="183">
        <v>76553</v>
      </c>
      <c r="EI76" s="201">
        <v>12707.798000000001</v>
      </c>
      <c r="EJ76" s="143">
        <v>0.16600000000000001</v>
      </c>
      <c r="EK76" s="143">
        <v>0.16300000000000001</v>
      </c>
      <c r="EL76" s="143">
        <v>0.16900000000000001</v>
      </c>
      <c r="EM76" s="178" t="str">
        <f t="shared" si="66"/>
        <v>Sig better than Eng.</v>
      </c>
      <c r="EN76" s="183">
        <v>76433</v>
      </c>
      <c r="EO76" s="201">
        <v>12611.445</v>
      </c>
      <c r="EP76" s="197">
        <v>0.16500000000000001</v>
      </c>
      <c r="EQ76" s="143">
        <v>0.16200000000000001</v>
      </c>
      <c r="ER76" s="143">
        <v>0.16800000000000001</v>
      </c>
      <c r="ES76" s="178" t="str">
        <f t="shared" si="67"/>
        <v>Sig better than Eng.</v>
      </c>
      <c r="ET76" s="183">
        <v>76191</v>
      </c>
      <c r="EU76" s="180">
        <v>12190.56</v>
      </c>
      <c r="EV76" s="197">
        <v>0.16</v>
      </c>
      <c r="EW76" s="179">
        <v>0.157</v>
      </c>
      <c r="EX76" s="179">
        <v>0.16300000000000001</v>
      </c>
      <c r="EY76" s="178" t="str">
        <f t="shared" si="68"/>
        <v>Sig better than Eng.</v>
      </c>
      <c r="EZ76" s="186"/>
      <c r="FA76" s="186"/>
      <c r="FB76" s="202">
        <v>0.54</v>
      </c>
      <c r="FC76" s="187"/>
      <c r="FD76" s="187"/>
      <c r="FE76" s="187"/>
      <c r="FF76" s="186">
        <v>34</v>
      </c>
      <c r="FG76" s="186"/>
      <c r="FH76" s="186">
        <v>23.4</v>
      </c>
      <c r="FI76" s="187">
        <v>0.311</v>
      </c>
      <c r="FJ76" s="186"/>
      <c r="FK76" s="186"/>
      <c r="FL76" s="202">
        <v>0.64</v>
      </c>
      <c r="FM76" s="187"/>
      <c r="FN76" s="187"/>
      <c r="FO76" s="187"/>
      <c r="FP76" s="198">
        <v>34</v>
      </c>
      <c r="FQ76" s="199"/>
      <c r="FR76" s="199">
        <v>24.7</v>
      </c>
      <c r="FS76" s="210">
        <v>0.27500000000000002</v>
      </c>
      <c r="FT76" s="200">
        <v>1321193</v>
      </c>
      <c r="FU76" s="200">
        <v>1269063</v>
      </c>
      <c r="FV76" s="200">
        <v>52130</v>
      </c>
      <c r="FW76" s="200">
        <v>43594</v>
      </c>
      <c r="FX76" s="200">
        <v>8536</v>
      </c>
      <c r="FY76" s="187">
        <f>FW76/FV76</f>
        <v>0.83625551505850759</v>
      </c>
      <c r="FZ76" s="187">
        <f>FX76/FV76</f>
        <v>0.16374448494149244</v>
      </c>
      <c r="GA76" s="183"/>
      <c r="GB76" s="183"/>
      <c r="GC76" s="183"/>
      <c r="GD76" s="183"/>
      <c r="GE76" s="183"/>
      <c r="GF76" s="183"/>
      <c r="GG76" s="183"/>
      <c r="GH76" s="183"/>
      <c r="GI76" s="183"/>
      <c r="GJ76" s="183"/>
      <c r="GK76" s="183"/>
      <c r="GL76" s="183"/>
      <c r="GM76" s="183"/>
      <c r="GN76" s="183"/>
      <c r="GO76" s="183"/>
      <c r="GP76" s="183"/>
      <c r="GQ76" s="186" t="s">
        <v>164</v>
      </c>
      <c r="GR76" s="186" t="s">
        <v>164</v>
      </c>
      <c r="GS76" s="186" t="s">
        <v>164</v>
      </c>
      <c r="GT76" s="186" t="s">
        <v>164</v>
      </c>
      <c r="GU76" s="186" t="s">
        <v>164</v>
      </c>
      <c r="GV76" s="186" t="s">
        <v>164</v>
      </c>
      <c r="GW76" s="186" t="s">
        <v>164</v>
      </c>
      <c r="GX76" s="186" t="s">
        <v>164</v>
      </c>
      <c r="GY76" s="186" t="s">
        <v>164</v>
      </c>
      <c r="GZ76" s="186" t="s">
        <v>164</v>
      </c>
      <c r="HA76" s="186" t="s">
        <v>164</v>
      </c>
      <c r="HB76" s="186" t="s">
        <v>164</v>
      </c>
      <c r="HC76" s="186" t="s">
        <v>164</v>
      </c>
      <c r="HD76" s="186" t="s">
        <v>164</v>
      </c>
      <c r="HE76" s="186" t="s">
        <v>164</v>
      </c>
      <c r="HF76" s="186" t="s">
        <v>164</v>
      </c>
      <c r="HG76" s="186" t="s">
        <v>164</v>
      </c>
      <c r="HH76" s="186" t="s">
        <v>164</v>
      </c>
      <c r="HI76" s="186" t="s">
        <v>164</v>
      </c>
      <c r="HJ76" s="186" t="s">
        <v>164</v>
      </c>
      <c r="HK76" s="186" t="s">
        <v>164</v>
      </c>
      <c r="HL76" s="186" t="s">
        <v>164</v>
      </c>
      <c r="HM76" s="186" t="s">
        <v>164</v>
      </c>
      <c r="HN76" s="184">
        <v>10296</v>
      </c>
      <c r="HO76" s="187">
        <v>1.9291520050364809E-2</v>
      </c>
      <c r="HP76" s="217">
        <v>838584</v>
      </c>
      <c r="HQ76" s="217">
        <v>748605</v>
      </c>
      <c r="HR76" s="217">
        <v>89979</v>
      </c>
      <c r="HS76" s="1704">
        <v>0.10729873214847886</v>
      </c>
    </row>
    <row r="77" spans="1:227" ht="13.8" customHeight="1" x14ac:dyDescent="0.25">
      <c r="A77" s="188" t="s">
        <v>105</v>
      </c>
      <c r="B77" s="188"/>
      <c r="C77" s="188" t="s">
        <v>164</v>
      </c>
      <c r="D77" s="188" t="s">
        <v>164</v>
      </c>
      <c r="E77" s="188" t="s">
        <v>164</v>
      </c>
      <c r="F77" s="188"/>
      <c r="G77" s="188" t="s">
        <v>164</v>
      </c>
      <c r="H77" s="188" t="s">
        <v>164</v>
      </c>
      <c r="I77" s="188" t="s">
        <v>164</v>
      </c>
      <c r="J77" s="188" t="s">
        <v>164</v>
      </c>
      <c r="K77" s="188" t="s">
        <v>164</v>
      </c>
      <c r="L77" s="184">
        <v>50194600</v>
      </c>
      <c r="M77" s="184">
        <v>50606000</v>
      </c>
      <c r="N77" s="184">
        <v>50965200</v>
      </c>
      <c r="O77" s="184">
        <v>51381100</v>
      </c>
      <c r="P77" s="184">
        <v>51815900</v>
      </c>
      <c r="Q77" s="184">
        <v>52196400</v>
      </c>
      <c r="R77" s="184">
        <v>52642500</v>
      </c>
      <c r="S77" s="184">
        <v>53107200</v>
      </c>
      <c r="T77" s="184">
        <v>53493700</v>
      </c>
      <c r="U77" s="184">
        <v>53865800</v>
      </c>
      <c r="V77" s="184">
        <v>2876000</v>
      </c>
      <c r="W77" s="184">
        <v>2908000</v>
      </c>
      <c r="X77" s="184">
        <v>2963100</v>
      </c>
      <c r="Y77" s="184">
        <v>3049000</v>
      </c>
      <c r="Z77" s="184">
        <v>3142700</v>
      </c>
      <c r="AA77" s="184">
        <v>3211900</v>
      </c>
      <c r="AB77" s="184">
        <v>3280500</v>
      </c>
      <c r="AC77" s="184">
        <v>3328700</v>
      </c>
      <c r="AD77" s="184">
        <v>3393300</v>
      </c>
      <c r="AE77" s="184">
        <v>3414100</v>
      </c>
      <c r="AF77" s="197">
        <v>0.70716448944537358</v>
      </c>
      <c r="AG77" s="197">
        <v>5.2382889602073254E-2</v>
      </c>
      <c r="AH77" s="197">
        <v>6.4863113803130978E-2</v>
      </c>
      <c r="AI77" s="197">
        <v>0.10811824797721828</v>
      </c>
      <c r="AJ77" s="197">
        <v>5.2839428046226398E-2</v>
      </c>
      <c r="AK77" s="197">
        <v>1.463032439843903E-2</v>
      </c>
      <c r="AL77" s="197">
        <v>0.29015956244632285</v>
      </c>
      <c r="AM77" s="184">
        <v>6286051</v>
      </c>
      <c r="AN77" s="187">
        <v>0.55249679011512953</v>
      </c>
      <c r="AO77" s="187">
        <v>0.21446978397089048</v>
      </c>
      <c r="AP77" s="187">
        <v>0.23303342591398002</v>
      </c>
      <c r="AQ77" s="184">
        <v>671058</v>
      </c>
      <c r="AR77" s="184">
        <v>687006</v>
      </c>
      <c r="AS77" s="184">
        <v>688120</v>
      </c>
      <c r="AT77" s="184">
        <v>694241</v>
      </c>
      <c r="AU77" s="184">
        <v>664517</v>
      </c>
      <c r="AV77" s="184">
        <v>40359</v>
      </c>
      <c r="AW77" s="184">
        <v>37844</v>
      </c>
      <c r="AX77" s="184">
        <v>34025</v>
      </c>
      <c r="AY77" s="184">
        <v>31566</v>
      </c>
      <c r="AZ77" s="184">
        <v>27213</v>
      </c>
      <c r="BA77" s="186"/>
      <c r="BB77" s="186"/>
      <c r="BC77" s="186"/>
      <c r="BD77" s="186"/>
      <c r="BE77" s="193" t="s">
        <v>164</v>
      </c>
      <c r="BF77" s="184">
        <v>1064130</v>
      </c>
      <c r="BG77" s="184">
        <v>957255</v>
      </c>
      <c r="BH77" s="184">
        <v>566275</v>
      </c>
      <c r="BI77" s="184"/>
      <c r="BJ77" s="184">
        <v>6408564</v>
      </c>
      <c r="BK77" s="184">
        <v>11437443</v>
      </c>
      <c r="BL77" s="186">
        <v>6423941</v>
      </c>
      <c r="BM77" s="186">
        <v>3373005</v>
      </c>
      <c r="BN77" s="186">
        <v>2885</v>
      </c>
      <c r="BO77" s="186">
        <v>890780</v>
      </c>
      <c r="BP77" s="186">
        <v>1573255</v>
      </c>
      <c r="BQ77" s="186">
        <v>584016</v>
      </c>
      <c r="BR77" s="193"/>
      <c r="BS77" s="193"/>
      <c r="BT77" s="193"/>
      <c r="BU77" s="186">
        <v>1564681</v>
      </c>
      <c r="BV77" s="186">
        <v>634019</v>
      </c>
      <c r="BW77" s="222">
        <v>0.40520655648020265</v>
      </c>
      <c r="BX77" s="186">
        <v>151744</v>
      </c>
      <c r="BY77" s="193" t="s">
        <v>164</v>
      </c>
      <c r="BZ77" s="1676">
        <v>1249560</v>
      </c>
      <c r="CA77" s="222">
        <v>5.7000000000000002E-2</v>
      </c>
      <c r="CB77" s="184">
        <v>724870</v>
      </c>
      <c r="CC77" s="184">
        <v>721690</v>
      </c>
      <c r="CD77" s="184">
        <v>731670</v>
      </c>
      <c r="CE77" s="184">
        <v>700500</v>
      </c>
      <c r="CF77" s="184">
        <v>2141960</v>
      </c>
      <c r="CG77" s="187">
        <v>0.224</v>
      </c>
      <c r="CH77" s="184">
        <v>2068970</v>
      </c>
      <c r="CI77" s="187">
        <v>0.216</v>
      </c>
      <c r="CJ77" s="184">
        <v>2131350</v>
      </c>
      <c r="CK77" s="187">
        <v>0.219</v>
      </c>
      <c r="CL77" s="184">
        <v>2066320</v>
      </c>
      <c r="CM77" s="187">
        <v>0.21099999999999999</v>
      </c>
      <c r="CN77" s="184">
        <v>2026465</v>
      </c>
      <c r="CO77" s="187">
        <v>0.20599999999999999</v>
      </c>
      <c r="CP77" s="184">
        <v>1910205</v>
      </c>
      <c r="CQ77" s="187">
        <v>0.192</v>
      </c>
      <c r="CR77" s="186"/>
      <c r="CS77" s="186"/>
      <c r="CT77" s="186"/>
      <c r="CU77" s="186"/>
      <c r="CV77" s="186"/>
      <c r="CW77" s="186"/>
      <c r="CX77" s="186"/>
      <c r="CY77" s="187">
        <v>0.47099999999999997</v>
      </c>
      <c r="CZ77" s="186"/>
      <c r="DA77" s="186"/>
      <c r="DB77" s="186"/>
      <c r="DC77" s="186"/>
      <c r="DD77" s="184">
        <v>526499</v>
      </c>
      <c r="DE77" s="201">
        <v>51596.902000000002</v>
      </c>
      <c r="DF77" s="197">
        <v>9.8000000000000004E-2</v>
      </c>
      <c r="DG77" s="197">
        <v>9.7000000000000003E-2</v>
      </c>
      <c r="DH77" s="197">
        <v>9.9000000000000005E-2</v>
      </c>
      <c r="DI77" s="183"/>
      <c r="DJ77" s="183">
        <v>540228</v>
      </c>
      <c r="DK77" s="201">
        <v>540228.09400000004</v>
      </c>
      <c r="DL77" s="143">
        <v>9.4E-2</v>
      </c>
      <c r="DM77" s="143">
        <v>9.2999999999999999E-2</v>
      </c>
      <c r="DN77" s="143">
        <v>9.5000000000000001E-2</v>
      </c>
      <c r="DO77" s="197"/>
      <c r="DP77" s="183">
        <v>565662</v>
      </c>
      <c r="DQ77" s="201">
        <v>53737.89</v>
      </c>
      <c r="DR77" s="197">
        <v>9.5000000000000001E-2</v>
      </c>
      <c r="DS77" s="197">
        <v>9.4E-2</v>
      </c>
      <c r="DT77" s="197">
        <v>9.6000000000000002E-2</v>
      </c>
      <c r="DU77" s="183"/>
      <c r="DV77" s="183">
        <v>586332</v>
      </c>
      <c r="DW77" s="201">
        <v>54528.875999999997</v>
      </c>
      <c r="DX77" s="197">
        <v>9.2999999999999999E-2</v>
      </c>
      <c r="DY77" s="197">
        <v>9.1999999999999998E-2</v>
      </c>
      <c r="DZ77" s="197">
        <v>9.4E-2</v>
      </c>
      <c r="EA77" s="183"/>
      <c r="EB77" s="183">
        <v>499867</v>
      </c>
      <c r="EC77" s="201">
        <v>93475.129000000001</v>
      </c>
      <c r="ED77" s="197">
        <v>0.187</v>
      </c>
      <c r="EE77" s="197">
        <v>0.186</v>
      </c>
      <c r="EF77" s="197">
        <v>0.188</v>
      </c>
      <c r="EG77" s="183"/>
      <c r="EH77" s="183">
        <v>464334</v>
      </c>
      <c r="EI77" s="201">
        <v>88223.46</v>
      </c>
      <c r="EJ77" s="143">
        <v>0.19</v>
      </c>
      <c r="EK77" s="143">
        <v>0.189</v>
      </c>
      <c r="EL77" s="143">
        <v>0.191</v>
      </c>
      <c r="EM77" s="183"/>
      <c r="EN77" s="183">
        <v>491118</v>
      </c>
      <c r="EO77" s="201">
        <v>94294.656000000003</v>
      </c>
      <c r="EP77" s="197">
        <v>0.192</v>
      </c>
      <c r="EQ77" s="197">
        <v>0.191</v>
      </c>
      <c r="ER77" s="197">
        <v>0.193</v>
      </c>
      <c r="ES77" s="183"/>
      <c r="ET77" s="183">
        <v>487817</v>
      </c>
      <c r="EU77" s="180">
        <v>92197.413</v>
      </c>
      <c r="EV77" s="197">
        <v>0.189</v>
      </c>
      <c r="EW77" s="179">
        <v>0.188</v>
      </c>
      <c r="EX77" s="179">
        <v>0.19</v>
      </c>
      <c r="EY77" s="183"/>
      <c r="EZ77" s="186"/>
      <c r="FA77" s="186"/>
      <c r="FB77" s="202">
        <v>0.52</v>
      </c>
      <c r="FC77" s="187"/>
      <c r="FD77" s="187"/>
      <c r="FE77" s="187"/>
      <c r="FF77" s="186">
        <v>34</v>
      </c>
      <c r="FG77" s="186"/>
      <c r="FH77" s="186">
        <v>21.6</v>
      </c>
      <c r="FI77" s="187">
        <v>0.36599999999999999</v>
      </c>
      <c r="FJ77" s="186"/>
      <c r="FK77" s="186"/>
      <c r="FL77" s="202">
        <v>0.6</v>
      </c>
      <c r="FM77" s="187"/>
      <c r="FN77" s="187"/>
      <c r="FO77" s="187"/>
      <c r="FP77" s="198">
        <v>34</v>
      </c>
      <c r="FQ77" s="199"/>
      <c r="FR77" s="199">
        <v>22.5</v>
      </c>
      <c r="FS77" s="210">
        <v>0.33900000000000002</v>
      </c>
      <c r="FT77" s="200">
        <v>8015990</v>
      </c>
      <c r="FU77" s="200">
        <v>7549840</v>
      </c>
      <c r="FV77" s="200">
        <v>466150</v>
      </c>
      <c r="FW77" s="200">
        <v>390060</v>
      </c>
      <c r="FX77" s="200">
        <v>76090</v>
      </c>
      <c r="FY77" s="187">
        <f>FW77/FV77</f>
        <v>0.83676928027458974</v>
      </c>
      <c r="FZ77" s="187">
        <f>FX77/FV77</f>
        <v>0.16323071972541028</v>
      </c>
      <c r="GA77" s="183"/>
      <c r="GB77" s="183"/>
      <c r="GC77" s="183"/>
      <c r="GD77" s="183"/>
      <c r="GE77" s="183"/>
      <c r="GF77" s="183"/>
      <c r="GG77" s="183"/>
      <c r="GH77" s="183"/>
      <c r="GI77" s="183"/>
      <c r="GJ77" s="183"/>
      <c r="GK77" s="183"/>
      <c r="GL77" s="183"/>
      <c r="GM77" s="183"/>
      <c r="GN77" s="183"/>
      <c r="GO77" s="183"/>
      <c r="GP77" s="183"/>
      <c r="GQ77" s="186" t="s">
        <v>164</v>
      </c>
      <c r="GR77" s="186" t="s">
        <v>164</v>
      </c>
      <c r="GS77" s="186" t="s">
        <v>164</v>
      </c>
      <c r="GT77" s="186" t="s">
        <v>164</v>
      </c>
      <c r="GU77" s="186" t="s">
        <v>164</v>
      </c>
      <c r="GV77" s="186" t="s">
        <v>164</v>
      </c>
      <c r="GW77" s="186" t="s">
        <v>164</v>
      </c>
      <c r="GX77" s="186" t="s">
        <v>164</v>
      </c>
      <c r="GY77" s="186" t="s">
        <v>164</v>
      </c>
      <c r="GZ77" s="186" t="s">
        <v>164</v>
      </c>
      <c r="HA77" s="186" t="s">
        <v>164</v>
      </c>
      <c r="HB77" s="186" t="s">
        <v>164</v>
      </c>
      <c r="HC77" s="186" t="s">
        <v>164</v>
      </c>
      <c r="HD77" s="186" t="s">
        <v>164</v>
      </c>
      <c r="HE77" s="186" t="s">
        <v>164</v>
      </c>
      <c r="HF77" s="186" t="s">
        <v>164</v>
      </c>
      <c r="HG77" s="186" t="s">
        <v>164</v>
      </c>
      <c r="HH77" s="186" t="s">
        <v>164</v>
      </c>
      <c r="HI77" s="186" t="s">
        <v>164</v>
      </c>
      <c r="HJ77" s="186" t="s">
        <v>164</v>
      </c>
      <c r="HK77" s="186" t="s">
        <v>164</v>
      </c>
      <c r="HL77" s="186" t="s">
        <v>164</v>
      </c>
      <c r="HM77" s="186" t="s">
        <v>164</v>
      </c>
      <c r="HN77" s="184">
        <v>70922</v>
      </c>
      <c r="HO77" s="187">
        <v>2.1388687416405674E-2</v>
      </c>
      <c r="HP77" s="217">
        <v>5223191</v>
      </c>
      <c r="HQ77" s="217">
        <v>4482036</v>
      </c>
      <c r="HR77" s="217">
        <v>741155</v>
      </c>
      <c r="HS77" s="1704">
        <v>0.14189697447403321</v>
      </c>
    </row>
    <row r="78" spans="1:227" ht="13.8" customHeight="1" x14ac:dyDescent="0.25">
      <c r="A78" s="216" t="s">
        <v>776</v>
      </c>
      <c r="K78" s="216" t="s">
        <v>776</v>
      </c>
      <c r="L78" s="217">
        <f>SUM(L70:L74)</f>
        <v>766050</v>
      </c>
      <c r="M78" s="217">
        <f t="shared" ref="M78:V78" si="70">SUM(M70:M74)</f>
        <v>770800</v>
      </c>
      <c r="N78" s="217">
        <f t="shared" si="70"/>
        <v>777400</v>
      </c>
      <c r="O78" s="217">
        <f t="shared" si="70"/>
        <v>784250</v>
      </c>
      <c r="P78" s="217">
        <f t="shared" si="70"/>
        <v>791000</v>
      </c>
      <c r="Q78" s="217">
        <f t="shared" si="70"/>
        <v>796050</v>
      </c>
      <c r="R78" s="217">
        <f t="shared" si="70"/>
        <v>803150</v>
      </c>
      <c r="S78" s="217">
        <f t="shared" si="70"/>
        <v>808950</v>
      </c>
      <c r="T78" s="217">
        <f t="shared" si="70"/>
        <v>815100</v>
      </c>
      <c r="U78" s="217">
        <f t="shared" si="70"/>
        <v>821350</v>
      </c>
      <c r="V78" s="217">
        <f t="shared" si="70"/>
        <v>40800</v>
      </c>
      <c r="W78" s="217">
        <f>SUM(W70:W74)</f>
        <v>40750</v>
      </c>
      <c r="X78" s="217">
        <f t="shared" ref="X78:AC78" si="71">SUM(X70:X74)</f>
        <v>41250</v>
      </c>
      <c r="Y78" s="217">
        <f t="shared" si="71"/>
        <v>42650</v>
      </c>
      <c r="Z78" s="217">
        <f t="shared" si="71"/>
        <v>43650</v>
      </c>
      <c r="AA78" s="217">
        <f t="shared" si="71"/>
        <v>44500</v>
      </c>
      <c r="AB78" s="217">
        <f t="shared" si="71"/>
        <v>45650</v>
      </c>
      <c r="AC78" s="217">
        <f t="shared" si="71"/>
        <v>46700</v>
      </c>
      <c r="AD78" s="217">
        <f>SUM(AD70:AD74)</f>
        <v>47650</v>
      </c>
      <c r="AE78" s="217">
        <f t="shared" ref="AE78:CR78" si="72">SUM(AE70:AE74)</f>
        <v>47850</v>
      </c>
      <c r="AF78" s="217"/>
      <c r="AG78" s="217"/>
      <c r="AH78" s="217"/>
      <c r="AI78" s="217"/>
      <c r="AJ78" s="217"/>
      <c r="AK78" s="217"/>
      <c r="AL78" s="217"/>
      <c r="AM78" s="217">
        <f t="shared" si="72"/>
        <v>89522</v>
      </c>
      <c r="AN78" s="217">
        <f t="shared" si="72"/>
        <v>3.1201185517998242</v>
      </c>
      <c r="AO78" s="217">
        <f t="shared" si="72"/>
        <v>0.89576465997285593</v>
      </c>
      <c r="AP78" s="217">
        <f t="shared" si="72"/>
        <v>0.98411678822731985</v>
      </c>
      <c r="AQ78" s="217">
        <f t="shared" si="72"/>
        <v>0</v>
      </c>
      <c r="AR78" s="217">
        <f t="shared" si="72"/>
        <v>0</v>
      </c>
      <c r="AS78" s="217">
        <f t="shared" si="72"/>
        <v>0</v>
      </c>
      <c r="AT78" s="217">
        <f t="shared" si="72"/>
        <v>0</v>
      </c>
      <c r="AU78" s="217">
        <f t="shared" si="72"/>
        <v>0</v>
      </c>
      <c r="AV78" s="217">
        <f t="shared" si="72"/>
        <v>0</v>
      </c>
      <c r="AW78" s="217">
        <f t="shared" si="72"/>
        <v>0</v>
      </c>
      <c r="AX78" s="217">
        <f t="shared" si="72"/>
        <v>0</v>
      </c>
      <c r="AY78" s="217">
        <f t="shared" si="72"/>
        <v>0</v>
      </c>
      <c r="AZ78" s="217">
        <f t="shared" si="72"/>
        <v>322</v>
      </c>
      <c r="BA78" s="217">
        <f t="shared" si="72"/>
        <v>560</v>
      </c>
      <c r="BB78" s="217">
        <f t="shared" si="72"/>
        <v>0.32996449075832701</v>
      </c>
      <c r="BC78" s="217">
        <f t="shared" si="72"/>
        <v>0.27389978296291539</v>
      </c>
      <c r="BD78" s="217">
        <f t="shared" si="72"/>
        <v>0.39695431673241532</v>
      </c>
      <c r="BE78" s="218">
        <f t="shared" si="72"/>
        <v>0</v>
      </c>
      <c r="BF78" s="217">
        <f t="shared" si="72"/>
        <v>0</v>
      </c>
      <c r="BG78" s="217">
        <f t="shared" si="72"/>
        <v>0</v>
      </c>
      <c r="BH78" s="217">
        <f t="shared" si="72"/>
        <v>0</v>
      </c>
      <c r="BI78" s="217">
        <f t="shared" si="72"/>
        <v>0</v>
      </c>
      <c r="BJ78" s="217">
        <f t="shared" si="72"/>
        <v>0</v>
      </c>
      <c r="BK78" s="217">
        <f t="shared" si="72"/>
        <v>0</v>
      </c>
      <c r="BL78" s="217">
        <f t="shared" si="72"/>
        <v>0</v>
      </c>
      <c r="BM78" s="217">
        <f t="shared" si="72"/>
        <v>0</v>
      </c>
      <c r="BN78" s="217">
        <f t="shared" si="72"/>
        <v>0</v>
      </c>
      <c r="BO78" s="217">
        <f t="shared" si="72"/>
        <v>0</v>
      </c>
      <c r="BP78" s="217">
        <f t="shared" si="72"/>
        <v>0</v>
      </c>
      <c r="BQ78" s="217">
        <f t="shared" si="72"/>
        <v>0</v>
      </c>
      <c r="BR78" s="218">
        <f t="shared" si="72"/>
        <v>0</v>
      </c>
      <c r="BS78" s="218">
        <f t="shared" si="72"/>
        <v>0</v>
      </c>
      <c r="BT78" s="218">
        <f t="shared" si="72"/>
        <v>0</v>
      </c>
      <c r="BY78" s="218">
        <f t="shared" si="72"/>
        <v>0</v>
      </c>
      <c r="BZ78" s="218"/>
      <c r="CA78" s="222">
        <f t="shared" si="72"/>
        <v>0.181061360035874</v>
      </c>
      <c r="CB78" s="217"/>
      <c r="CC78" s="217"/>
      <c r="CD78" s="217"/>
      <c r="CE78" s="217"/>
      <c r="CF78" s="217">
        <f t="shared" si="72"/>
        <v>0</v>
      </c>
      <c r="CG78" s="217">
        <f t="shared" si="72"/>
        <v>0</v>
      </c>
      <c r="CH78" s="217">
        <f t="shared" si="72"/>
        <v>0</v>
      </c>
      <c r="CI78" s="217">
        <f t="shared" si="72"/>
        <v>0</v>
      </c>
      <c r="CJ78" s="217">
        <f t="shared" si="72"/>
        <v>0</v>
      </c>
      <c r="CK78" s="217">
        <f t="shared" si="72"/>
        <v>0</v>
      </c>
      <c r="CL78" s="217">
        <f t="shared" si="72"/>
        <v>0</v>
      </c>
      <c r="CM78" s="217">
        <f t="shared" si="72"/>
        <v>0</v>
      </c>
      <c r="CN78" s="217">
        <f t="shared" si="72"/>
        <v>19060</v>
      </c>
      <c r="CO78" s="217">
        <f t="shared" si="72"/>
        <v>0.65146936102677677</v>
      </c>
      <c r="CP78" s="217">
        <f t="shared" si="72"/>
        <v>17645</v>
      </c>
      <c r="CQ78" s="217">
        <f t="shared" si="72"/>
        <v>0.59894261208609056</v>
      </c>
      <c r="CR78" s="217">
        <f t="shared" si="72"/>
        <v>0</v>
      </c>
      <c r="CS78" s="217">
        <f t="shared" ref="CS78:EY78" si="73">SUM(CS70:CS74)</f>
        <v>0</v>
      </c>
      <c r="CT78" s="217">
        <f t="shared" si="73"/>
        <v>0</v>
      </c>
      <c r="CU78" s="217">
        <f t="shared" si="73"/>
        <v>0</v>
      </c>
      <c r="CV78" s="217">
        <f t="shared" si="73"/>
        <v>0</v>
      </c>
      <c r="CW78" s="217">
        <f t="shared" si="73"/>
        <v>0</v>
      </c>
      <c r="CX78" s="217">
        <f t="shared" si="73"/>
        <v>0</v>
      </c>
      <c r="CY78" s="217">
        <f t="shared" si="73"/>
        <v>0</v>
      </c>
      <c r="CZ78" s="217">
        <f t="shared" si="73"/>
        <v>0</v>
      </c>
      <c r="DA78" s="217">
        <f t="shared" si="73"/>
        <v>0</v>
      </c>
      <c r="DB78" s="217">
        <f t="shared" si="73"/>
        <v>0</v>
      </c>
      <c r="DC78" s="217">
        <f t="shared" si="73"/>
        <v>0</v>
      </c>
      <c r="DD78" s="217">
        <f t="shared" si="73"/>
        <v>0</v>
      </c>
      <c r="DE78" s="217">
        <f t="shared" si="73"/>
        <v>0</v>
      </c>
      <c r="DF78" s="217">
        <f t="shared" si="73"/>
        <v>0</v>
      </c>
      <c r="DG78" s="217">
        <f t="shared" si="73"/>
        <v>-8.5000000000000006E-2</v>
      </c>
      <c r="DH78" s="217">
        <f t="shared" si="73"/>
        <v>8.5000000000000006E-2</v>
      </c>
      <c r="DI78" s="217">
        <f t="shared" si="73"/>
        <v>0</v>
      </c>
      <c r="DJ78" s="217">
        <f t="shared" si="73"/>
        <v>0</v>
      </c>
      <c r="DK78" s="217">
        <f t="shared" si="73"/>
        <v>0</v>
      </c>
      <c r="DL78" s="217">
        <f t="shared" si="73"/>
        <v>0</v>
      </c>
      <c r="DM78" s="217">
        <f t="shared" si="73"/>
        <v>0</v>
      </c>
      <c r="DN78" s="217">
        <f t="shared" si="73"/>
        <v>0</v>
      </c>
      <c r="DO78" s="217">
        <f t="shared" si="73"/>
        <v>0</v>
      </c>
      <c r="DP78" s="217">
        <f t="shared" si="73"/>
        <v>0</v>
      </c>
      <c r="DQ78" s="217">
        <f t="shared" si="73"/>
        <v>0</v>
      </c>
      <c r="DR78" s="217">
        <f t="shared" si="73"/>
        <v>0</v>
      </c>
      <c r="DS78" s="217">
        <f t="shared" si="73"/>
        <v>-0.13</v>
      </c>
      <c r="DT78" s="217">
        <f t="shared" si="73"/>
        <v>0.13</v>
      </c>
      <c r="DU78" s="217">
        <f t="shared" si="73"/>
        <v>0</v>
      </c>
      <c r="DV78" s="217">
        <f t="shared" si="73"/>
        <v>7841</v>
      </c>
      <c r="DW78" s="217">
        <f t="shared" si="73"/>
        <v>666</v>
      </c>
      <c r="DX78" s="217">
        <f t="shared" si="73"/>
        <v>0.41732410992407831</v>
      </c>
      <c r="DY78" s="217">
        <f t="shared" si="73"/>
        <v>0.30732410992407838</v>
      </c>
      <c r="DZ78" s="217">
        <f t="shared" si="73"/>
        <v>0.5273241099240783</v>
      </c>
      <c r="EA78" s="217">
        <f t="shared" si="73"/>
        <v>0</v>
      </c>
      <c r="EB78" s="217">
        <f t="shared" si="73"/>
        <v>0</v>
      </c>
      <c r="EC78" s="217">
        <f t="shared" si="73"/>
        <v>0</v>
      </c>
      <c r="ED78" s="217">
        <f t="shared" si="73"/>
        <v>0</v>
      </c>
      <c r="EE78" s="217">
        <f t="shared" si="73"/>
        <v>-0.16</v>
      </c>
      <c r="EF78" s="217">
        <f t="shared" si="73"/>
        <v>0.16</v>
      </c>
      <c r="EG78" s="217">
        <f t="shared" si="73"/>
        <v>0</v>
      </c>
      <c r="EH78" s="217">
        <f t="shared" si="73"/>
        <v>0</v>
      </c>
      <c r="EI78" s="217">
        <f t="shared" si="73"/>
        <v>0</v>
      </c>
      <c r="EJ78" s="217">
        <f t="shared" si="73"/>
        <v>0</v>
      </c>
      <c r="EK78" s="217">
        <f t="shared" si="73"/>
        <v>-0.16</v>
      </c>
      <c r="EL78" s="217">
        <f t="shared" si="73"/>
        <v>0.16</v>
      </c>
      <c r="EM78" s="217">
        <f t="shared" si="73"/>
        <v>0</v>
      </c>
      <c r="EN78" s="217">
        <f t="shared" si="73"/>
        <v>0</v>
      </c>
      <c r="EO78" s="217">
        <f t="shared" si="73"/>
        <v>0</v>
      </c>
      <c r="EP78" s="217">
        <f t="shared" si="73"/>
        <v>0</v>
      </c>
      <c r="EQ78" s="217">
        <f t="shared" si="73"/>
        <v>-0.16500000000000001</v>
      </c>
      <c r="ER78" s="217">
        <f t="shared" si="73"/>
        <v>0.16500000000000001</v>
      </c>
      <c r="ES78" s="217">
        <f t="shared" si="73"/>
        <v>0</v>
      </c>
      <c r="ET78" s="217">
        <f t="shared" si="73"/>
        <v>6666</v>
      </c>
      <c r="EU78" s="217">
        <f t="shared" si="73"/>
        <v>979</v>
      </c>
      <c r="EV78" s="217">
        <f t="shared" si="73"/>
        <v>0.73428432987700121</v>
      </c>
      <c r="EW78" s="217">
        <f t="shared" si="73"/>
        <v>0.56928432987700117</v>
      </c>
      <c r="EX78" s="217">
        <f t="shared" si="73"/>
        <v>0.89928432987700102</v>
      </c>
      <c r="EY78" s="217">
        <f t="shared" si="73"/>
        <v>0</v>
      </c>
      <c r="EZ78" s="217"/>
      <c r="FA78" s="217"/>
      <c r="FB78" s="217"/>
      <c r="FC78" s="217"/>
      <c r="FD78" s="217"/>
      <c r="FE78" s="217"/>
      <c r="FF78" s="217"/>
      <c r="FG78" s="217"/>
      <c r="FH78" s="217"/>
      <c r="FI78" s="217"/>
      <c r="FJ78" s="217"/>
      <c r="FK78" s="217"/>
      <c r="FL78" s="217"/>
      <c r="FM78" s="217"/>
      <c r="FN78" s="217"/>
      <c r="FO78" s="217"/>
      <c r="FP78" s="217"/>
      <c r="FQ78" s="217"/>
      <c r="FR78" s="217"/>
      <c r="FS78" s="217"/>
      <c r="FT78" s="217"/>
      <c r="FU78" s="217"/>
      <c r="FV78" s="217"/>
      <c r="FW78" s="217"/>
      <c r="FX78" s="217"/>
      <c r="FY78" s="217"/>
      <c r="FZ78" s="217"/>
      <c r="GA78" s="217"/>
      <c r="GB78" s="217"/>
      <c r="GC78" s="217"/>
      <c r="GD78" s="217"/>
      <c r="GE78" s="217"/>
      <c r="GF78" s="217"/>
      <c r="GG78" s="217"/>
      <c r="GH78" s="217"/>
      <c r="GI78" s="217"/>
      <c r="GJ78" s="217"/>
      <c r="GK78" s="217"/>
      <c r="GL78" s="217"/>
      <c r="GM78" s="217"/>
      <c r="GN78" s="217"/>
      <c r="GO78" s="217"/>
      <c r="GP78" s="217"/>
      <c r="GQ78" s="217"/>
      <c r="GR78" s="217"/>
      <c r="GS78" s="217"/>
      <c r="GT78" s="217"/>
      <c r="GU78" s="217"/>
      <c r="GV78" s="217"/>
      <c r="GW78" s="217"/>
      <c r="GX78" s="217"/>
      <c r="GY78" s="217"/>
      <c r="GZ78" s="217"/>
      <c r="HA78" s="217"/>
      <c r="HB78" s="217"/>
      <c r="HC78" s="217"/>
      <c r="HD78" s="217"/>
      <c r="HE78" s="217"/>
      <c r="HF78" s="217"/>
      <c r="HG78" s="217"/>
      <c r="HH78" s="217"/>
      <c r="HI78" s="217"/>
      <c r="HJ78" s="217"/>
      <c r="HK78" s="217"/>
      <c r="HL78" s="217"/>
      <c r="HM78" s="217"/>
      <c r="HN78" s="217"/>
      <c r="HO78" s="217"/>
    </row>
    <row r="79" spans="1:227" ht="13.8" customHeight="1" x14ac:dyDescent="0.25">
      <c r="A79" s="216" t="s">
        <v>777</v>
      </c>
      <c r="K79" s="216" t="s">
        <v>777</v>
      </c>
      <c r="L79" s="217">
        <f>SUM(L67:L69)</f>
        <v>766000</v>
      </c>
      <c r="M79" s="217">
        <f t="shared" ref="M79:V79" si="74">SUM(M67:M69)</f>
        <v>770800</v>
      </c>
      <c r="N79" s="217">
        <f t="shared" si="74"/>
        <v>777400</v>
      </c>
      <c r="O79" s="217">
        <f t="shared" si="74"/>
        <v>784300</v>
      </c>
      <c r="P79" s="217">
        <f t="shared" si="74"/>
        <v>791000</v>
      </c>
      <c r="Q79" s="217">
        <f t="shared" si="74"/>
        <v>796050</v>
      </c>
      <c r="R79" s="217">
        <f t="shared" si="74"/>
        <v>803200</v>
      </c>
      <c r="S79" s="217">
        <f t="shared" si="74"/>
        <v>808950</v>
      </c>
      <c r="T79" s="217">
        <f t="shared" si="74"/>
        <v>815150</v>
      </c>
      <c r="U79" s="217">
        <f t="shared" si="74"/>
        <v>821300</v>
      </c>
      <c r="V79" s="217">
        <f t="shared" si="74"/>
        <v>40800</v>
      </c>
      <c r="W79" s="217">
        <f>SUM(W67:W69)</f>
        <v>40750</v>
      </c>
      <c r="X79" s="217">
        <f t="shared" ref="X79:AC79" si="75">SUM(X67:X69)</f>
        <v>41300</v>
      </c>
      <c r="Y79" s="217">
        <f t="shared" si="75"/>
        <v>42600</v>
      </c>
      <c r="Z79" s="217">
        <f t="shared" si="75"/>
        <v>43650</v>
      </c>
      <c r="AA79" s="217">
        <f t="shared" si="75"/>
        <v>44450</v>
      </c>
      <c r="AB79" s="217">
        <f t="shared" si="75"/>
        <v>45700</v>
      </c>
      <c r="AC79" s="217">
        <f t="shared" si="75"/>
        <v>46700</v>
      </c>
      <c r="AD79" s="217">
        <f>SUM(AD67:AD69)</f>
        <v>47650</v>
      </c>
      <c r="AE79" s="217">
        <f t="shared" ref="AE79:CR79" si="76">SUM(AE67:AE69)</f>
        <v>47850</v>
      </c>
      <c r="AF79" s="217"/>
      <c r="AG79" s="217"/>
      <c r="AH79" s="217"/>
      <c r="AI79" s="217"/>
      <c r="AJ79" s="217"/>
      <c r="AK79" s="217"/>
      <c r="AL79" s="217"/>
      <c r="AM79" s="217">
        <f t="shared" si="76"/>
        <v>89522</v>
      </c>
      <c r="AN79" s="217">
        <f t="shared" si="76"/>
        <v>1.8154374758013105</v>
      </c>
      <c r="AO79" s="217">
        <f t="shared" si="76"/>
        <v>0.59733905388544772</v>
      </c>
      <c r="AP79" s="217">
        <f t="shared" si="76"/>
        <v>0.58722347031324174</v>
      </c>
      <c r="AQ79" s="217">
        <f t="shared" si="76"/>
        <v>0</v>
      </c>
      <c r="AR79" s="217">
        <f t="shared" si="76"/>
        <v>0</v>
      </c>
      <c r="AS79" s="217">
        <f t="shared" si="76"/>
        <v>0</v>
      </c>
      <c r="AT79" s="217">
        <f t="shared" si="76"/>
        <v>0</v>
      </c>
      <c r="AU79" s="217">
        <f t="shared" si="76"/>
        <v>0</v>
      </c>
      <c r="AV79" s="217">
        <f t="shared" si="76"/>
        <v>0</v>
      </c>
      <c r="AW79" s="217">
        <f t="shared" si="76"/>
        <v>0</v>
      </c>
      <c r="AX79" s="217">
        <f t="shared" si="76"/>
        <v>0</v>
      </c>
      <c r="AY79" s="217">
        <f t="shared" si="76"/>
        <v>0</v>
      </c>
      <c r="AZ79" s="217">
        <f t="shared" si="76"/>
        <v>0</v>
      </c>
      <c r="BA79" s="217">
        <f t="shared" si="76"/>
        <v>560</v>
      </c>
      <c r="BB79" s="217">
        <f t="shared" si="76"/>
        <v>0.1998939015760906</v>
      </c>
      <c r="BC79" s="217">
        <f t="shared" si="76"/>
        <v>0.17234032789571868</v>
      </c>
      <c r="BD79" s="217">
        <f t="shared" si="76"/>
        <v>0.2316576029330579</v>
      </c>
      <c r="BE79" s="218">
        <f t="shared" si="76"/>
        <v>0</v>
      </c>
      <c r="BF79" s="217">
        <f t="shared" si="76"/>
        <v>0</v>
      </c>
      <c r="BG79" s="217">
        <f t="shared" si="76"/>
        <v>0</v>
      </c>
      <c r="BH79" s="217">
        <f t="shared" si="76"/>
        <v>0</v>
      </c>
      <c r="BI79" s="217">
        <f t="shared" si="76"/>
        <v>0</v>
      </c>
      <c r="BJ79" s="217">
        <f t="shared" si="76"/>
        <v>0</v>
      </c>
      <c r="BK79" s="217">
        <f t="shared" si="76"/>
        <v>0</v>
      </c>
      <c r="BL79" s="217">
        <f t="shared" si="76"/>
        <v>0</v>
      </c>
      <c r="BM79" s="217">
        <f t="shared" si="76"/>
        <v>0</v>
      </c>
      <c r="BN79" s="217">
        <f t="shared" si="76"/>
        <v>0</v>
      </c>
      <c r="BO79" s="217">
        <f t="shared" si="76"/>
        <v>0</v>
      </c>
      <c r="BP79" s="217">
        <f t="shared" si="76"/>
        <v>0</v>
      </c>
      <c r="BQ79" s="217">
        <f t="shared" si="76"/>
        <v>0</v>
      </c>
      <c r="BR79" s="218">
        <f t="shared" si="76"/>
        <v>0</v>
      </c>
      <c r="BS79" s="218">
        <f t="shared" si="76"/>
        <v>0</v>
      </c>
      <c r="BT79" s="218">
        <f t="shared" si="76"/>
        <v>0</v>
      </c>
      <c r="BY79" s="218">
        <f t="shared" si="76"/>
        <v>0</v>
      </c>
      <c r="BZ79" s="218"/>
      <c r="CA79" s="222">
        <f t="shared" si="76"/>
        <v>0.11467583087254186</v>
      </c>
      <c r="CB79" s="217"/>
      <c r="CC79" s="217"/>
      <c r="CD79" s="217"/>
      <c r="CE79" s="217"/>
      <c r="CF79" s="217">
        <f t="shared" si="76"/>
        <v>18675</v>
      </c>
      <c r="CG79" s="217">
        <f t="shared" si="76"/>
        <v>0.41746217414535303</v>
      </c>
      <c r="CH79" s="217">
        <f t="shared" si="76"/>
        <v>18910</v>
      </c>
      <c r="CI79" s="217">
        <f t="shared" si="76"/>
        <v>0.40214682047167871</v>
      </c>
      <c r="CJ79" s="217">
        <f t="shared" si="76"/>
        <v>19940</v>
      </c>
      <c r="CK79" s="217">
        <f t="shared" si="76"/>
        <v>0.42899677111994594</v>
      </c>
      <c r="CL79" s="217">
        <f t="shared" si="76"/>
        <v>18830</v>
      </c>
      <c r="CM79" s="217">
        <f t="shared" si="76"/>
        <v>0.41835891105685868</v>
      </c>
      <c r="CN79" s="217">
        <f t="shared" si="76"/>
        <v>19460</v>
      </c>
      <c r="CO79" s="217">
        <f t="shared" si="76"/>
        <v>0.40756062717235214</v>
      </c>
      <c r="CP79" s="217">
        <f t="shared" si="76"/>
        <v>17680</v>
      </c>
      <c r="CQ79" s="217">
        <f t="shared" si="76"/>
        <v>0.38500000000000001</v>
      </c>
      <c r="CR79" s="217">
        <f t="shared" si="76"/>
        <v>0</v>
      </c>
      <c r="CS79" s="217">
        <f t="shared" ref="CS79:EY79" si="77">SUM(CS67:CS69)</f>
        <v>0</v>
      </c>
      <c r="CT79" s="217">
        <f t="shared" si="77"/>
        <v>0</v>
      </c>
      <c r="CU79" s="217">
        <f t="shared" si="77"/>
        <v>0</v>
      </c>
      <c r="CV79" s="217">
        <f t="shared" si="77"/>
        <v>0</v>
      </c>
      <c r="CW79" s="217">
        <f t="shared" si="77"/>
        <v>0</v>
      </c>
      <c r="CX79" s="217">
        <f t="shared" si="77"/>
        <v>0</v>
      </c>
      <c r="CY79" s="217">
        <f t="shared" si="77"/>
        <v>0</v>
      </c>
      <c r="CZ79" s="217">
        <f t="shared" si="77"/>
        <v>0</v>
      </c>
      <c r="DA79" s="217">
        <f t="shared" si="77"/>
        <v>0</v>
      </c>
      <c r="DB79" s="217">
        <f t="shared" si="77"/>
        <v>0</v>
      </c>
      <c r="DC79" s="217">
        <f t="shared" si="77"/>
        <v>0</v>
      </c>
      <c r="DD79" s="217">
        <f t="shared" si="77"/>
        <v>0</v>
      </c>
      <c r="DE79" s="217">
        <f t="shared" si="77"/>
        <v>0</v>
      </c>
      <c r="DF79" s="217">
        <f t="shared" si="77"/>
        <v>0</v>
      </c>
      <c r="DG79" s="217">
        <f t="shared" si="77"/>
        <v>-5.1000000000000004E-2</v>
      </c>
      <c r="DH79" s="217">
        <f t="shared" si="77"/>
        <v>5.1000000000000004E-2</v>
      </c>
      <c r="DI79" s="217">
        <f t="shared" si="77"/>
        <v>0</v>
      </c>
      <c r="DJ79" s="217">
        <f t="shared" si="77"/>
        <v>0</v>
      </c>
      <c r="DK79" s="217">
        <f t="shared" si="77"/>
        <v>0</v>
      </c>
      <c r="DL79" s="217">
        <f t="shared" si="77"/>
        <v>0</v>
      </c>
      <c r="DM79" s="217">
        <f t="shared" si="77"/>
        <v>0</v>
      </c>
      <c r="DN79" s="217">
        <f t="shared" si="77"/>
        <v>0</v>
      </c>
      <c r="DO79" s="217">
        <f t="shared" si="77"/>
        <v>0</v>
      </c>
      <c r="DP79" s="217">
        <f t="shared" si="77"/>
        <v>0</v>
      </c>
      <c r="DQ79" s="217">
        <f t="shared" si="77"/>
        <v>0</v>
      </c>
      <c r="DR79" s="217">
        <f t="shared" si="77"/>
        <v>0</v>
      </c>
      <c r="DS79" s="217">
        <f t="shared" si="77"/>
        <v>-7.8E-2</v>
      </c>
      <c r="DT79" s="217">
        <f t="shared" si="77"/>
        <v>7.8E-2</v>
      </c>
      <c r="DU79" s="217">
        <f t="shared" si="77"/>
        <v>0</v>
      </c>
      <c r="DV79" s="217">
        <f t="shared" si="77"/>
        <v>0</v>
      </c>
      <c r="DW79" s="217">
        <f t="shared" si="77"/>
        <v>0</v>
      </c>
      <c r="DX79" s="217">
        <f t="shared" si="77"/>
        <v>0</v>
      </c>
      <c r="DY79" s="217">
        <f t="shared" si="77"/>
        <v>-6.6000000000000003E-2</v>
      </c>
      <c r="DZ79" s="217">
        <f t="shared" si="77"/>
        <v>6.6000000000000003E-2</v>
      </c>
      <c r="EA79" s="217">
        <f t="shared" si="77"/>
        <v>0</v>
      </c>
      <c r="EB79" s="217">
        <f t="shared" si="77"/>
        <v>0</v>
      </c>
      <c r="EC79" s="217">
        <f t="shared" si="77"/>
        <v>0</v>
      </c>
      <c r="ED79" s="217">
        <f t="shared" si="77"/>
        <v>0</v>
      </c>
      <c r="EE79" s="217">
        <f t="shared" si="77"/>
        <v>-9.6000000000000002E-2</v>
      </c>
      <c r="EF79" s="217">
        <f t="shared" si="77"/>
        <v>9.6000000000000002E-2</v>
      </c>
      <c r="EG79" s="217">
        <f t="shared" si="77"/>
        <v>0</v>
      </c>
      <c r="EH79" s="217">
        <f t="shared" si="77"/>
        <v>0</v>
      </c>
      <c r="EI79" s="217">
        <f t="shared" si="77"/>
        <v>0</v>
      </c>
      <c r="EJ79" s="217">
        <f t="shared" si="77"/>
        <v>0</v>
      </c>
      <c r="EK79" s="217">
        <f t="shared" si="77"/>
        <v>-9.6000000000000002E-2</v>
      </c>
      <c r="EL79" s="217">
        <f t="shared" si="77"/>
        <v>9.6000000000000002E-2</v>
      </c>
      <c r="EM79" s="217">
        <f t="shared" si="77"/>
        <v>0</v>
      </c>
      <c r="EN79" s="217">
        <f t="shared" si="77"/>
        <v>0</v>
      </c>
      <c r="EO79" s="217" t="e">
        <f t="shared" si="77"/>
        <v>#DIV/0!</v>
      </c>
      <c r="EP79" s="217" t="e">
        <f t="shared" si="77"/>
        <v>#DIV/0!</v>
      </c>
      <c r="EQ79" s="217" t="e">
        <f t="shared" si="77"/>
        <v>#DIV/0!</v>
      </c>
      <c r="ER79" s="217" t="e">
        <f t="shared" si="77"/>
        <v>#DIV/0!</v>
      </c>
      <c r="ES79" s="217" t="e">
        <f t="shared" si="77"/>
        <v>#DIV/0!</v>
      </c>
      <c r="ET79" s="217">
        <f t="shared" si="77"/>
        <v>6666</v>
      </c>
      <c r="EU79" s="217">
        <f t="shared" si="77"/>
        <v>979</v>
      </c>
      <c r="EV79" s="217">
        <f t="shared" si="77"/>
        <v>0.46206385115222648</v>
      </c>
      <c r="EW79" s="217">
        <f t="shared" si="77"/>
        <v>0.36306385115222645</v>
      </c>
      <c r="EX79" s="217">
        <f t="shared" si="77"/>
        <v>0.56106385115222646</v>
      </c>
      <c r="EY79" s="217">
        <f t="shared" si="77"/>
        <v>0</v>
      </c>
      <c r="EZ79" s="217"/>
      <c r="FA79" s="217"/>
      <c r="FB79" s="217"/>
      <c r="FC79" s="217"/>
      <c r="FD79" s="217"/>
      <c r="FE79" s="217"/>
      <c r="FF79" s="217"/>
      <c r="FG79" s="217"/>
      <c r="FH79" s="217"/>
      <c r="FI79" s="217"/>
      <c r="FJ79" s="217"/>
      <c r="FK79" s="217"/>
      <c r="FL79" s="217"/>
      <c r="FM79" s="217"/>
      <c r="FN79" s="217"/>
      <c r="FO79" s="217"/>
      <c r="FP79" s="217"/>
      <c r="FQ79" s="217"/>
      <c r="FR79" s="217"/>
      <c r="FS79" s="217"/>
      <c r="FT79" s="217"/>
      <c r="FU79" s="217"/>
      <c r="FV79" s="217"/>
      <c r="FW79" s="217"/>
      <c r="FX79" s="217"/>
      <c r="FY79" s="217"/>
      <c r="FZ79" s="217"/>
      <c r="GA79" s="217"/>
      <c r="GB79" s="217"/>
      <c r="GC79" s="217"/>
      <c r="GD79" s="217"/>
      <c r="GE79" s="217"/>
      <c r="GF79" s="217"/>
      <c r="GG79" s="217"/>
      <c r="GH79" s="217"/>
      <c r="GI79" s="217"/>
      <c r="GJ79" s="217"/>
      <c r="GK79" s="217"/>
      <c r="GL79" s="217"/>
      <c r="GM79" s="217"/>
      <c r="GN79" s="217"/>
      <c r="GO79" s="217"/>
      <c r="GP79" s="217"/>
      <c r="GQ79" s="217"/>
      <c r="GR79" s="217"/>
      <c r="GS79" s="217"/>
      <c r="GT79" s="217"/>
      <c r="GU79" s="217"/>
      <c r="GV79" s="217"/>
      <c r="GW79" s="217"/>
      <c r="GX79" s="217"/>
      <c r="GY79" s="217"/>
      <c r="GZ79" s="217"/>
      <c r="HA79" s="217"/>
      <c r="HB79" s="217"/>
      <c r="HC79" s="217"/>
      <c r="HD79" s="217"/>
      <c r="HE79" s="217"/>
      <c r="HF79" s="217"/>
      <c r="HG79" s="217"/>
      <c r="HH79" s="217"/>
      <c r="HI79" s="217"/>
      <c r="HJ79" s="217"/>
      <c r="HK79" s="217"/>
      <c r="HL79" s="217"/>
      <c r="HM79" s="217"/>
      <c r="HN79" s="217"/>
      <c r="HO79" s="217"/>
    </row>
    <row r="80" spans="1:227" ht="13.8" customHeight="1" x14ac:dyDescent="0.25">
      <c r="A80" s="216" t="s">
        <v>778</v>
      </c>
      <c r="K80" s="216" t="s">
        <v>778</v>
      </c>
      <c r="L80" s="217">
        <f>SUM(L48:L59)</f>
        <v>765990</v>
      </c>
      <c r="M80" s="217">
        <f t="shared" ref="M80:V80" si="78">SUM(M48:M59)</f>
        <v>770795</v>
      </c>
      <c r="N80" s="217">
        <f t="shared" si="78"/>
        <v>777395</v>
      </c>
      <c r="O80" s="217">
        <f t="shared" si="78"/>
        <v>784280</v>
      </c>
      <c r="P80" s="217">
        <f t="shared" si="78"/>
        <v>790975</v>
      </c>
      <c r="Q80" s="217">
        <f t="shared" si="78"/>
        <v>796045</v>
      </c>
      <c r="R80" s="217">
        <f t="shared" si="78"/>
        <v>803155</v>
      </c>
      <c r="S80" s="217">
        <f t="shared" si="78"/>
        <v>808925</v>
      </c>
      <c r="T80" s="217">
        <f t="shared" si="78"/>
        <v>815110</v>
      </c>
      <c r="U80" s="217">
        <f t="shared" si="78"/>
        <v>821355</v>
      </c>
      <c r="V80" s="217">
        <f t="shared" si="78"/>
        <v>40820</v>
      </c>
      <c r="W80" s="217">
        <f>SUM(W48:W59)</f>
        <v>40740</v>
      </c>
      <c r="X80" s="217">
        <f t="shared" ref="X80:AC80" si="79">SUM(X48:X59)</f>
        <v>41310</v>
      </c>
      <c r="Y80" s="217">
        <f t="shared" si="79"/>
        <v>42595</v>
      </c>
      <c r="Z80" s="217">
        <f t="shared" si="79"/>
        <v>43655</v>
      </c>
      <c r="AA80" s="217">
        <f t="shared" si="79"/>
        <v>44435</v>
      </c>
      <c r="AB80" s="217">
        <f t="shared" si="79"/>
        <v>45665</v>
      </c>
      <c r="AC80" s="217">
        <f t="shared" si="79"/>
        <v>46670</v>
      </c>
      <c r="AD80" s="217">
        <f>SUM(AD48:AD59)</f>
        <v>47675</v>
      </c>
      <c r="AE80" s="217">
        <f t="shared" ref="AE80:CR80" si="80">SUM(AE48:AE59)</f>
        <v>47845</v>
      </c>
      <c r="AF80" s="217"/>
      <c r="AG80" s="217"/>
      <c r="AH80" s="217"/>
      <c r="AI80" s="217"/>
      <c r="AJ80" s="217"/>
      <c r="AK80" s="217"/>
      <c r="AL80" s="217"/>
      <c r="AM80" s="217">
        <f t="shared" si="80"/>
        <v>89522</v>
      </c>
      <c r="AN80" s="217">
        <f t="shared" si="80"/>
        <v>7.3752150340535279</v>
      </c>
      <c r="AO80" s="217">
        <f t="shared" si="80"/>
        <v>2.037848359153791</v>
      </c>
      <c r="AP80" s="217">
        <f t="shared" si="80"/>
        <v>2.5869366067926816</v>
      </c>
      <c r="AQ80" s="217">
        <f t="shared" si="80"/>
        <v>8666</v>
      </c>
      <c r="AR80" s="217">
        <f t="shared" si="80"/>
        <v>8811</v>
      </c>
      <c r="AS80" s="217">
        <f t="shared" si="80"/>
        <v>9030</v>
      </c>
      <c r="AT80" s="217">
        <f t="shared" si="80"/>
        <v>8859</v>
      </c>
      <c r="AU80" s="217">
        <f t="shared" si="80"/>
        <v>8511</v>
      </c>
      <c r="AV80" s="217">
        <f t="shared" si="80"/>
        <v>443</v>
      </c>
      <c r="AW80" s="217">
        <f t="shared" si="80"/>
        <v>396</v>
      </c>
      <c r="AX80" s="217">
        <f t="shared" si="80"/>
        <v>375</v>
      </c>
      <c r="AY80" s="217">
        <f t="shared" si="80"/>
        <v>338</v>
      </c>
      <c r="AZ80" s="217">
        <f t="shared" si="80"/>
        <v>322</v>
      </c>
      <c r="BA80" s="217">
        <f t="shared" si="80"/>
        <v>560</v>
      </c>
      <c r="BB80" s="217">
        <f t="shared" si="80"/>
        <v>0.79264810779003458</v>
      </c>
      <c r="BC80" s="217">
        <f t="shared" si="80"/>
        <v>0.58388841837018735</v>
      </c>
      <c r="BD80" s="217">
        <f t="shared" si="80"/>
        <v>1.07485047837794</v>
      </c>
      <c r="BE80" s="218">
        <f t="shared" si="80"/>
        <v>666</v>
      </c>
      <c r="BF80" s="217">
        <f t="shared" si="80"/>
        <v>14471</v>
      </c>
      <c r="BG80" s="217">
        <f t="shared" si="80"/>
        <v>14675</v>
      </c>
      <c r="BH80" s="217">
        <f t="shared" si="80"/>
        <v>7032</v>
      </c>
      <c r="BI80" s="217">
        <f t="shared" si="80"/>
        <v>0.88299803688677247</v>
      </c>
      <c r="BJ80" s="217">
        <f t="shared" si="80"/>
        <v>92663</v>
      </c>
      <c r="BK80" s="217">
        <f t="shared" si="80"/>
        <v>163825</v>
      </c>
      <c r="BL80" s="217">
        <f t="shared" si="80"/>
        <v>93098</v>
      </c>
      <c r="BM80" s="217">
        <f t="shared" si="80"/>
        <v>55058</v>
      </c>
      <c r="BN80" s="217">
        <f t="shared" si="80"/>
        <v>53</v>
      </c>
      <c r="BO80" s="217">
        <f t="shared" si="80"/>
        <v>12250</v>
      </c>
      <c r="BP80" s="217">
        <f t="shared" si="80"/>
        <v>18695</v>
      </c>
      <c r="BQ80" s="217">
        <f t="shared" si="80"/>
        <v>7042</v>
      </c>
      <c r="BR80" s="218">
        <f t="shared" si="80"/>
        <v>5340</v>
      </c>
      <c r="BS80" s="218">
        <f t="shared" si="80"/>
        <v>5030</v>
      </c>
      <c r="BT80" s="218">
        <f t="shared" si="80"/>
        <v>4265</v>
      </c>
      <c r="BY80" s="218">
        <f t="shared" si="80"/>
        <v>0</v>
      </c>
      <c r="BZ80" s="218"/>
      <c r="CA80" s="222">
        <f t="shared" si="80"/>
        <v>0.47044650244402053</v>
      </c>
      <c r="CB80" s="217"/>
      <c r="CC80" s="217"/>
      <c r="CD80" s="217"/>
      <c r="CE80" s="217"/>
      <c r="CF80" s="217">
        <f t="shared" si="80"/>
        <v>18635</v>
      </c>
      <c r="CG80" s="217">
        <f t="shared" si="80"/>
        <v>1.7891130311711954</v>
      </c>
      <c r="CH80" s="217">
        <f t="shared" si="80"/>
        <v>18540</v>
      </c>
      <c r="CI80" s="217">
        <f t="shared" si="80"/>
        <v>1.7220669928460144</v>
      </c>
      <c r="CJ80" s="217">
        <f t="shared" si="80"/>
        <v>19860</v>
      </c>
      <c r="CK80" s="217">
        <f t="shared" si="80"/>
        <v>1.8356233952607031</v>
      </c>
      <c r="CL80" s="217">
        <f t="shared" si="80"/>
        <v>19150</v>
      </c>
      <c r="CM80" s="217">
        <f t="shared" si="80"/>
        <v>1.7374962100433557</v>
      </c>
      <c r="CN80" s="217">
        <f t="shared" si="80"/>
        <v>19400</v>
      </c>
      <c r="CO80" s="217">
        <f t="shared" si="80"/>
        <v>1.6985294763407961</v>
      </c>
      <c r="CP80" s="217">
        <f t="shared" si="80"/>
        <v>17620</v>
      </c>
      <c r="CQ80" s="217">
        <f t="shared" si="80"/>
        <v>1.5726712852629814</v>
      </c>
      <c r="CR80" s="217">
        <f t="shared" si="80"/>
        <v>8655</v>
      </c>
      <c r="CS80" s="217">
        <f t="shared" ref="CS80:EY80" si="81">SUM(CS48:CS59)</f>
        <v>345</v>
      </c>
      <c r="CT80" s="217">
        <f t="shared" si="81"/>
        <v>8310</v>
      </c>
      <c r="CU80" s="217">
        <f t="shared" si="81"/>
        <v>11.450422127415679</v>
      </c>
      <c r="CV80" s="217">
        <f t="shared" si="81"/>
        <v>3498</v>
      </c>
      <c r="CW80" s="217">
        <f t="shared" si="81"/>
        <v>4605</v>
      </c>
      <c r="CX80" s="217">
        <f t="shared" si="81"/>
        <v>5.0295117353450403</v>
      </c>
      <c r="CY80" s="217">
        <f t="shared" si="81"/>
        <v>6.5126635455209918</v>
      </c>
      <c r="CZ80" s="217">
        <f t="shared" si="81"/>
        <v>4.5504049976292924</v>
      </c>
      <c r="DA80" s="217">
        <f t="shared" si="81"/>
        <v>5.5229525048175789</v>
      </c>
      <c r="DB80" s="217">
        <f t="shared" si="81"/>
        <v>6.0196758723234538</v>
      </c>
      <c r="DC80" s="217">
        <f t="shared" si="81"/>
        <v>6.9996613595088046</v>
      </c>
      <c r="DD80" s="217">
        <f t="shared" si="81"/>
        <v>6842</v>
      </c>
      <c r="DE80" s="217">
        <f t="shared" si="81"/>
        <v>534</v>
      </c>
      <c r="DF80" s="217">
        <f t="shared" si="81"/>
        <v>0.96385478992753137</v>
      </c>
      <c r="DG80" s="217">
        <f t="shared" si="81"/>
        <v>0.71314945395141049</v>
      </c>
      <c r="DH80" s="217">
        <f t="shared" si="81"/>
        <v>1.3023181836527025</v>
      </c>
      <c r="DI80" s="217">
        <f t="shared" si="81"/>
        <v>0</v>
      </c>
      <c r="DJ80" s="217">
        <f t="shared" si="81"/>
        <v>7515</v>
      </c>
      <c r="DK80" s="217">
        <f t="shared" si="81"/>
        <v>599</v>
      </c>
      <c r="DL80" s="217">
        <f t="shared" si="81"/>
        <v>0.96566307358692827</v>
      </c>
      <c r="DM80" s="217">
        <f t="shared" si="81"/>
        <v>0.72100176122405202</v>
      </c>
      <c r="DN80" s="217">
        <f t="shared" si="81"/>
        <v>1.2905379398468917</v>
      </c>
      <c r="DO80" s="217">
        <f t="shared" si="81"/>
        <v>0</v>
      </c>
      <c r="DP80" s="217">
        <f t="shared" si="81"/>
        <v>6743</v>
      </c>
      <c r="DQ80" s="217">
        <f t="shared" si="81"/>
        <v>525</v>
      </c>
      <c r="DR80" s="217">
        <f t="shared" si="81"/>
        <v>1.0221956077885301</v>
      </c>
      <c r="DS80" s="217">
        <f t="shared" si="81"/>
        <v>0.75310430989856381</v>
      </c>
      <c r="DT80" s="217">
        <f t="shared" si="81"/>
        <v>1.3789112710252087</v>
      </c>
      <c r="DU80" s="217">
        <f t="shared" si="81"/>
        <v>0</v>
      </c>
      <c r="DV80" s="217">
        <f t="shared" si="81"/>
        <v>7841</v>
      </c>
      <c r="DW80" s="217">
        <f t="shared" si="81"/>
        <v>666</v>
      </c>
      <c r="DX80" s="217">
        <f t="shared" si="81"/>
        <v>1.0330772696128614</v>
      </c>
      <c r="DY80" s="217">
        <f t="shared" si="81"/>
        <v>0.78472684303770113</v>
      </c>
      <c r="DZ80" s="217">
        <f t="shared" si="81"/>
        <v>1.3553383622887947</v>
      </c>
      <c r="EA80" s="217">
        <f t="shared" si="81"/>
        <v>0</v>
      </c>
      <c r="EB80" s="217">
        <f t="shared" si="81"/>
        <v>6911</v>
      </c>
      <c r="EC80" s="217">
        <f t="shared" si="81"/>
        <v>1099</v>
      </c>
      <c r="ED80" s="217">
        <f t="shared" si="81"/>
        <v>1.9484190204075418</v>
      </c>
      <c r="EE80" s="217">
        <f t="shared" si="81"/>
        <v>1.5811050946438596</v>
      </c>
      <c r="EF80" s="217">
        <f t="shared" si="81"/>
        <v>2.3847662403843279</v>
      </c>
      <c r="EG80" s="217">
        <f t="shared" si="81"/>
        <v>0</v>
      </c>
      <c r="EH80" s="217">
        <f t="shared" si="81"/>
        <v>6888</v>
      </c>
      <c r="EI80" s="217">
        <f t="shared" si="81"/>
        <v>1096</v>
      </c>
      <c r="EJ80" s="217">
        <f t="shared" si="81"/>
        <v>1.9916951662101992</v>
      </c>
      <c r="EK80" s="217">
        <f t="shared" si="81"/>
        <v>1.6166977151174866</v>
      </c>
      <c r="EL80" s="217">
        <f t="shared" si="81"/>
        <v>2.4365507936140385</v>
      </c>
      <c r="EM80" s="217">
        <f t="shared" si="81"/>
        <v>0</v>
      </c>
      <c r="EN80" s="217">
        <f t="shared" si="81"/>
        <v>6812</v>
      </c>
      <c r="EO80" s="217">
        <f t="shared" si="81"/>
        <v>1062</v>
      </c>
      <c r="EP80" s="217">
        <f t="shared" si="81"/>
        <v>1.909120219942102</v>
      </c>
      <c r="EQ80" s="217">
        <f t="shared" si="81"/>
        <v>1.5390431402536866</v>
      </c>
      <c r="ER80" s="217">
        <f t="shared" si="81"/>
        <v>2.3529937826312972</v>
      </c>
      <c r="ES80" s="217">
        <f t="shared" si="81"/>
        <v>0</v>
      </c>
      <c r="ET80" s="217">
        <f t="shared" si="81"/>
        <v>6666</v>
      </c>
      <c r="EU80" s="217">
        <f t="shared" si="81"/>
        <v>979</v>
      </c>
      <c r="EV80" s="217">
        <f t="shared" si="81"/>
        <v>1.7727082185657885</v>
      </c>
      <c r="EW80" s="217">
        <f t="shared" si="81"/>
        <v>1.4165037465172488</v>
      </c>
      <c r="EX80" s="217">
        <f t="shared" si="81"/>
        <v>2.2050056689819995</v>
      </c>
      <c r="EY80" s="217">
        <f t="shared" si="81"/>
        <v>0</v>
      </c>
      <c r="EZ80" s="217"/>
      <c r="FA80" s="217"/>
      <c r="FB80" s="217"/>
      <c r="FC80" s="217"/>
      <c r="FD80" s="217"/>
      <c r="FE80" s="217"/>
      <c r="FF80" s="217"/>
      <c r="FG80" s="217"/>
      <c r="FH80" s="217"/>
      <c r="FI80" s="217"/>
      <c r="FJ80" s="217"/>
      <c r="FK80" s="217"/>
      <c r="FL80" s="217"/>
      <c r="FM80" s="217"/>
      <c r="FN80" s="217"/>
      <c r="FO80" s="217"/>
      <c r="FP80" s="217"/>
      <c r="FQ80" s="217"/>
      <c r="FR80" s="217"/>
      <c r="FS80" s="217"/>
      <c r="FT80" s="217"/>
      <c r="FU80" s="217"/>
      <c r="FV80" s="217"/>
      <c r="FW80" s="217"/>
      <c r="FX80" s="217"/>
      <c r="FY80" s="217"/>
      <c r="FZ80" s="217"/>
      <c r="GA80" s="217"/>
      <c r="GB80" s="217"/>
      <c r="GC80" s="217"/>
      <c r="GD80" s="217"/>
      <c r="GE80" s="217"/>
      <c r="GF80" s="217"/>
      <c r="GG80" s="217"/>
      <c r="GH80" s="217"/>
      <c r="GI80" s="217"/>
      <c r="GJ80" s="217"/>
      <c r="GK80" s="217"/>
      <c r="GL80" s="217"/>
      <c r="GM80" s="217"/>
      <c r="GN80" s="217"/>
      <c r="GO80" s="217"/>
      <c r="GP80" s="217"/>
      <c r="GQ80" s="217"/>
      <c r="GR80" s="217"/>
      <c r="GS80" s="217"/>
      <c r="GT80" s="217"/>
      <c r="GU80" s="217"/>
      <c r="GV80" s="217"/>
      <c r="GW80" s="217"/>
      <c r="GX80" s="217"/>
      <c r="GY80" s="217"/>
      <c r="GZ80" s="217"/>
      <c r="HA80" s="217"/>
      <c r="HB80" s="217"/>
      <c r="HC80" s="217"/>
      <c r="HD80" s="217"/>
      <c r="HE80" s="217"/>
      <c r="HF80" s="217"/>
      <c r="HG80" s="217"/>
      <c r="HH80" s="217"/>
      <c r="HI80" s="217"/>
      <c r="HJ80" s="217"/>
      <c r="HK80" s="217"/>
      <c r="HL80" s="217"/>
      <c r="HM80" s="217"/>
      <c r="HN80" s="217"/>
      <c r="HO80" s="217"/>
    </row>
    <row r="81" spans="1:223" s="216" customFormat="1" ht="13.8" customHeight="1" x14ac:dyDescent="0.25">
      <c r="A81" s="216" t="s">
        <v>779</v>
      </c>
      <c r="K81" s="216" t="s">
        <v>779</v>
      </c>
      <c r="L81" s="217">
        <f>SUM(L3:L47)</f>
        <v>765995</v>
      </c>
      <c r="M81" s="217">
        <f t="shared" ref="M81:V81" si="82">SUM(M3:M47)</f>
        <v>770795</v>
      </c>
      <c r="N81" s="217">
        <f t="shared" si="82"/>
        <v>777395</v>
      </c>
      <c r="O81" s="217">
        <f t="shared" si="82"/>
        <v>784280</v>
      </c>
      <c r="P81" s="217">
        <f t="shared" si="82"/>
        <v>790985</v>
      </c>
      <c r="Q81" s="217">
        <f t="shared" si="82"/>
        <v>796040</v>
      </c>
      <c r="R81" s="217">
        <f t="shared" si="82"/>
        <v>803155</v>
      </c>
      <c r="S81" s="217">
        <f t="shared" si="82"/>
        <v>808920</v>
      </c>
      <c r="T81" s="217">
        <f t="shared" si="82"/>
        <v>815120</v>
      </c>
      <c r="U81" s="217">
        <f t="shared" si="82"/>
        <v>821365</v>
      </c>
      <c r="V81" s="217">
        <f t="shared" si="82"/>
        <v>40830</v>
      </c>
      <c r="W81" s="217">
        <f>SUM(W3:W47)</f>
        <v>40735</v>
      </c>
      <c r="X81" s="217">
        <f t="shared" ref="X81:AC81" si="83">SUM(X3:X47)</f>
        <v>41335</v>
      </c>
      <c r="Y81" s="217">
        <f t="shared" si="83"/>
        <v>42610</v>
      </c>
      <c r="Z81" s="217">
        <f t="shared" si="83"/>
        <v>43655</v>
      </c>
      <c r="AA81" s="217">
        <f t="shared" si="83"/>
        <v>44420</v>
      </c>
      <c r="AB81" s="217">
        <f t="shared" si="83"/>
        <v>45670</v>
      </c>
      <c r="AC81" s="217">
        <f t="shared" si="83"/>
        <v>46670</v>
      </c>
      <c r="AD81" s="217">
        <f>SUM(AD3:AD47)</f>
        <v>47665</v>
      </c>
      <c r="AE81" s="217">
        <f t="shared" ref="AE81:CR81" si="84">SUM(AE3:AE47)</f>
        <v>47830</v>
      </c>
      <c r="AF81" s="217"/>
      <c r="AG81" s="217"/>
      <c r="AH81" s="217"/>
      <c r="AI81" s="217"/>
      <c r="AJ81" s="217"/>
      <c r="AK81" s="217"/>
      <c r="AL81" s="217"/>
      <c r="AM81" s="217">
        <f t="shared" si="84"/>
        <v>89530</v>
      </c>
      <c r="AN81" s="217">
        <f t="shared" si="84"/>
        <v>28.134164230964139</v>
      </c>
      <c r="AO81" s="217">
        <f t="shared" si="84"/>
        <v>7.7068862386044144</v>
      </c>
      <c r="AP81" s="217">
        <f t="shared" si="84"/>
        <v>9.1589495304314461</v>
      </c>
      <c r="AQ81" s="217">
        <f t="shared" si="84"/>
        <v>8666</v>
      </c>
      <c r="AR81" s="217">
        <f t="shared" si="84"/>
        <v>8811</v>
      </c>
      <c r="AS81" s="217">
        <f t="shared" si="84"/>
        <v>9030</v>
      </c>
      <c r="AT81" s="217">
        <f t="shared" si="84"/>
        <v>8859</v>
      </c>
      <c r="AU81" s="217">
        <f t="shared" si="84"/>
        <v>8511</v>
      </c>
      <c r="AV81" s="217">
        <f t="shared" si="84"/>
        <v>443</v>
      </c>
      <c r="AW81" s="217">
        <f t="shared" si="84"/>
        <v>396</v>
      </c>
      <c r="AX81" s="217">
        <f t="shared" si="84"/>
        <v>375</v>
      </c>
      <c r="AY81" s="217">
        <f t="shared" si="84"/>
        <v>338</v>
      </c>
      <c r="AZ81" s="217">
        <f t="shared" si="84"/>
        <v>322</v>
      </c>
      <c r="BA81" s="217">
        <f t="shared" si="84"/>
        <v>560</v>
      </c>
      <c r="BB81" s="217">
        <f t="shared" si="84"/>
        <v>2.9628767555369611</v>
      </c>
      <c r="BC81" s="217">
        <f t="shared" si="84"/>
        <v>1.7202862114559676</v>
      </c>
      <c r="BD81" s="217">
        <f t="shared" si="84"/>
        <v>5.0995959018250181</v>
      </c>
      <c r="BE81" s="218">
        <f t="shared" si="84"/>
        <v>666</v>
      </c>
      <c r="BF81" s="217">
        <f t="shared" si="84"/>
        <v>14471</v>
      </c>
      <c r="BG81" s="217">
        <f t="shared" si="84"/>
        <v>14675</v>
      </c>
      <c r="BH81" s="217">
        <f t="shared" si="84"/>
        <v>7032</v>
      </c>
      <c r="BI81" s="217">
        <f t="shared" si="84"/>
        <v>6.4961348632537081</v>
      </c>
      <c r="BJ81" s="217">
        <f t="shared" si="84"/>
        <v>92663</v>
      </c>
      <c r="BK81" s="217">
        <f t="shared" si="84"/>
        <v>163825</v>
      </c>
      <c r="BL81" s="217">
        <f t="shared" si="84"/>
        <v>93098</v>
      </c>
      <c r="BM81" s="217">
        <f t="shared" si="84"/>
        <v>55058</v>
      </c>
      <c r="BN81" s="217">
        <f t="shared" si="84"/>
        <v>53</v>
      </c>
      <c r="BO81" s="217">
        <f t="shared" si="84"/>
        <v>12250</v>
      </c>
      <c r="BP81" s="217">
        <f t="shared" si="84"/>
        <v>18695</v>
      </c>
      <c r="BQ81" s="217">
        <f t="shared" si="84"/>
        <v>7042</v>
      </c>
      <c r="BR81" s="218">
        <f t="shared" si="84"/>
        <v>5340</v>
      </c>
      <c r="BS81" s="218">
        <f t="shared" si="84"/>
        <v>5030</v>
      </c>
      <c r="BT81" s="218">
        <f t="shared" si="84"/>
        <v>4265</v>
      </c>
      <c r="BU81" s="1721"/>
      <c r="BV81" s="1721"/>
      <c r="BW81" s="1721"/>
      <c r="BX81" s="1721"/>
      <c r="BY81" s="218">
        <f t="shared" si="84"/>
        <v>250</v>
      </c>
      <c r="BZ81" s="218"/>
      <c r="CA81" s="222" t="e">
        <f>SUM(#REF!)</f>
        <v>#REF!</v>
      </c>
      <c r="CB81" s="217"/>
      <c r="CC81" s="217"/>
      <c r="CD81" s="217"/>
      <c r="CE81" s="217"/>
      <c r="CF81" s="217">
        <f t="shared" si="84"/>
        <v>19070</v>
      </c>
      <c r="CG81" s="217">
        <f t="shared" si="84"/>
        <v>6.014809201909201</v>
      </c>
      <c r="CH81" s="217">
        <f t="shared" si="84"/>
        <v>19295</v>
      </c>
      <c r="CI81" s="217">
        <f t="shared" si="84"/>
        <v>5.7502526251526271</v>
      </c>
      <c r="CJ81" s="217">
        <f t="shared" si="84"/>
        <v>19930</v>
      </c>
      <c r="CK81" s="217">
        <f t="shared" si="84"/>
        <v>6.140482017982019</v>
      </c>
      <c r="CL81" s="217">
        <f t="shared" si="84"/>
        <v>18445</v>
      </c>
      <c r="CM81" s="217">
        <f t="shared" si="84"/>
        <v>5.8916338023088031</v>
      </c>
      <c r="CN81" s="217">
        <f t="shared" si="84"/>
        <v>19155</v>
      </c>
      <c r="CO81" s="217">
        <f t="shared" si="84"/>
        <v>5.7442621989121978</v>
      </c>
      <c r="CP81" s="217">
        <f t="shared" si="84"/>
        <v>17675</v>
      </c>
      <c r="CQ81" s="217">
        <f t="shared" si="84"/>
        <v>5.5470579212818434</v>
      </c>
      <c r="CR81" s="217">
        <f t="shared" si="84"/>
        <v>8655</v>
      </c>
      <c r="CS81" s="217">
        <f t="shared" ref="CS81:EY81" si="85">SUM(CS3:CS47)</f>
        <v>345</v>
      </c>
      <c r="CT81" s="217">
        <f t="shared" si="85"/>
        <v>8310</v>
      </c>
      <c r="CU81" s="217">
        <f t="shared" si="85"/>
        <v>42.567523579150333</v>
      </c>
      <c r="CV81" s="217">
        <f t="shared" si="85"/>
        <v>3498</v>
      </c>
      <c r="CW81" s="217">
        <f t="shared" si="85"/>
        <v>4605</v>
      </c>
      <c r="CX81" s="217">
        <f t="shared" si="85"/>
        <v>19.053738941646948</v>
      </c>
      <c r="CY81" s="217">
        <f t="shared" si="85"/>
        <v>24.849715905662734</v>
      </c>
      <c r="CZ81" s="217">
        <f t="shared" si="85"/>
        <v>15.833835522667687</v>
      </c>
      <c r="DA81" s="217">
        <f t="shared" si="85"/>
        <v>22.394398998968626</v>
      </c>
      <c r="DB81" s="217">
        <f t="shared" si="85"/>
        <v>21.568665561184531</v>
      </c>
      <c r="DC81" s="217">
        <f t="shared" si="85"/>
        <v>28.150145608880077</v>
      </c>
      <c r="DD81" s="217">
        <f t="shared" si="85"/>
        <v>6842</v>
      </c>
      <c r="DE81" s="217">
        <f t="shared" si="85"/>
        <v>534</v>
      </c>
      <c r="DF81" s="217">
        <f t="shared" si="85"/>
        <v>3.4803520529482093</v>
      </c>
      <c r="DG81" s="217">
        <f t="shared" si="85"/>
        <v>2.0182271933542606</v>
      </c>
      <c r="DH81" s="217">
        <f t="shared" si="85"/>
        <v>5.9434248917987009</v>
      </c>
      <c r="DI81" s="217">
        <f t="shared" si="85"/>
        <v>0</v>
      </c>
      <c r="DJ81" s="217">
        <f t="shared" si="85"/>
        <v>7515</v>
      </c>
      <c r="DK81" s="217">
        <f t="shared" si="85"/>
        <v>599</v>
      </c>
      <c r="DL81" s="217">
        <f t="shared" si="85"/>
        <v>3.5953982587432565</v>
      </c>
      <c r="DM81" s="217">
        <f t="shared" si="85"/>
        <v>2.1424072713636053</v>
      </c>
      <c r="DN81" s="217">
        <f t="shared" si="85"/>
        <v>5.9522226015503286</v>
      </c>
      <c r="DO81" s="217">
        <f t="shared" si="85"/>
        <v>0</v>
      </c>
      <c r="DP81" s="217">
        <f t="shared" si="85"/>
        <v>6743</v>
      </c>
      <c r="DQ81" s="217">
        <f t="shared" si="85"/>
        <v>525</v>
      </c>
      <c r="DR81" s="217">
        <f t="shared" si="85"/>
        <v>3.5541609487504364</v>
      </c>
      <c r="DS81" s="217">
        <f t="shared" si="85"/>
        <v>2.0434373753127724</v>
      </c>
      <c r="DT81" s="217">
        <f t="shared" si="85"/>
        <v>6.0975406938641665</v>
      </c>
      <c r="DU81" s="217">
        <f t="shared" si="85"/>
        <v>0</v>
      </c>
      <c r="DV81" s="217">
        <f t="shared" si="85"/>
        <v>7841</v>
      </c>
      <c r="DW81" s="217">
        <f t="shared" si="85"/>
        <v>666</v>
      </c>
      <c r="DX81" s="217">
        <f t="shared" si="85"/>
        <v>3.7498666884876637</v>
      </c>
      <c r="DY81" s="217">
        <f t="shared" si="85"/>
        <v>2.2952067181090015</v>
      </c>
      <c r="DZ81" s="217">
        <f t="shared" si="85"/>
        <v>6.0706444685993945</v>
      </c>
      <c r="EA81" s="217">
        <f t="shared" si="85"/>
        <v>0</v>
      </c>
      <c r="EB81" s="217">
        <f t="shared" si="85"/>
        <v>6911</v>
      </c>
      <c r="EC81" s="217">
        <f t="shared" si="85"/>
        <v>1099</v>
      </c>
      <c r="ED81" s="217">
        <f t="shared" si="85"/>
        <v>7.2596899344736787</v>
      </c>
      <c r="EE81" s="217">
        <f t="shared" si="85"/>
        <v>4.9908742484381703</v>
      </c>
      <c r="EF81" s="217">
        <f t="shared" si="85"/>
        <v>10.322997987367758</v>
      </c>
      <c r="EG81" s="217">
        <f t="shared" si="85"/>
        <v>0</v>
      </c>
      <c r="EH81" s="217">
        <f t="shared" si="85"/>
        <v>6888</v>
      </c>
      <c r="EI81" s="217">
        <f t="shared" si="85"/>
        <v>1096</v>
      </c>
      <c r="EJ81" s="217">
        <f t="shared" si="85"/>
        <v>7.1878500809769887</v>
      </c>
      <c r="EK81" s="217">
        <f t="shared" si="85"/>
        <v>4.932921800224225</v>
      </c>
      <c r="EL81" s="217">
        <f t="shared" si="85"/>
        <v>10.246582969254888</v>
      </c>
      <c r="EM81" s="217">
        <f t="shared" si="85"/>
        <v>0</v>
      </c>
      <c r="EN81" s="217">
        <f t="shared" si="85"/>
        <v>6812</v>
      </c>
      <c r="EO81" s="217">
        <f t="shared" si="85"/>
        <v>1062</v>
      </c>
      <c r="EP81" s="217">
        <f t="shared" si="85"/>
        <v>6.9450129772871527</v>
      </c>
      <c r="EQ81" s="217">
        <f t="shared" si="85"/>
        <v>4.7402861353317993</v>
      </c>
      <c r="ER81" s="217">
        <f t="shared" si="85"/>
        <v>9.9837171430946992</v>
      </c>
      <c r="ES81" s="217">
        <f t="shared" si="85"/>
        <v>0</v>
      </c>
      <c r="ET81" s="217">
        <f t="shared" si="85"/>
        <v>6666</v>
      </c>
      <c r="EU81" s="217">
        <f t="shared" si="85"/>
        <v>979</v>
      </c>
      <c r="EV81" s="217">
        <f t="shared" si="85"/>
        <v>6.5866688783416878</v>
      </c>
      <c r="EW81" s="217">
        <f t="shared" si="85"/>
        <v>4.4370692532704092</v>
      </c>
      <c r="EX81" s="217">
        <f t="shared" si="85"/>
        <v>9.5943575420423315</v>
      </c>
      <c r="EY81" s="217">
        <f t="shared" si="85"/>
        <v>0</v>
      </c>
      <c r="EZ81" s="217"/>
      <c r="FA81" s="217"/>
      <c r="FB81" s="217"/>
      <c r="FC81" s="217"/>
      <c r="FD81" s="217"/>
      <c r="FE81" s="217"/>
      <c r="FF81" s="217"/>
      <c r="FG81" s="217"/>
      <c r="FH81" s="217"/>
      <c r="FI81" s="217"/>
      <c r="FJ81" s="217"/>
      <c r="FK81" s="217"/>
      <c r="FL81" s="217"/>
      <c r="FM81" s="217"/>
      <c r="FN81" s="217"/>
      <c r="FO81" s="217"/>
      <c r="FP81" s="217"/>
      <c r="FQ81" s="217"/>
      <c r="FR81" s="217"/>
      <c r="FS81" s="217"/>
      <c r="FT81" s="217"/>
      <c r="FU81" s="217"/>
      <c r="FV81" s="217"/>
      <c r="FW81" s="217"/>
      <c r="FX81" s="217"/>
      <c r="FY81" s="217"/>
      <c r="FZ81" s="217"/>
      <c r="GA81" s="217"/>
      <c r="GB81" s="217"/>
      <c r="GC81" s="217"/>
      <c r="GD81" s="217"/>
      <c r="GE81" s="217"/>
      <c r="GF81" s="217"/>
      <c r="GG81" s="217"/>
      <c r="GH81" s="217"/>
      <c r="GI81" s="217"/>
      <c r="GJ81" s="217"/>
      <c r="GK81" s="217"/>
      <c r="GL81" s="217"/>
      <c r="GM81" s="217"/>
      <c r="GN81" s="217"/>
      <c r="GO81" s="217"/>
      <c r="GP81" s="217"/>
      <c r="GQ81" s="217"/>
      <c r="GR81" s="217"/>
      <c r="GS81" s="217"/>
      <c r="GT81" s="217"/>
      <c r="GU81" s="217"/>
      <c r="GV81" s="217"/>
      <c r="GW81" s="217"/>
      <c r="GX81" s="217"/>
      <c r="GY81" s="217"/>
      <c r="GZ81" s="217"/>
      <c r="HA81" s="217"/>
      <c r="HB81" s="217"/>
      <c r="HC81" s="217"/>
      <c r="HD81" s="217"/>
      <c r="HE81" s="217"/>
      <c r="HF81" s="217"/>
      <c r="HG81" s="217"/>
      <c r="HH81" s="217"/>
      <c r="HI81" s="217"/>
      <c r="HJ81" s="217"/>
      <c r="HK81" s="217"/>
      <c r="HL81" s="217"/>
      <c r="HM81" s="217"/>
      <c r="HN81" s="217"/>
      <c r="HO81" s="217"/>
    </row>
    <row r="82" spans="1:223" s="216" customFormat="1" ht="13.8" customHeight="1" x14ac:dyDescent="0.25">
      <c r="A82" s="216" t="s">
        <v>780</v>
      </c>
      <c r="K82" s="216" t="s">
        <v>780</v>
      </c>
      <c r="L82" s="217">
        <f>SUM(L60:L66)</f>
        <v>766100</v>
      </c>
      <c r="M82" s="217">
        <f t="shared" ref="M82:V82" si="86">SUM(M60:M66)</f>
        <v>770800</v>
      </c>
      <c r="N82" s="217">
        <f t="shared" si="86"/>
        <v>777400</v>
      </c>
      <c r="O82" s="217">
        <f t="shared" si="86"/>
        <v>784300</v>
      </c>
      <c r="P82" s="217">
        <f t="shared" si="86"/>
        <v>791000</v>
      </c>
      <c r="Q82" s="217">
        <f t="shared" si="86"/>
        <v>796000</v>
      </c>
      <c r="R82" s="217">
        <f t="shared" si="86"/>
        <v>803200</v>
      </c>
      <c r="S82" s="217">
        <f t="shared" si="86"/>
        <v>808900</v>
      </c>
      <c r="T82" s="217">
        <f t="shared" si="86"/>
        <v>815200</v>
      </c>
      <c r="U82" s="217">
        <f t="shared" si="86"/>
        <v>821400</v>
      </c>
      <c r="V82" s="217">
        <f t="shared" si="86"/>
        <v>40900</v>
      </c>
      <c r="W82" s="217">
        <f>SUM(W60:W66)</f>
        <v>40800</v>
      </c>
      <c r="X82" s="217">
        <f t="shared" ref="X82:AC82" si="87">SUM(X60:X66)</f>
        <v>41400</v>
      </c>
      <c r="Y82" s="217">
        <f t="shared" si="87"/>
        <v>42700</v>
      </c>
      <c r="Z82" s="217">
        <f t="shared" si="87"/>
        <v>43700</v>
      </c>
      <c r="AA82" s="217">
        <f t="shared" si="87"/>
        <v>44500</v>
      </c>
      <c r="AB82" s="217">
        <f t="shared" si="87"/>
        <v>45500</v>
      </c>
      <c r="AC82" s="217">
        <f t="shared" si="87"/>
        <v>46700</v>
      </c>
      <c r="AD82" s="217">
        <f>SUM(AD60:AD66)</f>
        <v>47700</v>
      </c>
      <c r="AE82" s="217">
        <f t="shared" ref="AE82:CR82" si="88">SUM(AE60:AE66)</f>
        <v>47800</v>
      </c>
      <c r="AF82" s="217"/>
      <c r="AG82" s="217"/>
      <c r="AH82" s="217"/>
      <c r="AI82" s="217"/>
      <c r="AJ82" s="217"/>
      <c r="AK82" s="217"/>
      <c r="AL82" s="217"/>
      <c r="AM82" s="217">
        <f t="shared" si="88"/>
        <v>89522</v>
      </c>
      <c r="AN82" s="217">
        <f t="shared" si="88"/>
        <v>4.3281895605000145</v>
      </c>
      <c r="AO82" s="217">
        <f t="shared" si="88"/>
        <v>1.2176048640602244</v>
      </c>
      <c r="AP82" s="217">
        <f t="shared" si="88"/>
        <v>1.4542055754397607</v>
      </c>
      <c r="AQ82" s="217">
        <f t="shared" si="88"/>
        <v>8927</v>
      </c>
      <c r="AR82" s="217">
        <f t="shared" si="88"/>
        <v>9024</v>
      </c>
      <c r="AS82" s="217">
        <f t="shared" si="88"/>
        <v>9198</v>
      </c>
      <c r="AT82" s="217">
        <f t="shared" si="88"/>
        <v>9207</v>
      </c>
      <c r="AU82" s="217">
        <f t="shared" si="88"/>
        <v>8835</v>
      </c>
      <c r="AV82" s="217">
        <f t="shared" si="88"/>
        <v>456</v>
      </c>
      <c r="AW82" s="217">
        <f t="shared" si="88"/>
        <v>399</v>
      </c>
      <c r="AX82" s="217">
        <f t="shared" si="88"/>
        <v>367</v>
      </c>
      <c r="AY82" s="217">
        <f t="shared" si="88"/>
        <v>345</v>
      </c>
      <c r="AZ82" s="217">
        <f t="shared" si="88"/>
        <v>331</v>
      </c>
      <c r="BA82" s="217">
        <f t="shared" si="88"/>
        <v>0</v>
      </c>
      <c r="BB82" s="217">
        <f t="shared" si="88"/>
        <v>0</v>
      </c>
      <c r="BC82" s="217">
        <f t="shared" si="88"/>
        <v>0</v>
      </c>
      <c r="BD82" s="217">
        <f t="shared" si="88"/>
        <v>0</v>
      </c>
      <c r="BE82" s="218">
        <f t="shared" si="88"/>
        <v>0</v>
      </c>
      <c r="BF82" s="217">
        <f t="shared" si="88"/>
        <v>0</v>
      </c>
      <c r="BG82" s="217">
        <f t="shared" si="88"/>
        <v>0</v>
      </c>
      <c r="BH82" s="217">
        <f t="shared" si="88"/>
        <v>0</v>
      </c>
      <c r="BI82" s="217">
        <f t="shared" si="88"/>
        <v>0</v>
      </c>
      <c r="BJ82" s="217">
        <f t="shared" si="88"/>
        <v>0</v>
      </c>
      <c r="BK82" s="217">
        <f t="shared" si="88"/>
        <v>0</v>
      </c>
      <c r="BL82" s="217">
        <f t="shared" si="88"/>
        <v>0</v>
      </c>
      <c r="BM82" s="217">
        <f t="shared" si="88"/>
        <v>0</v>
      </c>
      <c r="BN82" s="217">
        <f t="shared" si="88"/>
        <v>0</v>
      </c>
      <c r="BO82" s="217">
        <f t="shared" si="88"/>
        <v>0</v>
      </c>
      <c r="BP82" s="217">
        <f t="shared" si="88"/>
        <v>0</v>
      </c>
      <c r="BQ82" s="217">
        <f t="shared" si="88"/>
        <v>0</v>
      </c>
      <c r="BR82" s="218">
        <f t="shared" si="88"/>
        <v>0</v>
      </c>
      <c r="BS82" s="218">
        <f t="shared" si="88"/>
        <v>0</v>
      </c>
      <c r="BT82" s="218">
        <f t="shared" si="88"/>
        <v>0</v>
      </c>
      <c r="BU82" s="1721"/>
      <c r="BV82" s="1721"/>
      <c r="BW82" s="1721"/>
      <c r="BX82" s="1721"/>
      <c r="BY82" s="218">
        <f t="shared" si="88"/>
        <v>0</v>
      </c>
      <c r="BZ82" s="218"/>
      <c r="CA82" s="222">
        <f t="shared" si="88"/>
        <v>0.27117741879635149</v>
      </c>
      <c r="CB82" s="217"/>
      <c r="CC82" s="217"/>
      <c r="CD82" s="217"/>
      <c r="CE82" s="217"/>
      <c r="CF82" s="217">
        <f t="shared" si="88"/>
        <v>19140</v>
      </c>
      <c r="CG82" s="217">
        <f t="shared" si="88"/>
        <v>1.0069999999999999</v>
      </c>
      <c r="CH82" s="217">
        <f t="shared" si="88"/>
        <v>18485</v>
      </c>
      <c r="CI82" s="217">
        <f t="shared" si="88"/>
        <v>0.97099999999999986</v>
      </c>
      <c r="CJ82" s="217">
        <f t="shared" si="88"/>
        <v>19950</v>
      </c>
      <c r="CK82" s="217">
        <f t="shared" si="88"/>
        <v>1.0319999999999998</v>
      </c>
      <c r="CL82" s="217">
        <f t="shared" si="88"/>
        <v>19345</v>
      </c>
      <c r="CM82" s="217">
        <f t="shared" si="88"/>
        <v>0.99199999999999999</v>
      </c>
      <c r="CN82" s="217">
        <f t="shared" si="88"/>
        <v>19025</v>
      </c>
      <c r="CO82" s="217">
        <f t="shared" si="88"/>
        <v>0.97</v>
      </c>
      <c r="CP82" s="217">
        <f t="shared" si="88"/>
        <v>17635</v>
      </c>
      <c r="CQ82" s="217">
        <f t="shared" si="88"/>
        <v>0.8899999999999999</v>
      </c>
      <c r="CR82" s="217">
        <f t="shared" si="88"/>
        <v>8655</v>
      </c>
      <c r="CS82" s="217">
        <f t="shared" ref="CS82:EY82" si="89">SUM(CS60:CS66)</f>
        <v>345</v>
      </c>
      <c r="CT82" s="217">
        <f t="shared" si="89"/>
        <v>8310</v>
      </c>
      <c r="CU82" s="217">
        <f t="shared" si="89"/>
        <v>6.6946492905056978</v>
      </c>
      <c r="CV82" s="217">
        <f t="shared" si="89"/>
        <v>3498</v>
      </c>
      <c r="CW82" s="217">
        <f t="shared" si="89"/>
        <v>4605</v>
      </c>
      <c r="CX82" s="217">
        <f t="shared" si="89"/>
        <v>2.8170369866595988</v>
      </c>
      <c r="CY82" s="217">
        <f t="shared" si="89"/>
        <v>3.69422866793836</v>
      </c>
      <c r="CZ82" s="217">
        <f t="shared" si="89"/>
        <v>2.7448307297800594</v>
      </c>
      <c r="DA82" s="217">
        <f t="shared" si="89"/>
        <v>3.1479914706809256</v>
      </c>
      <c r="DB82" s="217">
        <f t="shared" si="89"/>
        <v>3.656083850010809</v>
      </c>
      <c r="DC82" s="217">
        <f t="shared" si="89"/>
        <v>4.0620476456525108</v>
      </c>
      <c r="DD82" s="217">
        <f t="shared" si="89"/>
        <v>6935</v>
      </c>
      <c r="DE82" s="217">
        <f t="shared" si="89"/>
        <v>539.27</v>
      </c>
      <c r="DF82" s="217">
        <f t="shared" si="89"/>
        <v>0.53800000000000003</v>
      </c>
      <c r="DG82" s="217">
        <f t="shared" si="89"/>
        <v>0.41899999999999998</v>
      </c>
      <c r="DH82" s="217">
        <f t="shared" si="89"/>
        <v>0.65700000000000003</v>
      </c>
      <c r="DI82" s="217">
        <f t="shared" si="89"/>
        <v>0</v>
      </c>
      <c r="DJ82" s="217">
        <f t="shared" si="89"/>
        <v>7601</v>
      </c>
      <c r="DK82" s="217">
        <f t="shared" si="89"/>
        <v>7601.570999999999</v>
      </c>
      <c r="DL82" s="217">
        <f t="shared" si="89"/>
        <v>0.57099999999999995</v>
      </c>
      <c r="DM82" s="217">
        <f t="shared" si="89"/>
        <v>0.45500000000000002</v>
      </c>
      <c r="DN82" s="217">
        <f t="shared" si="89"/>
        <v>0.68699999999999994</v>
      </c>
      <c r="DO82" s="217">
        <f t="shared" si="89"/>
        <v>0</v>
      </c>
      <c r="DP82" s="217">
        <f t="shared" si="89"/>
        <v>6858</v>
      </c>
      <c r="DQ82" s="217">
        <f t="shared" si="89"/>
        <v>539.65</v>
      </c>
      <c r="DR82" s="217">
        <f t="shared" si="89"/>
        <v>0.56900000000000006</v>
      </c>
      <c r="DS82" s="217">
        <f t="shared" si="89"/>
        <v>0.44599999999999995</v>
      </c>
      <c r="DT82" s="217">
        <f t="shared" si="89"/>
        <v>0.69199999999999995</v>
      </c>
      <c r="DU82" s="217">
        <f t="shared" si="89"/>
        <v>0</v>
      </c>
      <c r="DV82" s="217">
        <f t="shared" si="89"/>
        <v>7939</v>
      </c>
      <c r="DW82" s="217">
        <f t="shared" si="89"/>
        <v>678.39200000000005</v>
      </c>
      <c r="DX82" s="217">
        <f t="shared" si="89"/>
        <v>0.59899999999999998</v>
      </c>
      <c r="DY82" s="217">
        <f t="shared" si="89"/>
        <v>0.48400000000000004</v>
      </c>
      <c r="DZ82" s="217">
        <f t="shared" si="89"/>
        <v>0.71399999999999986</v>
      </c>
      <c r="EA82" s="217">
        <f t="shared" si="89"/>
        <v>0</v>
      </c>
      <c r="EB82" s="217">
        <f t="shared" si="89"/>
        <v>7034</v>
      </c>
      <c r="EC82" s="217">
        <f t="shared" si="89"/>
        <v>1106.2159999999999</v>
      </c>
      <c r="ED82" s="217">
        <f t="shared" si="89"/>
        <v>1.1100000000000001</v>
      </c>
      <c r="EE82" s="217">
        <f t="shared" si="89"/>
        <v>0.94900000000000007</v>
      </c>
      <c r="EF82" s="217">
        <f t="shared" si="89"/>
        <v>1.2709999999999999</v>
      </c>
      <c r="EG82" s="217">
        <f t="shared" si="89"/>
        <v>0</v>
      </c>
      <c r="EH82" s="217">
        <f t="shared" si="89"/>
        <v>7004</v>
      </c>
      <c r="EI82" s="217">
        <f t="shared" si="89"/>
        <v>1112.1129999999998</v>
      </c>
      <c r="EJ82" s="217">
        <f t="shared" si="89"/>
        <v>1.1199999999999999</v>
      </c>
      <c r="EK82" s="217">
        <f t="shared" si="89"/>
        <v>0.95600000000000007</v>
      </c>
      <c r="EL82" s="217">
        <f t="shared" si="89"/>
        <v>1.2839999999999998</v>
      </c>
      <c r="EM82" s="217">
        <f t="shared" si="89"/>
        <v>0</v>
      </c>
      <c r="EN82" s="217">
        <f t="shared" si="89"/>
        <v>6928</v>
      </c>
      <c r="EO82" s="217">
        <f t="shared" si="89"/>
        <v>1078.3809999999999</v>
      </c>
      <c r="EP82" s="217">
        <f t="shared" si="89"/>
        <v>1.099</v>
      </c>
      <c r="EQ82" s="217">
        <f t="shared" si="89"/>
        <v>0.93500000000000005</v>
      </c>
      <c r="ER82" s="217">
        <f t="shared" si="89"/>
        <v>1.2629999999999999</v>
      </c>
      <c r="ES82" s="217">
        <f t="shared" si="89"/>
        <v>0</v>
      </c>
      <c r="ET82" s="217">
        <f t="shared" si="89"/>
        <v>6804</v>
      </c>
      <c r="EU82" s="217">
        <f t="shared" si="89"/>
        <v>997.16</v>
      </c>
      <c r="EV82" s="217">
        <f t="shared" si="89"/>
        <v>1.04</v>
      </c>
      <c r="EW82" s="217">
        <f t="shared" si="89"/>
        <v>0.90869999999999995</v>
      </c>
      <c r="EX82" s="217">
        <f t="shared" si="89"/>
        <v>1.2010000000000001</v>
      </c>
      <c r="EY82" s="217">
        <f t="shared" si="89"/>
        <v>0</v>
      </c>
      <c r="EZ82" s="217"/>
      <c r="FA82" s="217"/>
      <c r="FB82" s="217"/>
      <c r="FC82" s="217"/>
      <c r="FD82" s="217"/>
      <c r="FE82" s="217"/>
      <c r="FF82" s="217"/>
      <c r="FG82" s="217"/>
      <c r="FH82" s="217"/>
      <c r="FI82" s="217"/>
      <c r="FJ82" s="217"/>
      <c r="FK82" s="217"/>
      <c r="FL82" s="217"/>
      <c r="FM82" s="217"/>
      <c r="FN82" s="217"/>
      <c r="FO82" s="217"/>
      <c r="FP82" s="217"/>
      <c r="FQ82" s="217"/>
      <c r="FR82" s="217"/>
      <c r="FS82" s="217"/>
      <c r="FT82" s="217"/>
      <c r="FU82" s="217"/>
      <c r="FV82" s="217"/>
      <c r="FW82" s="217"/>
      <c r="FX82" s="217"/>
      <c r="FY82" s="217"/>
      <c r="FZ82" s="217"/>
      <c r="GA82" s="217"/>
      <c r="GB82" s="217"/>
      <c r="GC82" s="217"/>
      <c r="GD82" s="217"/>
      <c r="GE82" s="217"/>
      <c r="GF82" s="217"/>
      <c r="GG82" s="217"/>
      <c r="GH82" s="217"/>
      <c r="GI82" s="217"/>
      <c r="GJ82" s="217"/>
      <c r="GK82" s="217"/>
      <c r="GL82" s="217"/>
      <c r="GM82" s="217"/>
      <c r="GN82" s="217"/>
      <c r="GO82" s="217"/>
      <c r="GP82" s="217"/>
      <c r="GQ82" s="217"/>
      <c r="GR82" s="217"/>
      <c r="GS82" s="217"/>
      <c r="GT82" s="217"/>
      <c r="GU82" s="217"/>
      <c r="GV82" s="217"/>
      <c r="GW82" s="217"/>
      <c r="GX82" s="217"/>
      <c r="GY82" s="217"/>
      <c r="GZ82" s="217"/>
      <c r="HA82" s="217"/>
      <c r="HB82" s="217"/>
      <c r="HC82" s="217"/>
      <c r="HD82" s="217"/>
      <c r="HE82" s="217"/>
      <c r="HF82" s="217"/>
      <c r="HG82" s="217"/>
      <c r="HH82" s="217"/>
      <c r="HI82" s="217"/>
      <c r="HJ82" s="217"/>
      <c r="HK82" s="217"/>
      <c r="HL82" s="217"/>
      <c r="HM82" s="217"/>
      <c r="HN82" s="217"/>
      <c r="HO82" s="217"/>
    </row>
    <row r="104" s="216" customFormat="1" ht="23.4" customHeight="1" x14ac:dyDescent="0.25"/>
  </sheetData>
  <mergeCells count="22">
    <mergeCell ref="HP1:HS1"/>
    <mergeCell ref="BU1:BX1"/>
    <mergeCell ref="HN1:HO1"/>
    <mergeCell ref="BF1:BK1"/>
    <mergeCell ref="BL1:BQ1"/>
    <mergeCell ref="AM1:AP1"/>
    <mergeCell ref="BR1:BT1"/>
    <mergeCell ref="CB1:CE1"/>
    <mergeCell ref="GQ1:HM1"/>
    <mergeCell ref="EZ1:FB1"/>
    <mergeCell ref="FT1:FX1"/>
    <mergeCell ref="FJ1:FL1"/>
    <mergeCell ref="CF1:CQ1"/>
    <mergeCell ref="AQ1:AU1"/>
    <mergeCell ref="GA1:GO1"/>
    <mergeCell ref="BY1:CA1"/>
    <mergeCell ref="AV1:AZ1"/>
    <mergeCell ref="BA1:BD1"/>
    <mergeCell ref="CR1:DC1"/>
    <mergeCell ref="L1:U1"/>
    <mergeCell ref="AF1:AL1"/>
    <mergeCell ref="V1:AE1"/>
  </mergeCell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Y22"/>
  <sheetViews>
    <sheetView topLeftCell="K1" workbookViewId="0">
      <selection activeCell="R7" sqref="R7"/>
    </sheetView>
  </sheetViews>
  <sheetFormatPr defaultColWidth="9.109375" defaultRowHeight="13.8" x14ac:dyDescent="0.3"/>
  <cols>
    <col min="1" max="16384" width="9.109375" style="1"/>
  </cols>
  <sheetData>
    <row r="1" spans="1:25" ht="57.75" customHeight="1" x14ac:dyDescent="0.3">
      <c r="A1" s="1" t="s">
        <v>499</v>
      </c>
      <c r="B1" s="2" t="s">
        <v>505</v>
      </c>
      <c r="C1" s="2" t="s">
        <v>501</v>
      </c>
      <c r="D1" s="2" t="s">
        <v>502</v>
      </c>
      <c r="E1" s="2" t="s">
        <v>503</v>
      </c>
      <c r="F1" s="2" t="s">
        <v>504</v>
      </c>
      <c r="G1" s="2" t="s">
        <v>506</v>
      </c>
      <c r="H1" s="2" t="s">
        <v>507</v>
      </c>
      <c r="I1" s="2" t="s">
        <v>508</v>
      </c>
      <c r="J1" s="2" t="s">
        <v>519</v>
      </c>
      <c r="K1" s="2" t="s">
        <v>520</v>
      </c>
      <c r="L1" s="2" t="s">
        <v>513</v>
      </c>
      <c r="M1" s="2" t="s">
        <v>514</v>
      </c>
      <c r="N1" s="2" t="s">
        <v>517</v>
      </c>
      <c r="O1" s="2" t="s">
        <v>518</v>
      </c>
      <c r="P1" s="2" t="s">
        <v>511</v>
      </c>
      <c r="Q1" s="2" t="s">
        <v>512</v>
      </c>
      <c r="R1" s="2" t="s">
        <v>515</v>
      </c>
      <c r="S1" s="2" t="s">
        <v>516</v>
      </c>
      <c r="T1" s="2" t="s">
        <v>509</v>
      </c>
      <c r="U1" s="2" t="s">
        <v>510</v>
      </c>
      <c r="V1" s="2" t="s">
        <v>836</v>
      </c>
      <c r="W1" s="2" t="s">
        <v>837</v>
      </c>
      <c r="X1" s="2" t="s">
        <v>838</v>
      </c>
      <c r="Y1" s="2" t="s">
        <v>839</v>
      </c>
    </row>
    <row r="2" spans="1:25" x14ac:dyDescent="0.3">
      <c r="A2" s="1" t="s">
        <v>34</v>
      </c>
      <c r="B2" s="1">
        <v>133</v>
      </c>
      <c r="C2" s="1">
        <v>37.299999999999997</v>
      </c>
      <c r="D2" s="1">
        <v>31.230511007813849</v>
      </c>
      <c r="E2" s="1">
        <v>44.204716298407554</v>
      </c>
      <c r="F2" s="1">
        <v>119</v>
      </c>
      <c r="G2" s="1">
        <v>33.1</v>
      </c>
      <c r="H2" s="1">
        <v>27.420605916369514</v>
      </c>
      <c r="I2" s="1">
        <v>39.609084951901316</v>
      </c>
      <c r="J2" s="1">
        <v>119</v>
      </c>
      <c r="K2" s="1">
        <v>32.9</v>
      </c>
      <c r="L2" s="1">
        <v>27.6</v>
      </c>
      <c r="M2" s="1">
        <v>39.200000000000003</v>
      </c>
      <c r="N2" s="1">
        <v>107</v>
      </c>
      <c r="O2" s="1">
        <v>29.9</v>
      </c>
      <c r="P2" s="1">
        <v>24.8</v>
      </c>
      <c r="Q2" s="1">
        <v>36</v>
      </c>
      <c r="R2" s="1">
        <v>108</v>
      </c>
      <c r="S2" s="1">
        <v>33.200000000000003</v>
      </c>
      <c r="T2" s="1">
        <v>27.6</v>
      </c>
      <c r="U2" s="1">
        <v>39.9</v>
      </c>
      <c r="V2" s="1">
        <v>98</v>
      </c>
      <c r="W2" s="1">
        <v>30.6</v>
      </c>
      <c r="X2" s="1">
        <v>25.2</v>
      </c>
      <c r="Y2" s="1">
        <v>37.200000000000003</v>
      </c>
    </row>
    <row r="3" spans="1:25" x14ac:dyDescent="0.3">
      <c r="A3" s="1" t="s">
        <v>100</v>
      </c>
      <c r="B3" s="1">
        <v>251</v>
      </c>
      <c r="C3" s="1">
        <v>34.799999999999997</v>
      </c>
      <c r="D3" s="1">
        <v>30.627613372297347</v>
      </c>
      <c r="E3" s="1">
        <v>39.382164747024412</v>
      </c>
      <c r="F3" s="1">
        <v>275</v>
      </c>
      <c r="G3" s="1">
        <v>38.700000000000003</v>
      </c>
      <c r="H3" s="1">
        <v>34.26075053061561</v>
      </c>
      <c r="I3" s="1">
        <v>43.55479947960967</v>
      </c>
      <c r="J3" s="1">
        <v>259</v>
      </c>
      <c r="K3" s="1">
        <v>37</v>
      </c>
      <c r="L3" s="1">
        <v>32.9</v>
      </c>
      <c r="M3" s="1">
        <v>41.7</v>
      </c>
      <c r="N3" s="1">
        <v>267</v>
      </c>
      <c r="O3" s="1">
        <v>38.700000000000003</v>
      </c>
      <c r="P3" s="1">
        <v>34.4</v>
      </c>
      <c r="Q3" s="1">
        <v>43.5</v>
      </c>
      <c r="R3" s="1">
        <v>232</v>
      </c>
      <c r="S3" s="1">
        <v>33.9</v>
      </c>
      <c r="T3" s="1">
        <v>29.9</v>
      </c>
      <c r="U3" s="1">
        <v>38.5</v>
      </c>
      <c r="V3" s="1">
        <v>220</v>
      </c>
      <c r="W3" s="1">
        <v>32.1</v>
      </c>
      <c r="X3" s="1">
        <v>28.2</v>
      </c>
      <c r="Y3" s="1">
        <v>36.6</v>
      </c>
    </row>
    <row r="4" spans="1:25" x14ac:dyDescent="0.3">
      <c r="A4" s="1" t="s">
        <v>35</v>
      </c>
      <c r="B4" s="1">
        <v>157</v>
      </c>
      <c r="C4" s="1">
        <v>27.5</v>
      </c>
      <c r="D4" s="1">
        <v>23.366618428428829</v>
      </c>
      <c r="E4" s="1">
        <v>32.153879885916062</v>
      </c>
      <c r="F4" s="1">
        <v>161</v>
      </c>
      <c r="G4" s="1">
        <v>27.9</v>
      </c>
      <c r="H4" s="1">
        <v>23.756782714557747</v>
      </c>
      <c r="I4" s="1">
        <v>32.558001513983783</v>
      </c>
      <c r="J4" s="1">
        <v>164</v>
      </c>
      <c r="K4" s="1">
        <v>28.8</v>
      </c>
      <c r="L4" s="1">
        <v>24.8</v>
      </c>
      <c r="M4" s="1">
        <v>33.5</v>
      </c>
      <c r="N4" s="1">
        <v>147</v>
      </c>
      <c r="O4" s="1">
        <v>26.3</v>
      </c>
      <c r="P4" s="1">
        <v>22.5</v>
      </c>
      <c r="Q4" s="1">
        <v>30.9</v>
      </c>
      <c r="R4" s="1">
        <v>131</v>
      </c>
      <c r="S4" s="1">
        <v>24.8</v>
      </c>
      <c r="T4" s="1">
        <v>21</v>
      </c>
      <c r="U4" s="1">
        <v>29.4</v>
      </c>
      <c r="V4" s="1">
        <v>132</v>
      </c>
      <c r="W4" s="1">
        <v>25.4</v>
      </c>
      <c r="X4" s="1">
        <v>21.4</v>
      </c>
      <c r="Y4" s="1">
        <v>30</v>
      </c>
    </row>
    <row r="5" spans="1:25" x14ac:dyDescent="0.3">
      <c r="A5" s="1" t="s">
        <v>33</v>
      </c>
      <c r="B5" s="1">
        <v>232</v>
      </c>
      <c r="C5" s="1">
        <v>39.4</v>
      </c>
      <c r="D5" s="1">
        <v>34.492808309712423</v>
      </c>
      <c r="E5" s="1">
        <v>44.809544555229245</v>
      </c>
      <c r="F5" s="1">
        <v>255</v>
      </c>
      <c r="G5" s="1">
        <v>43.5</v>
      </c>
      <c r="H5" s="1">
        <v>38.324273539643414</v>
      </c>
      <c r="I5" s="1">
        <v>49.179832636804619</v>
      </c>
      <c r="J5" s="1">
        <v>262</v>
      </c>
      <c r="K5" s="1">
        <v>44.3</v>
      </c>
      <c r="L5" s="1">
        <v>39.299999999999997</v>
      </c>
      <c r="M5" s="1">
        <v>49.8</v>
      </c>
      <c r="N5" s="1">
        <v>261</v>
      </c>
      <c r="O5" s="1">
        <v>44.1</v>
      </c>
      <c r="P5" s="1">
        <v>39.200000000000003</v>
      </c>
      <c r="Q5" s="1">
        <v>49.7</v>
      </c>
      <c r="R5" s="1">
        <v>220</v>
      </c>
      <c r="S5" s="1">
        <v>37.700000000000003</v>
      </c>
      <c r="T5" s="1">
        <v>33.1</v>
      </c>
      <c r="U5" s="1">
        <v>42.9</v>
      </c>
      <c r="V5" s="1">
        <v>190</v>
      </c>
      <c r="W5" s="1">
        <v>33.700000000000003</v>
      </c>
      <c r="X5" s="1">
        <v>29.3</v>
      </c>
      <c r="Y5" s="1">
        <v>38.700000000000003</v>
      </c>
    </row>
    <row r="6" spans="1:25" x14ac:dyDescent="0.3">
      <c r="A6" s="1" t="s">
        <v>101</v>
      </c>
      <c r="B6" s="1">
        <v>157</v>
      </c>
      <c r="C6" s="1">
        <v>19.3</v>
      </c>
      <c r="D6" s="1">
        <v>16.399117660679146</v>
      </c>
      <c r="E6" s="1">
        <v>22.566177519933817</v>
      </c>
      <c r="F6" s="1">
        <v>160</v>
      </c>
      <c r="G6" s="1">
        <v>20.100000000000001</v>
      </c>
      <c r="H6" s="1">
        <v>17.106168410700313</v>
      </c>
      <c r="I6" s="1">
        <v>23.467045059750248</v>
      </c>
      <c r="J6" s="1">
        <v>155</v>
      </c>
      <c r="K6" s="1">
        <v>19.100000000000001</v>
      </c>
      <c r="L6" s="1">
        <v>16.3</v>
      </c>
      <c r="M6" s="1">
        <v>22.3</v>
      </c>
      <c r="N6" s="1">
        <v>154</v>
      </c>
      <c r="O6" s="1">
        <v>18.8</v>
      </c>
      <c r="P6" s="1">
        <v>16.100000000000001</v>
      </c>
      <c r="Q6" s="1">
        <v>22</v>
      </c>
      <c r="R6" s="1">
        <v>127</v>
      </c>
      <c r="S6" s="1">
        <v>16.600000000000001</v>
      </c>
      <c r="T6" s="1">
        <v>14</v>
      </c>
      <c r="U6" s="1">
        <v>19.7</v>
      </c>
      <c r="V6" s="1">
        <v>108</v>
      </c>
      <c r="W6" s="1">
        <v>14.3</v>
      </c>
      <c r="X6" s="1">
        <v>11.9</v>
      </c>
      <c r="Y6" s="1">
        <v>17.2</v>
      </c>
    </row>
    <row r="7" spans="1:25" x14ac:dyDescent="0.3">
      <c r="A7" s="1" t="s">
        <v>102</v>
      </c>
      <c r="B7" s="1">
        <v>164</v>
      </c>
      <c r="C7" s="1">
        <v>22.4</v>
      </c>
      <c r="D7" s="1">
        <v>19.102879133087416</v>
      </c>
      <c r="E7" s="1">
        <v>26.102769438758152</v>
      </c>
      <c r="F7" s="1">
        <v>163</v>
      </c>
      <c r="G7" s="1">
        <v>22.2</v>
      </c>
      <c r="H7" s="1">
        <v>18.922713979998338</v>
      </c>
      <c r="I7" s="1">
        <v>25.881810262278151</v>
      </c>
      <c r="J7" s="1">
        <v>179</v>
      </c>
      <c r="K7" s="1">
        <v>24.2</v>
      </c>
      <c r="L7" s="1">
        <v>20.9</v>
      </c>
      <c r="M7" s="1">
        <v>28</v>
      </c>
      <c r="N7" s="1">
        <v>171</v>
      </c>
      <c r="O7" s="1">
        <v>23.3</v>
      </c>
      <c r="P7" s="1">
        <v>20.100000000000001</v>
      </c>
      <c r="Q7" s="1">
        <v>27</v>
      </c>
      <c r="R7" s="1">
        <v>141</v>
      </c>
      <c r="S7" s="1">
        <v>18.3</v>
      </c>
      <c r="T7" s="1">
        <v>15.5</v>
      </c>
      <c r="U7" s="1">
        <v>21.5</v>
      </c>
      <c r="V7" s="1">
        <v>117</v>
      </c>
      <c r="W7" s="1">
        <v>15</v>
      </c>
      <c r="X7" s="1">
        <v>12.6</v>
      </c>
      <c r="Y7" s="1">
        <v>18</v>
      </c>
    </row>
    <row r="8" spans="1:25" x14ac:dyDescent="0.3">
      <c r="A8" s="1" t="s">
        <v>37</v>
      </c>
      <c r="B8" s="1">
        <v>200</v>
      </c>
      <c r="C8" s="1">
        <v>38.4</v>
      </c>
      <c r="D8" s="1">
        <v>33.262249988601056</v>
      </c>
      <c r="E8" s="1">
        <v>44.106620437706624</v>
      </c>
      <c r="F8" s="1">
        <v>204</v>
      </c>
      <c r="G8" s="1">
        <v>39.299999999999997</v>
      </c>
      <c r="H8" s="1">
        <v>34.09177995918899</v>
      </c>
      <c r="I8" s="1">
        <v>45.078879090776375</v>
      </c>
      <c r="J8" s="1">
        <v>203</v>
      </c>
      <c r="K8" s="1">
        <v>39.799999999999997</v>
      </c>
      <c r="L8" s="1">
        <v>34.700000000000003</v>
      </c>
      <c r="M8" s="1">
        <v>45.5</v>
      </c>
      <c r="N8" s="1">
        <v>174</v>
      </c>
      <c r="O8" s="1">
        <v>34.799999999999997</v>
      </c>
      <c r="P8" s="1">
        <v>30.1</v>
      </c>
      <c r="Q8" s="1">
        <v>40.299999999999997</v>
      </c>
      <c r="R8" s="1">
        <v>161</v>
      </c>
      <c r="S8" s="1">
        <v>32.299999999999997</v>
      </c>
      <c r="T8" s="1">
        <v>27.7</v>
      </c>
      <c r="U8" s="1">
        <v>37.6</v>
      </c>
      <c r="V8" s="1">
        <v>151</v>
      </c>
      <c r="W8" s="1">
        <v>30.2</v>
      </c>
      <c r="X8" s="1">
        <v>25.8</v>
      </c>
      <c r="Y8" s="1">
        <v>35.299999999999997</v>
      </c>
    </row>
    <row r="9" spans="1:25" x14ac:dyDescent="0.3">
      <c r="A9" s="1" t="s">
        <v>103</v>
      </c>
      <c r="B9" s="3">
        <v>1284</v>
      </c>
      <c r="C9" s="4">
        <v>30.196843912419745</v>
      </c>
      <c r="D9" s="4">
        <v>28.567535104483948</v>
      </c>
      <c r="E9" s="4">
        <v>31.894859642287095</v>
      </c>
      <c r="F9" s="3">
        <v>1337</v>
      </c>
      <c r="G9" s="4">
        <v>31.2</v>
      </c>
      <c r="H9" s="4">
        <v>29.6</v>
      </c>
      <c r="I9" s="4">
        <v>32.9</v>
      </c>
      <c r="J9" s="1">
        <v>1341</v>
      </c>
      <c r="K9" s="1">
        <v>31.3</v>
      </c>
      <c r="L9" s="1">
        <v>29.7</v>
      </c>
      <c r="M9" s="1">
        <v>33</v>
      </c>
      <c r="N9" s="1">
        <v>1281</v>
      </c>
      <c r="O9" s="1">
        <v>30.1</v>
      </c>
      <c r="P9" s="1">
        <v>28.5</v>
      </c>
      <c r="Q9" s="1">
        <v>31.8</v>
      </c>
      <c r="R9" s="1">
        <v>1120</v>
      </c>
      <c r="S9" s="1">
        <v>27</v>
      </c>
      <c r="T9" s="1">
        <v>25.4</v>
      </c>
      <c r="U9" s="1">
        <v>28.6</v>
      </c>
      <c r="V9" s="1">
        <v>1016</v>
      </c>
      <c r="W9" s="1">
        <v>24.6</v>
      </c>
      <c r="X9" s="1">
        <v>23.2</v>
      </c>
      <c r="Y9" s="1">
        <v>26.2</v>
      </c>
    </row>
    <row r="10" spans="1:25" x14ac:dyDescent="0.3">
      <c r="A10" s="1" t="s">
        <v>105</v>
      </c>
      <c r="B10" s="3">
        <v>119272</v>
      </c>
      <c r="C10" s="4">
        <v>41.2</v>
      </c>
      <c r="D10" s="4">
        <v>40.966510345412779</v>
      </c>
      <c r="E10" s="4">
        <v>41.434490411159572</v>
      </c>
      <c r="F10" s="3">
        <v>118319</v>
      </c>
      <c r="G10" s="4">
        <v>41</v>
      </c>
      <c r="H10" s="4">
        <v>40.700000000000003</v>
      </c>
      <c r="I10" s="4">
        <v>41.2</v>
      </c>
      <c r="J10" s="1">
        <v>115115</v>
      </c>
      <c r="K10" s="1">
        <v>40.200000000000003</v>
      </c>
      <c r="L10" s="1">
        <v>39.9</v>
      </c>
      <c r="M10" s="1">
        <v>40.4</v>
      </c>
      <c r="N10" s="1">
        <v>107301</v>
      </c>
      <c r="O10" s="1">
        <v>38.1</v>
      </c>
      <c r="P10" s="1">
        <v>37.799999999999997</v>
      </c>
      <c r="Q10" s="1">
        <v>38.299999999999997</v>
      </c>
      <c r="R10" s="1">
        <v>97684</v>
      </c>
      <c r="S10" s="1">
        <v>34</v>
      </c>
      <c r="T10" s="1">
        <v>33.799999999999997</v>
      </c>
      <c r="U10" s="1">
        <v>34.200000000000003</v>
      </c>
      <c r="V10" s="1">
        <v>87875</v>
      </c>
      <c r="W10" s="1">
        <v>30.9</v>
      </c>
      <c r="X10" s="1">
        <v>30.7</v>
      </c>
      <c r="Y10" s="1">
        <v>31.1</v>
      </c>
    </row>
    <row r="15" spans="1:25" x14ac:dyDescent="0.3">
      <c r="B15" s="5"/>
      <c r="C15" s="5"/>
      <c r="D15" s="5"/>
      <c r="E15" s="5"/>
      <c r="F15" s="5"/>
      <c r="G15" s="5"/>
      <c r="H15" s="5"/>
      <c r="I15" s="5"/>
    </row>
    <row r="16" spans="1:25" x14ac:dyDescent="0.3">
      <c r="A16" s="6"/>
      <c r="B16" s="7"/>
      <c r="C16" s="7"/>
      <c r="D16" s="8"/>
      <c r="E16" s="8"/>
      <c r="F16" s="7"/>
      <c r="G16" s="8"/>
      <c r="H16" s="8"/>
      <c r="I16" s="8"/>
      <c r="R16" s="3"/>
      <c r="S16" s="4"/>
      <c r="T16" s="4"/>
      <c r="U16" s="4"/>
    </row>
    <row r="18" spans="1:9" x14ac:dyDescent="0.3">
      <c r="A18" s="6"/>
      <c r="B18" s="7"/>
      <c r="C18" s="7"/>
      <c r="D18" s="8"/>
      <c r="E18" s="8"/>
      <c r="F18" s="7"/>
      <c r="G18" s="8"/>
      <c r="H18" s="8"/>
      <c r="I18" s="8"/>
    </row>
    <row r="19" spans="1:9" x14ac:dyDescent="0.3">
      <c r="A19" s="6"/>
      <c r="B19" s="7"/>
      <c r="C19" s="7"/>
      <c r="D19" s="8"/>
      <c r="E19" s="8"/>
      <c r="F19" s="7"/>
      <c r="G19" s="8"/>
      <c r="H19" s="8"/>
      <c r="I19" s="8"/>
    </row>
    <row r="20" spans="1:9" x14ac:dyDescent="0.3">
      <c r="A20" s="6"/>
      <c r="B20" s="7"/>
      <c r="C20" s="7"/>
      <c r="D20" s="8"/>
      <c r="E20" s="8"/>
      <c r="F20" s="7"/>
      <c r="G20" s="8"/>
      <c r="H20" s="8"/>
      <c r="I20" s="8"/>
    </row>
    <row r="21" spans="1:9" x14ac:dyDescent="0.3">
      <c r="A21" s="6"/>
      <c r="B21" s="7"/>
      <c r="C21" s="7"/>
      <c r="D21" s="8"/>
      <c r="E21" s="8"/>
      <c r="F21" s="7"/>
      <c r="G21" s="8"/>
      <c r="H21" s="8"/>
      <c r="I21" s="8"/>
    </row>
    <row r="22" spans="1:9" x14ac:dyDescent="0.3">
      <c r="A22" s="6"/>
      <c r="B22" s="7"/>
      <c r="C22" s="7"/>
      <c r="D22" s="8"/>
      <c r="E22" s="8"/>
      <c r="F22" s="7"/>
      <c r="G22" s="8"/>
      <c r="H22" s="8"/>
      <c r="I22" s="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Profile</vt:lpstr>
      <vt:lpstr>DATA</vt:lpstr>
      <vt:lpstr>TeenPreg</vt:lpstr>
      <vt:lpstr>_cfc1</vt:lpstr>
      <vt:lpstr>cfc</vt:lpstr>
      <vt:lpstr>cfcl1</vt:lpstr>
      <vt:lpstr>preg</vt:lpstr>
      <vt:lpstr>Profile!Print_Area</vt:lpstr>
      <vt:lpstr>pt</vt:lpstr>
      <vt:lpstr>teen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c:creator>
  <cp:lastModifiedBy>Jacqueline Clay</cp:lastModifiedBy>
  <cp:lastPrinted>2014-12-02T16:29:29Z</cp:lastPrinted>
  <dcterms:created xsi:type="dcterms:W3CDTF">2011-08-26T13:52:19Z</dcterms:created>
  <dcterms:modified xsi:type="dcterms:W3CDTF">2014-12-02T18:14:32Z</dcterms:modified>
</cp:coreProperties>
</file>